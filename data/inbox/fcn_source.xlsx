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rthuang\Downloads\"/>
    </mc:Choice>
  </mc:AlternateContent>
  <xr:revisionPtr revIDLastSave="0" documentId="13_ncr:1_{C397283C-48C6-44C8-850B-82598A730D7A}" xr6:coauthVersionLast="47" xr6:coauthVersionMax="47" xr10:uidLastSave="{00000000-0000-0000-0000-000000000000}"/>
  <bookViews>
    <workbookView xWindow="-98" yWindow="-98" windowWidth="21795" windowHeight="12975" xr2:uid="{4A30CDCF-F2A1-4923-A89F-ECB27604A58C}"/>
  </bookViews>
  <sheets>
    <sheet name="Database_FCN List" sheetId="3" r:id="rId1"/>
  </sheets>
  <definedNames>
    <definedName name="_xlnm._FilterDatabase" localSheetId="0" hidden="1">'Database_FCN List'!$A$1:$P$276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1" i="3" l="1"/>
  <c r="P260" i="3"/>
  <c r="O261" i="3"/>
  <c r="K261" i="3"/>
  <c r="I261" i="3"/>
  <c r="O260" i="3"/>
  <c r="K260" i="3"/>
  <c r="I260" i="3"/>
  <c r="P182" i="3"/>
  <c r="P183" i="3"/>
  <c r="P184" i="3"/>
  <c r="P185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4" i="3"/>
  <c r="P206" i="3"/>
  <c r="P207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7" i="3"/>
  <c r="P228" i="3"/>
  <c r="P229" i="3"/>
  <c r="P230" i="3"/>
  <c r="P231" i="3"/>
  <c r="P232" i="3"/>
  <c r="P233" i="3"/>
  <c r="P234" i="3"/>
  <c r="P235" i="3"/>
  <c r="P241" i="3"/>
  <c r="P242" i="3"/>
  <c r="P243" i="3"/>
  <c r="P244" i="3"/>
  <c r="P245" i="3"/>
  <c r="P246" i="3"/>
  <c r="P247" i="3"/>
  <c r="P248" i="3"/>
  <c r="P251" i="3"/>
  <c r="P252" i="3"/>
  <c r="P253" i="3"/>
  <c r="P254" i="3"/>
  <c r="P255" i="3"/>
  <c r="P256" i="3"/>
  <c r="P257" i="3"/>
  <c r="P265" i="3"/>
  <c r="P266" i="3"/>
  <c r="P267" i="3"/>
  <c r="P268" i="3"/>
  <c r="P269" i="3"/>
  <c r="P270" i="3"/>
  <c r="P272" i="3"/>
  <c r="P273" i="3"/>
  <c r="P274" i="3"/>
  <c r="P2" i="3"/>
  <c r="P3" i="3"/>
  <c r="P4" i="3"/>
  <c r="P5" i="3"/>
  <c r="P6" i="3"/>
  <c r="P7" i="3"/>
  <c r="P14" i="3"/>
  <c r="P15" i="3"/>
  <c r="P27" i="3"/>
  <c r="P29" i="3"/>
  <c r="P37" i="3"/>
  <c r="P38" i="3"/>
  <c r="P41" i="3"/>
  <c r="P42" i="3"/>
  <c r="P43" i="3"/>
  <c r="P44" i="3"/>
  <c r="P46" i="3"/>
  <c r="P57" i="3"/>
  <c r="P58" i="3"/>
  <c r="P59" i="3"/>
  <c r="P61" i="3"/>
  <c r="P62" i="3"/>
  <c r="P64" i="3"/>
  <c r="P65" i="3"/>
  <c r="P66" i="3"/>
  <c r="P67" i="3"/>
  <c r="P68" i="3"/>
  <c r="P69" i="3"/>
  <c r="P70" i="3"/>
  <c r="P71" i="3"/>
  <c r="P72" i="3"/>
  <c r="P73" i="3"/>
  <c r="P76" i="3"/>
  <c r="P77" i="3"/>
  <c r="P78" i="3"/>
  <c r="P79" i="3"/>
  <c r="P80" i="3"/>
  <c r="P93" i="3"/>
  <c r="P83" i="3"/>
  <c r="P84" i="3"/>
  <c r="P85" i="3"/>
  <c r="P86" i="3"/>
  <c r="P87" i="3"/>
  <c r="P88" i="3"/>
  <c r="P89" i="3"/>
  <c r="P90" i="3"/>
  <c r="P91" i="3"/>
  <c r="P94" i="3"/>
  <c r="P97" i="3"/>
  <c r="P99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40" i="3"/>
  <c r="P141" i="3"/>
  <c r="P142" i="3"/>
  <c r="P143" i="3"/>
  <c r="P144" i="3"/>
  <c r="P147" i="3"/>
  <c r="P148" i="3"/>
  <c r="P150" i="3"/>
  <c r="P151" i="3"/>
  <c r="P154" i="3"/>
  <c r="P155" i="3"/>
  <c r="P156" i="3"/>
  <c r="P157" i="3"/>
  <c r="P160" i="3"/>
  <c r="P161" i="3"/>
  <c r="P162" i="3"/>
  <c r="P164" i="3"/>
  <c r="P165" i="3"/>
  <c r="P166" i="3"/>
  <c r="P167" i="3"/>
  <c r="P169" i="3"/>
  <c r="P170" i="3"/>
  <c r="P171" i="3"/>
  <c r="P172" i="3"/>
  <c r="P173" i="3"/>
  <c r="P174" i="3"/>
  <c r="P175" i="3"/>
  <c r="P176" i="3"/>
  <c r="P177" i="3"/>
  <c r="P178" i="3"/>
  <c r="P98" i="3"/>
  <c r="P100" i="3"/>
  <c r="P101" i="3"/>
  <c r="P124" i="3"/>
  <c r="P102" i="3"/>
  <c r="P179" i="3"/>
  <c r="P180" i="3"/>
  <c r="P202" i="3"/>
  <c r="P203" i="3"/>
  <c r="P205" i="3"/>
  <c r="P239" i="3"/>
  <c r="P240" i="3"/>
  <c r="P8" i="3"/>
  <c r="P9" i="3"/>
  <c r="P10" i="3"/>
  <c r="P11" i="3"/>
  <c r="P12" i="3"/>
  <c r="P13" i="3"/>
  <c r="P16" i="3"/>
  <c r="P17" i="3"/>
  <c r="P18" i="3"/>
  <c r="P19" i="3"/>
  <c r="P20" i="3"/>
  <c r="P21" i="3"/>
  <c r="P22" i="3"/>
  <c r="P23" i="3"/>
  <c r="P24" i="3"/>
  <c r="P25" i="3"/>
  <c r="P26" i="3"/>
  <c r="P28" i="3"/>
  <c r="P30" i="3"/>
  <c r="P31" i="3"/>
  <c r="P32" i="3"/>
  <c r="P33" i="3"/>
  <c r="P34" i="3"/>
  <c r="P35" i="3"/>
  <c r="P36" i="3"/>
  <c r="P39" i="3"/>
  <c r="P40" i="3"/>
  <c r="P45" i="3"/>
  <c r="P48" i="3"/>
  <c r="P51" i="3"/>
  <c r="P52" i="3"/>
  <c r="P53" i="3"/>
  <c r="P54" i="3"/>
  <c r="P55" i="3"/>
  <c r="P56" i="3"/>
  <c r="P60" i="3"/>
  <c r="P63" i="3"/>
  <c r="P74" i="3"/>
  <c r="P75" i="3"/>
  <c r="P81" i="3"/>
  <c r="P82" i="3"/>
  <c r="P92" i="3"/>
  <c r="P95" i="3"/>
  <c r="P96" i="3"/>
  <c r="P138" i="3"/>
  <c r="P139" i="3"/>
  <c r="P145" i="3"/>
  <c r="P146" i="3"/>
  <c r="P149" i="3"/>
  <c r="P152" i="3"/>
  <c r="P153" i="3"/>
  <c r="P158" i="3"/>
  <c r="P159" i="3"/>
  <c r="P163" i="3"/>
  <c r="P168" i="3"/>
  <c r="P186" i="3"/>
  <c r="P187" i="3"/>
  <c r="P188" i="3"/>
  <c r="P189" i="3"/>
  <c r="P208" i="3"/>
  <c r="P209" i="3"/>
  <c r="P210" i="3"/>
  <c r="P225" i="3"/>
  <c r="P226" i="3"/>
  <c r="P236" i="3"/>
  <c r="P237" i="3"/>
  <c r="P238" i="3"/>
  <c r="P249" i="3"/>
  <c r="P250" i="3"/>
  <c r="P258" i="3"/>
  <c r="P259" i="3"/>
  <c r="P262" i="3"/>
  <c r="P263" i="3"/>
  <c r="P264" i="3"/>
  <c r="P271" i="3"/>
  <c r="P275" i="3"/>
  <c r="P276" i="3"/>
  <c r="P181" i="3"/>
  <c r="O276" i="3" l="1"/>
  <c r="M276" i="3"/>
  <c r="K276" i="3"/>
  <c r="I276" i="3"/>
  <c r="O275" i="3"/>
  <c r="K275" i="3"/>
  <c r="I275" i="3"/>
  <c r="O271" i="3"/>
  <c r="K271" i="3"/>
  <c r="I271" i="3"/>
  <c r="O264" i="3"/>
  <c r="K264" i="3"/>
  <c r="I264" i="3"/>
  <c r="O263" i="3"/>
  <c r="K263" i="3"/>
  <c r="I263" i="3"/>
  <c r="O262" i="3"/>
  <c r="K262" i="3"/>
  <c r="I262" i="3"/>
  <c r="O259" i="3"/>
  <c r="K259" i="3"/>
  <c r="I259" i="3"/>
  <c r="O258" i="3"/>
  <c r="K258" i="3"/>
  <c r="I258" i="3"/>
  <c r="O250" i="3"/>
  <c r="K250" i="3"/>
  <c r="I250" i="3"/>
  <c r="O249" i="3"/>
  <c r="K249" i="3"/>
  <c r="I249" i="3"/>
  <c r="O238" i="3"/>
  <c r="K238" i="3"/>
  <c r="I238" i="3"/>
  <c r="O237" i="3"/>
  <c r="K237" i="3"/>
  <c r="I237" i="3"/>
  <c r="O236" i="3"/>
  <c r="K236" i="3"/>
  <c r="I236" i="3"/>
  <c r="O226" i="3"/>
  <c r="K226" i="3"/>
  <c r="I226" i="3"/>
  <c r="O225" i="3"/>
  <c r="K225" i="3"/>
  <c r="I225" i="3"/>
  <c r="O210" i="3"/>
  <c r="K210" i="3"/>
  <c r="I210" i="3"/>
  <c r="O209" i="3"/>
  <c r="K209" i="3"/>
  <c r="I209" i="3"/>
  <c r="O208" i="3"/>
  <c r="K208" i="3"/>
  <c r="I208" i="3"/>
  <c r="O189" i="3"/>
  <c r="I189" i="3"/>
  <c r="O188" i="3"/>
  <c r="K188" i="3"/>
  <c r="I188" i="3"/>
  <c r="O187" i="3"/>
  <c r="K187" i="3"/>
  <c r="I187" i="3"/>
  <c r="O186" i="3"/>
  <c r="K186" i="3"/>
  <c r="I186" i="3"/>
  <c r="O168" i="3"/>
  <c r="K168" i="3"/>
  <c r="I168" i="3"/>
  <c r="O163" i="3"/>
  <c r="I163" i="3"/>
  <c r="O159" i="3"/>
  <c r="I159" i="3"/>
  <c r="O158" i="3"/>
  <c r="I158" i="3"/>
  <c r="O153" i="3"/>
  <c r="I153" i="3"/>
  <c r="O152" i="3"/>
  <c r="I152" i="3"/>
  <c r="O149" i="3"/>
  <c r="I149" i="3"/>
  <c r="O146" i="3"/>
  <c r="I146" i="3"/>
  <c r="O145" i="3"/>
  <c r="I145" i="3"/>
  <c r="O139" i="3"/>
  <c r="I139" i="3"/>
  <c r="O138" i="3"/>
  <c r="I138" i="3"/>
  <c r="O96" i="3"/>
  <c r="I96" i="3"/>
  <c r="O95" i="3"/>
  <c r="I95" i="3"/>
  <c r="O92" i="3"/>
  <c r="I92" i="3"/>
  <c r="O82" i="3"/>
  <c r="I82" i="3"/>
  <c r="O81" i="3"/>
  <c r="I81" i="3"/>
  <c r="O75" i="3"/>
  <c r="I75" i="3"/>
  <c r="O74" i="3"/>
  <c r="I74" i="3"/>
  <c r="O63" i="3"/>
  <c r="K63" i="3"/>
  <c r="I63" i="3"/>
  <c r="O60" i="3"/>
  <c r="M60" i="3"/>
  <c r="K60" i="3"/>
  <c r="I60" i="3"/>
  <c r="O56" i="3"/>
  <c r="K56" i="3"/>
  <c r="I56" i="3"/>
  <c r="O55" i="3"/>
  <c r="K55" i="3"/>
  <c r="I55" i="3"/>
  <c r="O54" i="3"/>
  <c r="K54" i="3"/>
  <c r="I54" i="3"/>
  <c r="O53" i="3"/>
  <c r="K53" i="3"/>
  <c r="I53" i="3"/>
  <c r="O52" i="3"/>
  <c r="M52" i="3"/>
  <c r="K52" i="3"/>
  <c r="I52" i="3"/>
  <c r="O51" i="3"/>
  <c r="M51" i="3"/>
  <c r="K51" i="3"/>
  <c r="I51" i="3"/>
  <c r="O48" i="3"/>
  <c r="K48" i="3"/>
  <c r="I48" i="3"/>
  <c r="O45" i="3"/>
  <c r="K45" i="3"/>
  <c r="I45" i="3"/>
  <c r="O40" i="3"/>
  <c r="M40" i="3"/>
  <c r="K40" i="3"/>
  <c r="I40" i="3"/>
  <c r="O39" i="3"/>
  <c r="M39" i="3"/>
  <c r="K39" i="3"/>
  <c r="I39" i="3"/>
  <c r="O36" i="3"/>
  <c r="K36" i="3"/>
  <c r="I36" i="3"/>
  <c r="O35" i="3"/>
  <c r="M35" i="3"/>
  <c r="K35" i="3"/>
  <c r="I35" i="3"/>
  <c r="O34" i="3"/>
  <c r="M34" i="3"/>
  <c r="K34" i="3"/>
  <c r="I34" i="3"/>
  <c r="O33" i="3"/>
  <c r="M33" i="3"/>
  <c r="K33" i="3"/>
  <c r="I33" i="3"/>
  <c r="O32" i="3"/>
  <c r="M32" i="3"/>
  <c r="K32" i="3"/>
  <c r="I32" i="3"/>
  <c r="O31" i="3"/>
  <c r="K31" i="3"/>
  <c r="I31" i="3"/>
  <c r="O30" i="3"/>
  <c r="K30" i="3"/>
  <c r="I30" i="3"/>
  <c r="O28" i="3"/>
  <c r="M28" i="3"/>
  <c r="K28" i="3"/>
  <c r="I28" i="3"/>
  <c r="O26" i="3"/>
  <c r="M26" i="3"/>
  <c r="K26" i="3"/>
  <c r="I26" i="3"/>
  <c r="O25" i="3"/>
  <c r="K25" i="3"/>
  <c r="I25" i="3"/>
  <c r="O24" i="3"/>
  <c r="K24" i="3"/>
  <c r="I24" i="3"/>
  <c r="O23" i="3"/>
  <c r="K23" i="3"/>
  <c r="I23" i="3"/>
  <c r="O22" i="3"/>
  <c r="K22" i="3"/>
  <c r="I22" i="3"/>
  <c r="O21" i="3"/>
  <c r="M21" i="3"/>
  <c r="K21" i="3"/>
  <c r="I21" i="3"/>
  <c r="O20" i="3"/>
  <c r="K20" i="3"/>
  <c r="I20" i="3"/>
  <c r="O19" i="3"/>
  <c r="K19" i="3"/>
  <c r="I19" i="3"/>
  <c r="O18" i="3"/>
  <c r="I18" i="3"/>
  <c r="O17" i="3"/>
  <c r="I17" i="3"/>
  <c r="O16" i="3"/>
  <c r="I16" i="3"/>
  <c r="O13" i="3"/>
  <c r="I13" i="3"/>
  <c r="O12" i="3"/>
  <c r="I12" i="3"/>
  <c r="O11" i="3"/>
  <c r="I11" i="3"/>
  <c r="O10" i="3"/>
  <c r="I10" i="3"/>
  <c r="O9" i="3"/>
  <c r="I9" i="3"/>
  <c r="O8" i="3"/>
  <c r="I8" i="3"/>
  <c r="O240" i="3"/>
  <c r="I240" i="3"/>
  <c r="O239" i="3"/>
  <c r="I239" i="3"/>
  <c r="O205" i="3"/>
  <c r="I205" i="3"/>
  <c r="O203" i="3"/>
  <c r="I203" i="3"/>
  <c r="O202" i="3"/>
  <c r="I202" i="3"/>
  <c r="O180" i="3"/>
  <c r="I180" i="3"/>
  <c r="O179" i="3"/>
  <c r="I179" i="3"/>
  <c r="O102" i="3"/>
  <c r="I102" i="3"/>
  <c r="O124" i="3"/>
  <c r="I124" i="3"/>
  <c r="O101" i="3"/>
  <c r="I101" i="3"/>
  <c r="O100" i="3"/>
  <c r="I100" i="3"/>
  <c r="O98" i="3"/>
  <c r="I98" i="3"/>
  <c r="O178" i="3"/>
  <c r="I178" i="3"/>
  <c r="O177" i="3"/>
  <c r="I177" i="3"/>
  <c r="O176" i="3"/>
  <c r="I176" i="3"/>
  <c r="O175" i="3"/>
  <c r="I175" i="3"/>
  <c r="O174" i="3"/>
  <c r="I174" i="3"/>
  <c r="O173" i="3"/>
  <c r="I173" i="3"/>
  <c r="O172" i="3"/>
  <c r="I172" i="3"/>
  <c r="O171" i="3"/>
  <c r="I171" i="3"/>
  <c r="O170" i="3"/>
  <c r="I170" i="3"/>
  <c r="O169" i="3"/>
  <c r="I169" i="3"/>
  <c r="O167" i="3"/>
  <c r="I167" i="3"/>
  <c r="O166" i="3"/>
  <c r="I166" i="3"/>
  <c r="O165" i="3"/>
  <c r="I165" i="3"/>
  <c r="O164" i="3"/>
  <c r="I164" i="3"/>
  <c r="O162" i="3"/>
  <c r="I162" i="3"/>
  <c r="O161" i="3"/>
  <c r="I161" i="3"/>
  <c r="O160" i="3"/>
  <c r="I160" i="3"/>
  <c r="O157" i="3"/>
  <c r="I157" i="3"/>
  <c r="O156" i="3"/>
  <c r="I156" i="3"/>
  <c r="O155" i="3"/>
  <c r="H155" i="3"/>
  <c r="I155" i="3" s="1"/>
  <c r="O154" i="3"/>
  <c r="H154" i="3"/>
  <c r="I154" i="3" s="1"/>
  <c r="O151" i="3"/>
  <c r="I151" i="3"/>
  <c r="O150" i="3"/>
  <c r="I150" i="3"/>
  <c r="O148" i="3"/>
  <c r="I148" i="3"/>
  <c r="O147" i="3"/>
  <c r="I147" i="3"/>
  <c r="O144" i="3"/>
  <c r="I144" i="3"/>
  <c r="O143" i="3"/>
  <c r="I143" i="3"/>
  <c r="O142" i="3"/>
  <c r="I142" i="3"/>
  <c r="O141" i="3"/>
  <c r="I141" i="3"/>
  <c r="O140" i="3"/>
  <c r="I140" i="3"/>
  <c r="O137" i="3"/>
  <c r="I137" i="3"/>
  <c r="O136" i="3"/>
  <c r="I136" i="3"/>
  <c r="O135" i="3"/>
  <c r="I135" i="3"/>
  <c r="O134" i="3"/>
  <c r="I134" i="3"/>
  <c r="O133" i="3"/>
  <c r="I133" i="3"/>
  <c r="O132" i="3"/>
  <c r="I132" i="3"/>
  <c r="O131" i="3"/>
  <c r="I131" i="3"/>
  <c r="O130" i="3"/>
  <c r="K130" i="3"/>
  <c r="I130" i="3"/>
  <c r="O129" i="3"/>
  <c r="K129" i="3"/>
  <c r="I129" i="3"/>
  <c r="O128" i="3"/>
  <c r="K128" i="3"/>
  <c r="I128" i="3"/>
  <c r="O127" i="3"/>
  <c r="K127" i="3"/>
  <c r="I127" i="3"/>
  <c r="O126" i="3"/>
  <c r="I126" i="3"/>
  <c r="O125" i="3"/>
  <c r="I125" i="3"/>
  <c r="O123" i="3"/>
  <c r="I123" i="3"/>
  <c r="O122" i="3"/>
  <c r="I122" i="3"/>
  <c r="O121" i="3"/>
  <c r="I121" i="3"/>
  <c r="O120" i="3"/>
  <c r="I120" i="3"/>
  <c r="O119" i="3"/>
  <c r="H119" i="3"/>
  <c r="I119" i="3" s="1"/>
  <c r="O118" i="3"/>
  <c r="H118" i="3"/>
  <c r="I118" i="3" s="1"/>
  <c r="O117" i="3"/>
  <c r="I117" i="3"/>
  <c r="O116" i="3"/>
  <c r="I116" i="3"/>
  <c r="O115" i="3"/>
  <c r="I115" i="3"/>
  <c r="O114" i="3"/>
  <c r="I114" i="3"/>
  <c r="O113" i="3"/>
  <c r="I113" i="3"/>
  <c r="O112" i="3"/>
  <c r="I112" i="3"/>
  <c r="O111" i="3"/>
  <c r="I111" i="3"/>
  <c r="O110" i="3"/>
  <c r="I110" i="3"/>
  <c r="O109" i="3"/>
  <c r="I109" i="3"/>
  <c r="O108" i="3"/>
  <c r="I108" i="3"/>
  <c r="O107" i="3"/>
  <c r="I107" i="3"/>
  <c r="O106" i="3"/>
  <c r="I106" i="3"/>
  <c r="O105" i="3"/>
  <c r="I105" i="3"/>
  <c r="O104" i="3"/>
  <c r="I104" i="3"/>
  <c r="O103" i="3"/>
  <c r="I103" i="3"/>
  <c r="O99" i="3"/>
  <c r="I99" i="3"/>
  <c r="O97" i="3"/>
  <c r="I97" i="3"/>
  <c r="O94" i="3"/>
  <c r="I94" i="3"/>
  <c r="O91" i="3"/>
  <c r="I91" i="3"/>
  <c r="O90" i="3"/>
  <c r="I90" i="3"/>
  <c r="O89" i="3"/>
  <c r="I89" i="3"/>
  <c r="O88" i="3"/>
  <c r="I88" i="3"/>
  <c r="O87" i="3"/>
  <c r="I87" i="3"/>
  <c r="O86" i="3"/>
  <c r="I86" i="3"/>
  <c r="O85" i="3"/>
  <c r="I85" i="3"/>
  <c r="O84" i="3"/>
  <c r="I84" i="3"/>
  <c r="O83" i="3"/>
  <c r="I83" i="3"/>
  <c r="O93" i="3"/>
  <c r="I93" i="3"/>
  <c r="O80" i="3"/>
  <c r="I80" i="3"/>
  <c r="O79" i="3"/>
  <c r="I79" i="3"/>
  <c r="O78" i="3"/>
  <c r="I78" i="3"/>
  <c r="O77" i="3"/>
  <c r="I77" i="3"/>
  <c r="O76" i="3"/>
  <c r="I76" i="3"/>
  <c r="O73" i="3"/>
  <c r="I73" i="3"/>
  <c r="O72" i="3"/>
  <c r="I72" i="3"/>
  <c r="O71" i="3"/>
  <c r="I71" i="3"/>
  <c r="O70" i="3"/>
  <c r="I70" i="3"/>
  <c r="O69" i="3"/>
  <c r="I69" i="3"/>
  <c r="O68" i="3"/>
  <c r="I68" i="3"/>
  <c r="O67" i="3"/>
  <c r="I67" i="3"/>
  <c r="O66" i="3"/>
  <c r="I66" i="3"/>
  <c r="O65" i="3"/>
  <c r="I65" i="3"/>
  <c r="O64" i="3"/>
  <c r="I64" i="3"/>
  <c r="O62" i="3"/>
  <c r="I62" i="3"/>
  <c r="O61" i="3"/>
  <c r="I61" i="3"/>
  <c r="O59" i="3"/>
  <c r="O58" i="3"/>
  <c r="O57" i="3"/>
  <c r="I57" i="3"/>
  <c r="O50" i="3"/>
  <c r="K50" i="3"/>
  <c r="L50" i="3" s="1"/>
  <c r="I50" i="3"/>
  <c r="O49" i="3"/>
  <c r="K49" i="3"/>
  <c r="L49" i="3" s="1"/>
  <c r="I49" i="3"/>
  <c r="O47" i="3"/>
  <c r="K47" i="3"/>
  <c r="L47" i="3" s="1"/>
  <c r="I47" i="3"/>
  <c r="O46" i="3"/>
  <c r="K46" i="3"/>
  <c r="I46" i="3"/>
  <c r="O44" i="3"/>
  <c r="K44" i="3"/>
  <c r="I44" i="3"/>
  <c r="O43" i="3"/>
  <c r="K43" i="3"/>
  <c r="I43" i="3"/>
  <c r="O42" i="3"/>
  <c r="K42" i="3"/>
  <c r="I42" i="3"/>
  <c r="O41" i="3"/>
  <c r="K41" i="3"/>
  <c r="I41" i="3"/>
  <c r="O38" i="3"/>
  <c r="I38" i="3"/>
  <c r="O37" i="3"/>
  <c r="I37" i="3"/>
  <c r="O29" i="3"/>
  <c r="I29" i="3"/>
  <c r="O27" i="3"/>
  <c r="I27" i="3"/>
  <c r="O15" i="3"/>
  <c r="H15" i="3"/>
  <c r="O14" i="3"/>
  <c r="O7" i="3"/>
  <c r="O6" i="3"/>
  <c r="O5" i="3"/>
  <c r="O4" i="3"/>
  <c r="O3" i="3"/>
  <c r="O2" i="3"/>
  <c r="O274" i="3"/>
  <c r="K274" i="3"/>
  <c r="I274" i="3"/>
  <c r="O273" i="3"/>
  <c r="K273" i="3"/>
  <c r="I273" i="3"/>
  <c r="O272" i="3"/>
  <c r="K272" i="3"/>
  <c r="I272" i="3"/>
  <c r="O270" i="3"/>
  <c r="K270" i="3"/>
  <c r="I270" i="3"/>
  <c r="O269" i="3"/>
  <c r="K269" i="3"/>
  <c r="I269" i="3"/>
  <c r="O268" i="3"/>
  <c r="K268" i="3"/>
  <c r="I268" i="3"/>
  <c r="O267" i="3"/>
  <c r="K267" i="3"/>
  <c r="I267" i="3"/>
  <c r="O266" i="3"/>
  <c r="K266" i="3"/>
  <c r="I266" i="3"/>
  <c r="O265" i="3"/>
  <c r="K265" i="3"/>
  <c r="I265" i="3"/>
  <c r="O257" i="3"/>
  <c r="K257" i="3"/>
  <c r="I257" i="3"/>
  <c r="O256" i="3"/>
  <c r="K256" i="3"/>
  <c r="I256" i="3"/>
  <c r="O255" i="3"/>
  <c r="K255" i="3"/>
  <c r="I255" i="3"/>
  <c r="O254" i="3"/>
  <c r="K254" i="3"/>
  <c r="I254" i="3"/>
  <c r="O253" i="3"/>
  <c r="K253" i="3"/>
  <c r="I253" i="3"/>
  <c r="O252" i="3"/>
  <c r="K252" i="3"/>
  <c r="I252" i="3"/>
  <c r="O251" i="3"/>
  <c r="K251" i="3"/>
  <c r="I251" i="3"/>
  <c r="O248" i="3"/>
  <c r="K248" i="3"/>
  <c r="I248" i="3"/>
  <c r="O247" i="3"/>
  <c r="K247" i="3"/>
  <c r="I247" i="3"/>
  <c r="O246" i="3"/>
  <c r="K246" i="3"/>
  <c r="I246" i="3"/>
  <c r="O245" i="3"/>
  <c r="I245" i="3"/>
  <c r="O244" i="3"/>
  <c r="I244" i="3"/>
  <c r="O243" i="3"/>
  <c r="I243" i="3"/>
  <c r="O242" i="3"/>
  <c r="I242" i="3"/>
  <c r="O241" i="3"/>
  <c r="I241" i="3"/>
  <c r="O235" i="3"/>
  <c r="I235" i="3"/>
  <c r="O234" i="3"/>
  <c r="I234" i="3"/>
  <c r="O233" i="3"/>
  <c r="I233" i="3"/>
  <c r="O232" i="3"/>
  <c r="I232" i="3"/>
  <c r="O231" i="3"/>
  <c r="I231" i="3"/>
  <c r="O230" i="3"/>
  <c r="I230" i="3"/>
  <c r="O229" i="3"/>
  <c r="I229" i="3"/>
  <c r="O228" i="3"/>
  <c r="I228" i="3"/>
  <c r="O227" i="3"/>
  <c r="I227" i="3"/>
  <c r="O224" i="3"/>
  <c r="I224" i="3"/>
  <c r="O223" i="3"/>
  <c r="I223" i="3"/>
  <c r="O222" i="3"/>
  <c r="I222" i="3"/>
  <c r="O221" i="3"/>
  <c r="I221" i="3"/>
  <c r="O220" i="3"/>
  <c r="I220" i="3"/>
  <c r="O219" i="3"/>
  <c r="I219" i="3"/>
  <c r="O218" i="3"/>
  <c r="I218" i="3"/>
  <c r="O217" i="3"/>
  <c r="I217" i="3"/>
  <c r="O216" i="3"/>
  <c r="I216" i="3"/>
  <c r="O215" i="3"/>
  <c r="I215" i="3"/>
  <c r="O214" i="3"/>
  <c r="I214" i="3"/>
  <c r="O213" i="3"/>
  <c r="I213" i="3"/>
  <c r="O212" i="3"/>
  <c r="K212" i="3"/>
  <c r="I212" i="3"/>
  <c r="O211" i="3"/>
  <c r="K211" i="3"/>
  <c r="I211" i="3"/>
  <c r="O207" i="3"/>
  <c r="I207" i="3"/>
  <c r="O206" i="3"/>
  <c r="I206" i="3"/>
  <c r="O204" i="3"/>
  <c r="I204" i="3"/>
  <c r="O201" i="3"/>
  <c r="I201" i="3"/>
  <c r="O200" i="3"/>
  <c r="I200" i="3"/>
  <c r="O199" i="3"/>
  <c r="I199" i="3"/>
  <c r="O198" i="3"/>
  <c r="I198" i="3"/>
  <c r="O197" i="3"/>
  <c r="I197" i="3"/>
  <c r="O196" i="3"/>
  <c r="I196" i="3"/>
  <c r="O195" i="3"/>
  <c r="I195" i="3"/>
  <c r="O194" i="3"/>
  <c r="I194" i="3"/>
  <c r="O193" i="3"/>
  <c r="I193" i="3"/>
  <c r="O192" i="3"/>
  <c r="I192" i="3"/>
  <c r="O191" i="3"/>
  <c r="I191" i="3"/>
  <c r="O190" i="3"/>
  <c r="I190" i="3"/>
  <c r="O185" i="3"/>
  <c r="K185" i="3"/>
  <c r="I185" i="3"/>
  <c r="O184" i="3"/>
  <c r="K184" i="3"/>
  <c r="I184" i="3"/>
  <c r="O183" i="3"/>
  <c r="K183" i="3"/>
  <c r="I183" i="3"/>
  <c r="O182" i="3"/>
  <c r="K182" i="3"/>
  <c r="I182" i="3"/>
  <c r="O181" i="3"/>
  <c r="K181" i="3"/>
  <c r="I181" i="3"/>
  <c r="M50" i="3" l="1"/>
  <c r="P50" i="3"/>
  <c r="M47" i="3"/>
  <c r="P47" i="3"/>
  <c r="M49" i="3"/>
  <c r="P49" i="3"/>
</calcChain>
</file>

<file path=xl/sharedStrings.xml><?xml version="1.0" encoding="utf-8"?>
<sst xmlns="http://schemas.openxmlformats.org/spreadsheetml/2006/main" count="1116" uniqueCount="26">
  <si>
    <t>GBM</t>
    <phoneticPr fontId="2" type="noConversion"/>
  </si>
  <si>
    <t>HSB</t>
    <phoneticPr fontId="2" type="noConversion"/>
  </si>
  <si>
    <t>WTC</t>
    <phoneticPr fontId="2" type="noConversion"/>
  </si>
  <si>
    <t>公司</t>
    <phoneticPr fontId="2" type="noConversion"/>
  </si>
  <si>
    <t>ISIN</t>
    <phoneticPr fontId="2" type="noConversion"/>
  </si>
  <si>
    <t>Issuer</t>
    <phoneticPr fontId="6" type="noConversion"/>
  </si>
  <si>
    <t>標的</t>
    <phoneticPr fontId="6" type="noConversion"/>
  </si>
  <si>
    <t>Tenor</t>
    <phoneticPr fontId="6" type="noConversion"/>
  </si>
  <si>
    <t>票息</t>
    <phoneticPr fontId="6" type="noConversion"/>
  </si>
  <si>
    <t>Spot Price</t>
    <phoneticPr fontId="2" type="noConversion"/>
  </si>
  <si>
    <t>Strike Price</t>
    <phoneticPr fontId="2" type="noConversion"/>
  </si>
  <si>
    <t>交易日</t>
    <phoneticPr fontId="6" type="noConversion"/>
  </si>
  <si>
    <t>交割日</t>
    <phoneticPr fontId="2" type="noConversion"/>
  </si>
  <si>
    <t>到期日</t>
    <phoneticPr fontId="2" type="noConversion"/>
  </si>
  <si>
    <t>領息日</t>
    <phoneticPr fontId="2" type="noConversion"/>
  </si>
  <si>
    <t>6981 村田</t>
    <phoneticPr fontId="2" type="noConversion"/>
  </si>
  <si>
    <t>2502 朝日</t>
    <phoneticPr fontId="2" type="noConversion"/>
  </si>
  <si>
    <t>-</t>
    <phoneticPr fontId="2" type="noConversion"/>
  </si>
  <si>
    <t>BOSS</t>
    <phoneticPr fontId="2" type="noConversion"/>
  </si>
  <si>
    <t>Put Strike(%)</t>
    <phoneticPr fontId="6" type="noConversion"/>
  </si>
  <si>
    <t>投資金額(日元)</t>
    <phoneticPr fontId="6" type="noConversion"/>
  </si>
  <si>
    <t>利息(日元)</t>
    <phoneticPr fontId="2" type="noConversion"/>
  </si>
  <si>
    <t xml:space="preserve"> 6976 太陽誘電</t>
  </si>
  <si>
    <t xml:space="preserve"> 6976 太陽誘電</t>
    <phoneticPr fontId="2" type="noConversion"/>
  </si>
  <si>
    <t>Outstanding</t>
    <phoneticPr fontId="2" type="noConversion"/>
  </si>
  <si>
    <t>COMBO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</si>
</sst>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5" fillId="0" borderId="0" xfId="0" applyFont="1">
      <alignment vertical="center"/>
    </xf>
    <xf numFmtId="14" fontId="4" fillId="0" borderId="2" xfId="1" applyNumberFormat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/>
    </xf>
    <xf numFmtId="10" fontId="4" fillId="0" borderId="1" xfId="2" applyNumberFormat="1" applyFont="1" applyFill="1" applyBorder="1" applyAlignment="1">
      <alignment horizontal="center" vertical="center"/>
    </xf>
    <xf numFmtId="176" fontId="4" fillId="0" borderId="2" xfId="1" applyNumberFormat="1" applyFont="1" applyFill="1" applyBorder="1" applyAlignment="1">
      <alignment horizontal="center" vertical="center" wrapText="1"/>
    </xf>
    <xf numFmtId="176" fontId="4" fillId="0" borderId="2" xfId="1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0" fontId="4" fillId="0" borderId="2" xfId="2" applyNumberFormat="1" applyFont="1" applyFill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2" xfId="1" applyNumberFormat="1" applyFont="1" applyFill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2" xfId="2" applyNumberFormat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 wrapText="1"/>
    </xf>
    <xf numFmtId="176" fontId="5" fillId="0" borderId="2" xfId="1" applyNumberFormat="1" applyFont="1" applyFill="1" applyBorder="1" applyAlignment="1">
      <alignment horizontal="center" vertical="center"/>
    </xf>
    <xf numFmtId="176" fontId="5" fillId="0" borderId="2" xfId="1" applyNumberFormat="1" applyFont="1" applyFill="1" applyBorder="1" applyAlignment="1">
      <alignment vertical="center" wrapText="1"/>
    </xf>
    <xf numFmtId="14" fontId="5" fillId="0" borderId="1" xfId="1" applyNumberFormat="1" applyFont="1" applyFill="1" applyBorder="1" applyAlignment="1">
      <alignment horizontal="center" vertical="center"/>
    </xf>
    <xf numFmtId="10" fontId="5" fillId="0" borderId="1" xfId="2" applyNumberFormat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176" fontId="4" fillId="0" borderId="2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1" applyNumberFormat="1" applyFont="1" applyFill="1" applyBorder="1" applyAlignment="1">
      <alignment horizontal="center" vertical="center"/>
    </xf>
    <xf numFmtId="176" fontId="7" fillId="2" borderId="2" xfId="1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176" fontId="7" fillId="2" borderId="2" xfId="1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10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3" borderId="2" xfId="1" applyNumberFormat="1" applyFont="1" applyFill="1" applyBorder="1" applyAlignment="1">
      <alignment horizontal="center" vertical="center"/>
    </xf>
  </cellXfs>
  <cellStyles count="4">
    <cellStyle name="一般" xfId="0" builtinId="0"/>
    <cellStyle name="千分位" xfId="1" builtinId="3"/>
    <cellStyle name="千分位 2" xfId="3" xr:uid="{F605A51D-49C9-4B50-879B-9B659654FD02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747</xdr:colOff>
      <xdr:row>10</xdr:row>
      <xdr:rowOff>224118</xdr:rowOff>
    </xdr:from>
    <xdr:to>
      <xdr:col>7</xdr:col>
      <xdr:colOff>325232</xdr:colOff>
      <xdr:row>20</xdr:row>
      <xdr:rowOff>54599</xdr:rowOff>
    </xdr:to>
    <xdr:sp macro="" textlink="">
      <xdr:nvSpPr>
        <xdr:cNvPr id="2" name="#READERSHIP">
          <a:extLst>
            <a:ext uri="{FF2B5EF4-FFF2-40B4-BE49-F238E27FC236}">
              <a16:creationId xmlns:a16="http://schemas.microsoft.com/office/drawing/2014/main" id="{635B4388-6C3F-48A2-BC0A-9AB3CE90ADFD}"/>
            </a:ext>
          </a:extLst>
        </xdr:cNvPr>
        <xdr:cNvSpPr>
          <a:spLocks noChangeAspect="1" noChangeArrowheads="1"/>
        </xdr:cNvSpPr>
      </xdr:nvSpPr>
      <xdr:spPr bwMode="auto">
        <a:xfrm>
          <a:off x="6188187" y="1176618"/>
          <a:ext cx="324485" cy="927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D115-060A-4BF7-BC16-DA8C9FD28EF3}">
  <dimension ref="A1:P276"/>
  <sheetViews>
    <sheetView tabSelected="1" topLeftCell="A225" workbookViewId="0">
      <selection activeCell="K230" sqref="K230"/>
    </sheetView>
  </sheetViews>
  <sheetFormatPr defaultColWidth="8.1328125" defaultRowHeight="16.149999999999999"/>
  <cols>
    <col min="1" max="1" width="5.86328125" bestFit="1" customWidth="1"/>
    <col min="2" max="2" width="5.33203125" bestFit="1" customWidth="1"/>
    <col min="3" max="3" width="8.53125" bestFit="1" customWidth="1"/>
    <col min="4" max="4" width="16.796875" bestFit="1" customWidth="1"/>
    <col min="5" max="5" width="7.46484375" bestFit="1" customWidth="1"/>
    <col min="6" max="6" width="8.1328125" bestFit="1" customWidth="1"/>
    <col min="7" max="7" width="14.46484375" bestFit="1" customWidth="1"/>
    <col min="8" max="8" width="11.53125" bestFit="1" customWidth="1"/>
    <col min="9" max="9" width="12.796875" bestFit="1" customWidth="1"/>
    <col min="10" max="13" width="12.19921875" bestFit="1" customWidth="1"/>
    <col min="14" max="14" width="15.33203125" customWidth="1"/>
    <col min="15" max="15" width="12.46484375" bestFit="1" customWidth="1"/>
    <col min="16" max="16" width="16.33203125" customWidth="1"/>
  </cols>
  <sheetData>
    <row r="1" spans="1:16" s="38" customFormat="1" ht="18.600000000000001" customHeight="1">
      <c r="A1" s="33" t="s">
        <v>3</v>
      </c>
      <c r="B1" s="33" t="s">
        <v>4</v>
      </c>
      <c r="C1" s="34" t="s">
        <v>5</v>
      </c>
      <c r="D1" s="34" t="s">
        <v>6</v>
      </c>
      <c r="E1" s="35" t="s">
        <v>7</v>
      </c>
      <c r="F1" s="36" t="s">
        <v>8</v>
      </c>
      <c r="G1" s="37" t="s">
        <v>19</v>
      </c>
      <c r="H1" s="37" t="s">
        <v>9</v>
      </c>
      <c r="I1" s="37" t="s">
        <v>10</v>
      </c>
      <c r="J1" s="33" t="s">
        <v>11</v>
      </c>
      <c r="K1" s="33" t="s">
        <v>12</v>
      </c>
      <c r="L1" s="33" t="s">
        <v>13</v>
      </c>
      <c r="M1" s="33" t="s">
        <v>14</v>
      </c>
      <c r="N1" s="36" t="s">
        <v>20</v>
      </c>
      <c r="O1" s="37" t="s">
        <v>21</v>
      </c>
      <c r="P1" s="37" t="s">
        <v>24</v>
      </c>
    </row>
    <row r="2" spans="1:16" s="1" customFormat="1" ht="13.15">
      <c r="A2" s="15" t="s">
        <v>2</v>
      </c>
      <c r="B2" s="2" t="s">
        <v>17</v>
      </c>
      <c r="C2" s="2" t="s">
        <v>17</v>
      </c>
      <c r="D2" s="2" t="s">
        <v>25</v>
      </c>
      <c r="E2" s="17">
        <v>3</v>
      </c>
      <c r="F2" s="18">
        <v>0.1</v>
      </c>
      <c r="G2" s="24">
        <v>0.89280000000000004</v>
      </c>
      <c r="H2" s="20">
        <v>2445.7239</v>
      </c>
      <c r="I2" s="20">
        <v>934.64553599999999</v>
      </c>
      <c r="J2" s="23">
        <v>45663</v>
      </c>
      <c r="K2" s="23">
        <v>45671</v>
      </c>
      <c r="L2" s="23">
        <v>45761</v>
      </c>
      <c r="M2" s="23">
        <v>45763</v>
      </c>
      <c r="N2" s="21">
        <v>50000000</v>
      </c>
      <c r="O2" s="22">
        <f t="shared" ref="O2:O65" si="0">N2*F2*E2/12</f>
        <v>1250000</v>
      </c>
      <c r="P2" s="6" t="str">
        <f t="shared" ref="P2:P65" ca="1" si="1">IF(TODAY()&gt;=L2, "已到期", "未到期")</f>
        <v>已到期</v>
      </c>
    </row>
    <row r="3" spans="1:16" s="1" customFormat="1" ht="13.15">
      <c r="A3" s="15" t="s">
        <v>1</v>
      </c>
      <c r="B3" s="2" t="s">
        <v>17</v>
      </c>
      <c r="C3" s="2" t="s">
        <v>17</v>
      </c>
      <c r="D3" s="2" t="s">
        <v>25</v>
      </c>
      <c r="E3" s="17">
        <v>3</v>
      </c>
      <c r="F3" s="18">
        <v>0.1</v>
      </c>
      <c r="G3" s="24">
        <v>0.89280000000000004</v>
      </c>
      <c r="H3" s="20">
        <v>2528.7618000000002</v>
      </c>
      <c r="I3" s="20">
        <v>934.64553599999999</v>
      </c>
      <c r="J3" s="23">
        <v>45663</v>
      </c>
      <c r="K3" s="23">
        <v>45671</v>
      </c>
      <c r="L3" s="23">
        <v>45761</v>
      </c>
      <c r="M3" s="23">
        <v>45763</v>
      </c>
      <c r="N3" s="21">
        <v>80000000</v>
      </c>
      <c r="O3" s="22">
        <f t="shared" si="0"/>
        <v>2000000</v>
      </c>
      <c r="P3" s="6" t="str">
        <f t="shared" ca="1" si="1"/>
        <v>已到期</v>
      </c>
    </row>
    <row r="4" spans="1:16" s="1" customFormat="1" ht="13.15">
      <c r="A4" s="15" t="s">
        <v>0</v>
      </c>
      <c r="B4" s="2" t="s">
        <v>17</v>
      </c>
      <c r="C4" s="2" t="s">
        <v>17</v>
      </c>
      <c r="D4" s="2" t="s">
        <v>25</v>
      </c>
      <c r="E4" s="17">
        <v>3</v>
      </c>
      <c r="F4" s="18">
        <v>0.1</v>
      </c>
      <c r="G4" s="19">
        <v>0.89280000000000004</v>
      </c>
      <c r="H4" s="20">
        <v>2353.3555000000001</v>
      </c>
      <c r="I4" s="20">
        <v>934.64553599999999</v>
      </c>
      <c r="J4" s="23">
        <v>45663</v>
      </c>
      <c r="K4" s="23">
        <v>45671</v>
      </c>
      <c r="L4" s="23">
        <v>45761</v>
      </c>
      <c r="M4" s="23">
        <v>45763</v>
      </c>
      <c r="N4" s="21">
        <v>30000000</v>
      </c>
      <c r="O4" s="22">
        <f t="shared" si="0"/>
        <v>750000</v>
      </c>
      <c r="P4" s="6" t="str">
        <f t="shared" ca="1" si="1"/>
        <v>已到期</v>
      </c>
    </row>
    <row r="5" spans="1:16" s="1" customFormat="1" ht="13.15">
      <c r="A5" s="15" t="s">
        <v>1</v>
      </c>
      <c r="B5" s="2" t="s">
        <v>17</v>
      </c>
      <c r="C5" s="2" t="s">
        <v>17</v>
      </c>
      <c r="D5" s="2" t="s">
        <v>25</v>
      </c>
      <c r="E5" s="17">
        <v>1</v>
      </c>
      <c r="F5" s="18">
        <v>0.125</v>
      </c>
      <c r="G5" s="24">
        <v>0.9</v>
      </c>
      <c r="H5" s="20">
        <v>1939.9699000000001</v>
      </c>
      <c r="I5" s="20">
        <v>937.45439999999996</v>
      </c>
      <c r="J5" s="23">
        <v>45722</v>
      </c>
      <c r="K5" s="23">
        <v>45730</v>
      </c>
      <c r="L5" s="23">
        <v>45761</v>
      </c>
      <c r="M5" s="23">
        <v>45763</v>
      </c>
      <c r="N5" s="21">
        <v>50000000</v>
      </c>
      <c r="O5" s="22">
        <f t="shared" si="0"/>
        <v>520833.33333333331</v>
      </c>
      <c r="P5" s="6" t="str">
        <f t="shared" ca="1" si="1"/>
        <v>已到期</v>
      </c>
    </row>
    <row r="6" spans="1:16" s="1" customFormat="1" ht="13.15">
      <c r="A6" s="15" t="s">
        <v>2</v>
      </c>
      <c r="B6" s="2" t="s">
        <v>17</v>
      </c>
      <c r="C6" s="2" t="s">
        <v>17</v>
      </c>
      <c r="D6" s="2" t="s">
        <v>25</v>
      </c>
      <c r="E6" s="17">
        <v>1</v>
      </c>
      <c r="F6" s="18">
        <v>0.12</v>
      </c>
      <c r="G6" s="24">
        <v>0.89680000000000004</v>
      </c>
      <c r="H6" s="20">
        <v>1772.4658999999999</v>
      </c>
      <c r="I6" s="20">
        <v>910.70282136000003</v>
      </c>
      <c r="J6" s="23">
        <v>45728</v>
      </c>
      <c r="K6" s="23">
        <v>45735</v>
      </c>
      <c r="L6" s="23">
        <v>45768</v>
      </c>
      <c r="M6" s="23">
        <v>45770</v>
      </c>
      <c r="N6" s="21">
        <v>40000000</v>
      </c>
      <c r="O6" s="22">
        <f t="shared" si="0"/>
        <v>400000</v>
      </c>
      <c r="P6" s="6" t="str">
        <f t="shared" ca="1" si="1"/>
        <v>已到期</v>
      </c>
    </row>
    <row r="7" spans="1:16" s="1" customFormat="1" ht="13.15">
      <c r="A7" s="15" t="s">
        <v>1</v>
      </c>
      <c r="B7" s="2" t="s">
        <v>17</v>
      </c>
      <c r="C7" s="2" t="s">
        <v>17</v>
      </c>
      <c r="D7" s="2" t="s">
        <v>25</v>
      </c>
      <c r="E7" s="17">
        <v>1</v>
      </c>
      <c r="F7" s="18">
        <v>0.12</v>
      </c>
      <c r="G7" s="24">
        <v>0.90710000000000002</v>
      </c>
      <c r="H7" s="20">
        <v>1994.6586</v>
      </c>
      <c r="I7" s="20">
        <v>971.05055000000004</v>
      </c>
      <c r="J7" s="23">
        <v>45734</v>
      </c>
      <c r="K7" s="23">
        <v>45741</v>
      </c>
      <c r="L7" s="23">
        <v>45772</v>
      </c>
      <c r="M7" s="23">
        <v>45777</v>
      </c>
      <c r="N7" s="21">
        <v>198300000</v>
      </c>
      <c r="O7" s="22">
        <f t="shared" si="0"/>
        <v>1983000</v>
      </c>
      <c r="P7" s="6" t="str">
        <f t="shared" ca="1" si="1"/>
        <v>已到期</v>
      </c>
    </row>
    <row r="8" spans="1:16" s="1" customFormat="1" ht="13.15">
      <c r="A8" s="9" t="s">
        <v>18</v>
      </c>
      <c r="B8" s="2" t="s">
        <v>17</v>
      </c>
      <c r="C8" s="2" t="s">
        <v>17</v>
      </c>
      <c r="D8" s="10" t="s">
        <v>23</v>
      </c>
      <c r="E8" s="6">
        <v>1</v>
      </c>
      <c r="F8" s="29">
        <v>0.15</v>
      </c>
      <c r="G8" s="5">
        <v>0.86870000000000003</v>
      </c>
      <c r="H8" s="3">
        <v>2445.7239</v>
      </c>
      <c r="I8" s="3">
        <f t="shared" ref="I8:I13" si="2">H8*G8</f>
        <v>2124.6003519300002</v>
      </c>
      <c r="J8" s="4">
        <v>45748</v>
      </c>
      <c r="K8" s="4">
        <v>45755</v>
      </c>
      <c r="L8" s="4">
        <v>45785</v>
      </c>
      <c r="M8" s="4">
        <v>45787</v>
      </c>
      <c r="N8" s="7">
        <v>200000000</v>
      </c>
      <c r="O8" s="6">
        <f t="shared" si="0"/>
        <v>2500000</v>
      </c>
      <c r="P8" s="6" t="str">
        <f t="shared" ca="1" si="1"/>
        <v>已到期</v>
      </c>
    </row>
    <row r="9" spans="1:16" s="1" customFormat="1" ht="13.15">
      <c r="A9" s="9" t="s">
        <v>18</v>
      </c>
      <c r="B9" s="2" t="s">
        <v>17</v>
      </c>
      <c r="C9" s="2" t="s">
        <v>17</v>
      </c>
      <c r="D9" s="10" t="s">
        <v>23</v>
      </c>
      <c r="E9" s="6">
        <v>1</v>
      </c>
      <c r="F9" s="29">
        <v>0.15</v>
      </c>
      <c r="G9" s="5">
        <v>0.87360000000000004</v>
      </c>
      <c r="H9" s="3">
        <v>2528.7618000000002</v>
      </c>
      <c r="I9" s="3">
        <f t="shared" si="2"/>
        <v>2209.1263084800003</v>
      </c>
      <c r="J9" s="4">
        <v>45749</v>
      </c>
      <c r="K9" s="4">
        <v>45756</v>
      </c>
      <c r="L9" s="4">
        <v>45786</v>
      </c>
      <c r="M9" s="4">
        <v>45790</v>
      </c>
      <c r="N9" s="7">
        <v>200000000</v>
      </c>
      <c r="O9" s="6">
        <f t="shared" si="0"/>
        <v>2500000</v>
      </c>
      <c r="P9" s="6" t="str">
        <f t="shared" ca="1" si="1"/>
        <v>已到期</v>
      </c>
    </row>
    <row r="10" spans="1:16" s="1" customFormat="1" ht="13.15">
      <c r="A10" s="9" t="s">
        <v>18</v>
      </c>
      <c r="B10" s="2" t="s">
        <v>17</v>
      </c>
      <c r="C10" s="2" t="s">
        <v>17</v>
      </c>
      <c r="D10" s="10" t="s">
        <v>22</v>
      </c>
      <c r="E10" s="6">
        <v>1</v>
      </c>
      <c r="F10" s="29">
        <v>0.15</v>
      </c>
      <c r="G10" s="5">
        <v>0.83209999999999995</v>
      </c>
      <c r="H10" s="3">
        <v>2353.3555000000001</v>
      </c>
      <c r="I10" s="3">
        <f t="shared" si="2"/>
        <v>1958.22711155</v>
      </c>
      <c r="J10" s="4">
        <v>45750</v>
      </c>
      <c r="K10" s="4">
        <v>45757</v>
      </c>
      <c r="L10" s="4">
        <v>45787</v>
      </c>
      <c r="M10" s="4">
        <v>45789</v>
      </c>
      <c r="N10" s="7">
        <v>200000000</v>
      </c>
      <c r="O10" s="6">
        <f t="shared" si="0"/>
        <v>2500000</v>
      </c>
      <c r="P10" s="6" t="str">
        <f t="shared" ca="1" si="1"/>
        <v>已到期</v>
      </c>
    </row>
    <row r="11" spans="1:16" s="13" customFormat="1" ht="15.4">
      <c r="A11" s="9" t="s">
        <v>18</v>
      </c>
      <c r="B11" s="2" t="s">
        <v>17</v>
      </c>
      <c r="C11" s="2" t="s">
        <v>17</v>
      </c>
      <c r="D11" s="10" t="s">
        <v>22</v>
      </c>
      <c r="E11" s="6">
        <v>1</v>
      </c>
      <c r="F11" s="29">
        <v>0.15</v>
      </c>
      <c r="G11" s="5">
        <v>0.82079999999999997</v>
      </c>
      <c r="H11" s="3">
        <v>1939.9699000000001</v>
      </c>
      <c r="I11" s="3">
        <f t="shared" si="2"/>
        <v>1592.3272939200001</v>
      </c>
      <c r="J11" s="4">
        <v>45755</v>
      </c>
      <c r="K11" s="4">
        <v>45762</v>
      </c>
      <c r="L11" s="4">
        <v>45792</v>
      </c>
      <c r="M11" s="4">
        <v>45794</v>
      </c>
      <c r="N11" s="7">
        <v>200000000</v>
      </c>
      <c r="O11" s="6">
        <f t="shared" si="0"/>
        <v>2500000</v>
      </c>
      <c r="P11" s="6" t="str">
        <f t="shared" ca="1" si="1"/>
        <v>已到期</v>
      </c>
    </row>
    <row r="12" spans="1:16" s="13" customFormat="1" ht="15.4">
      <c r="A12" s="9" t="s">
        <v>18</v>
      </c>
      <c r="B12" s="2" t="s">
        <v>17</v>
      </c>
      <c r="C12" s="2" t="s">
        <v>17</v>
      </c>
      <c r="D12" s="10" t="s">
        <v>22</v>
      </c>
      <c r="E12" s="6">
        <v>1</v>
      </c>
      <c r="F12" s="29">
        <v>0.25530000000000003</v>
      </c>
      <c r="G12" s="5">
        <v>0.85</v>
      </c>
      <c r="H12" s="3">
        <v>1772.4658999999999</v>
      </c>
      <c r="I12" s="3">
        <f t="shared" si="2"/>
        <v>1506.5960149999999</v>
      </c>
      <c r="J12" s="4">
        <v>45756</v>
      </c>
      <c r="K12" s="4">
        <v>45763</v>
      </c>
      <c r="L12" s="4">
        <v>45793</v>
      </c>
      <c r="M12" s="4">
        <v>45795</v>
      </c>
      <c r="N12" s="7">
        <v>200000000</v>
      </c>
      <c r="O12" s="6">
        <f t="shared" si="0"/>
        <v>4255000.0000000009</v>
      </c>
      <c r="P12" s="6" t="str">
        <f t="shared" ca="1" si="1"/>
        <v>已到期</v>
      </c>
    </row>
    <row r="13" spans="1:16" s="13" customFormat="1" ht="15.4">
      <c r="A13" s="9" t="s">
        <v>18</v>
      </c>
      <c r="B13" s="2" t="s">
        <v>17</v>
      </c>
      <c r="C13" s="2" t="s">
        <v>17</v>
      </c>
      <c r="D13" s="10" t="s">
        <v>22</v>
      </c>
      <c r="E13" s="6">
        <v>1</v>
      </c>
      <c r="F13" s="29">
        <v>0.18290000000000001</v>
      </c>
      <c r="G13" s="5">
        <v>0.85</v>
      </c>
      <c r="H13" s="3">
        <v>1994.6586</v>
      </c>
      <c r="I13" s="3">
        <f t="shared" si="2"/>
        <v>1695.4598099999998</v>
      </c>
      <c r="J13" s="4">
        <v>45757</v>
      </c>
      <c r="K13" s="4">
        <v>45764</v>
      </c>
      <c r="L13" s="4">
        <v>45796</v>
      </c>
      <c r="M13" s="4">
        <v>45798</v>
      </c>
      <c r="N13" s="7">
        <v>200000000</v>
      </c>
      <c r="O13" s="6">
        <f t="shared" si="0"/>
        <v>3048333.3333333335</v>
      </c>
      <c r="P13" s="6" t="str">
        <f t="shared" ca="1" si="1"/>
        <v>已到期</v>
      </c>
    </row>
    <row r="14" spans="1:16" s="13" customFormat="1" ht="15.4">
      <c r="A14" s="15" t="s">
        <v>2</v>
      </c>
      <c r="B14" s="2" t="s">
        <v>17</v>
      </c>
      <c r="C14" s="2" t="s">
        <v>17</v>
      </c>
      <c r="D14" s="2" t="s">
        <v>25</v>
      </c>
      <c r="E14" s="17">
        <v>1</v>
      </c>
      <c r="F14" s="18">
        <v>0.15</v>
      </c>
      <c r="G14" s="24">
        <v>0.91200000000000003</v>
      </c>
      <c r="H14" s="20">
        <v>2207.712</v>
      </c>
      <c r="I14" s="20">
        <v>841.89547200000004</v>
      </c>
      <c r="J14" s="23">
        <v>45769</v>
      </c>
      <c r="K14" s="23">
        <v>45776</v>
      </c>
      <c r="L14" s="23">
        <v>45807</v>
      </c>
      <c r="M14" s="23">
        <v>45810</v>
      </c>
      <c r="N14" s="21">
        <v>45000000</v>
      </c>
      <c r="O14" s="22">
        <f t="shared" si="0"/>
        <v>562500</v>
      </c>
      <c r="P14" s="6" t="str">
        <f t="shared" ca="1" si="1"/>
        <v>已到期</v>
      </c>
    </row>
    <row r="15" spans="1:16" s="13" customFormat="1" ht="15.4">
      <c r="A15" s="15" t="s">
        <v>1</v>
      </c>
      <c r="B15" s="2" t="s">
        <v>17</v>
      </c>
      <c r="C15" s="2" t="s">
        <v>17</v>
      </c>
      <c r="D15" s="2" t="s">
        <v>25</v>
      </c>
      <c r="E15" s="17">
        <v>2</v>
      </c>
      <c r="F15" s="18">
        <v>0.12</v>
      </c>
      <c r="G15" s="24">
        <v>0.90069999999999995</v>
      </c>
      <c r="H15" s="20">
        <f>I15/G15</f>
        <v>1077.0289774619741</v>
      </c>
      <c r="I15" s="25">
        <v>970.08</v>
      </c>
      <c r="J15" s="23">
        <v>45740</v>
      </c>
      <c r="K15" s="23">
        <v>45747</v>
      </c>
      <c r="L15" s="23">
        <v>45810</v>
      </c>
      <c r="M15" s="23">
        <v>45812</v>
      </c>
      <c r="N15" s="21">
        <v>150000000</v>
      </c>
      <c r="O15" s="17">
        <f t="shared" si="0"/>
        <v>3000000</v>
      </c>
      <c r="P15" s="6" t="str">
        <f t="shared" ca="1" si="1"/>
        <v>已到期</v>
      </c>
    </row>
    <row r="16" spans="1:16" s="13" customFormat="1" ht="15.4">
      <c r="A16" s="9" t="s">
        <v>18</v>
      </c>
      <c r="B16" s="2" t="s">
        <v>17</v>
      </c>
      <c r="C16" s="2" t="s">
        <v>17</v>
      </c>
      <c r="D16" s="10" t="s">
        <v>22</v>
      </c>
      <c r="E16" s="6">
        <v>1</v>
      </c>
      <c r="F16" s="29">
        <v>0.20300000000000001</v>
      </c>
      <c r="G16" s="5">
        <v>0.85</v>
      </c>
      <c r="H16" s="3">
        <v>1830.3033</v>
      </c>
      <c r="I16" s="3">
        <f t="shared" ref="I16:I57" si="3">H16*G16</f>
        <v>1555.757805</v>
      </c>
      <c r="J16" s="4">
        <v>45785</v>
      </c>
      <c r="K16" s="4">
        <v>45792</v>
      </c>
      <c r="L16" s="4">
        <v>45824</v>
      </c>
      <c r="M16" s="4">
        <v>45826</v>
      </c>
      <c r="N16" s="7">
        <v>200000000</v>
      </c>
      <c r="O16" s="6">
        <f t="shared" si="0"/>
        <v>3383333.3333333335</v>
      </c>
      <c r="P16" s="6" t="str">
        <f t="shared" ca="1" si="1"/>
        <v>已到期</v>
      </c>
    </row>
    <row r="17" spans="1:16" s="13" customFormat="1" ht="15.4">
      <c r="A17" s="9" t="s">
        <v>18</v>
      </c>
      <c r="B17" s="2" t="s">
        <v>17</v>
      </c>
      <c r="C17" s="2" t="s">
        <v>17</v>
      </c>
      <c r="D17" s="10" t="s">
        <v>22</v>
      </c>
      <c r="E17" s="6">
        <v>1</v>
      </c>
      <c r="F17" s="29">
        <v>0.21289999999999998</v>
      </c>
      <c r="G17" s="5">
        <v>0.85499999999999998</v>
      </c>
      <c r="H17" s="3">
        <v>2207.712</v>
      </c>
      <c r="I17" s="3">
        <f t="shared" si="3"/>
        <v>1887.59376</v>
      </c>
      <c r="J17" s="4">
        <v>45786</v>
      </c>
      <c r="K17" s="4">
        <v>45793</v>
      </c>
      <c r="L17" s="4">
        <v>45824</v>
      </c>
      <c r="M17" s="4">
        <v>45826</v>
      </c>
      <c r="N17" s="7">
        <v>200000000</v>
      </c>
      <c r="O17" s="6">
        <f t="shared" si="0"/>
        <v>3548333.3333333326</v>
      </c>
      <c r="P17" s="6" t="str">
        <f t="shared" ca="1" si="1"/>
        <v>已到期</v>
      </c>
    </row>
    <row r="18" spans="1:16" s="13" customFormat="1" ht="15.4">
      <c r="A18" s="9" t="s">
        <v>18</v>
      </c>
      <c r="B18" s="2" t="s">
        <v>17</v>
      </c>
      <c r="C18" s="2" t="s">
        <v>17</v>
      </c>
      <c r="D18" s="10" t="s">
        <v>22</v>
      </c>
      <c r="E18" s="6">
        <v>1</v>
      </c>
      <c r="F18" s="29">
        <v>0.19</v>
      </c>
      <c r="G18" s="5">
        <v>0.85880000000000001</v>
      </c>
      <c r="H18" s="3">
        <v>2239.3827000000001</v>
      </c>
      <c r="I18" s="3">
        <f t="shared" si="3"/>
        <v>1923.1818627600001</v>
      </c>
      <c r="J18" s="4">
        <v>45789</v>
      </c>
      <c r="K18" s="4">
        <v>45796</v>
      </c>
      <c r="L18" s="4">
        <v>45827</v>
      </c>
      <c r="M18" s="4">
        <v>45831</v>
      </c>
      <c r="N18" s="7">
        <v>200000000</v>
      </c>
      <c r="O18" s="6">
        <f t="shared" si="0"/>
        <v>3166666.6666666665</v>
      </c>
      <c r="P18" s="6" t="str">
        <f t="shared" ca="1" si="1"/>
        <v>已到期</v>
      </c>
    </row>
    <row r="19" spans="1:16" s="13" customFormat="1" ht="15.4">
      <c r="A19" s="9" t="s">
        <v>18</v>
      </c>
      <c r="B19" s="2" t="s">
        <v>17</v>
      </c>
      <c r="C19" s="2" t="s">
        <v>17</v>
      </c>
      <c r="D19" s="10" t="s">
        <v>22</v>
      </c>
      <c r="E19" s="6">
        <v>1</v>
      </c>
      <c r="F19" s="29">
        <v>0.2</v>
      </c>
      <c r="G19" s="5">
        <v>0.874</v>
      </c>
      <c r="H19" s="3">
        <v>2344.5063</v>
      </c>
      <c r="I19" s="3">
        <f t="shared" si="3"/>
        <v>2049.0985062</v>
      </c>
      <c r="J19" s="4">
        <v>45791</v>
      </c>
      <c r="K19" s="4">
        <f t="shared" ref="K19:K26" si="4">J19+7</f>
        <v>45798</v>
      </c>
      <c r="L19" s="4">
        <v>45831</v>
      </c>
      <c r="M19" s="4">
        <v>45833</v>
      </c>
      <c r="N19" s="7">
        <v>400000000</v>
      </c>
      <c r="O19" s="6">
        <f t="shared" si="0"/>
        <v>6666666.666666667</v>
      </c>
      <c r="P19" s="6" t="str">
        <f t="shared" ca="1" si="1"/>
        <v>已到期</v>
      </c>
    </row>
    <row r="20" spans="1:16" s="1" customFormat="1" ht="13.15">
      <c r="A20" s="9" t="s">
        <v>18</v>
      </c>
      <c r="B20" s="2" t="s">
        <v>17</v>
      </c>
      <c r="C20" s="2" t="s">
        <v>17</v>
      </c>
      <c r="D20" s="10" t="s">
        <v>22</v>
      </c>
      <c r="E20" s="6">
        <v>1</v>
      </c>
      <c r="F20" s="29">
        <v>0.15</v>
      </c>
      <c r="G20" s="14">
        <v>0.8619</v>
      </c>
      <c r="H20" s="3">
        <v>2478.7289000000001</v>
      </c>
      <c r="I20" s="3">
        <f t="shared" si="3"/>
        <v>2136.4164389100001</v>
      </c>
      <c r="J20" s="2">
        <v>45796</v>
      </c>
      <c r="K20" s="2">
        <f t="shared" si="4"/>
        <v>45803</v>
      </c>
      <c r="L20" s="2">
        <v>45834</v>
      </c>
      <c r="M20" s="2">
        <v>45838</v>
      </c>
      <c r="N20" s="7">
        <v>200000000</v>
      </c>
      <c r="O20" s="6">
        <f t="shared" si="0"/>
        <v>2500000</v>
      </c>
      <c r="P20" s="6" t="str">
        <f t="shared" ca="1" si="1"/>
        <v>已到期</v>
      </c>
    </row>
    <row r="21" spans="1:16" s="1" customFormat="1" ht="13.15">
      <c r="A21" s="9" t="s">
        <v>18</v>
      </c>
      <c r="B21" s="2" t="s">
        <v>17</v>
      </c>
      <c r="C21" s="2" t="s">
        <v>17</v>
      </c>
      <c r="D21" s="10" t="s">
        <v>22</v>
      </c>
      <c r="E21" s="6">
        <v>1</v>
      </c>
      <c r="F21" s="29">
        <v>0.15</v>
      </c>
      <c r="G21" s="14">
        <v>0.85460000000000003</v>
      </c>
      <c r="H21" s="3">
        <v>2378.31</v>
      </c>
      <c r="I21" s="3">
        <f t="shared" si="3"/>
        <v>2032.5037259999999</v>
      </c>
      <c r="J21" s="2">
        <v>45799</v>
      </c>
      <c r="K21" s="2">
        <f t="shared" si="4"/>
        <v>45806</v>
      </c>
      <c r="L21" s="2">
        <v>45838</v>
      </c>
      <c r="M21" s="2">
        <f>L21+2</f>
        <v>45840</v>
      </c>
      <c r="N21" s="7">
        <v>200000000</v>
      </c>
      <c r="O21" s="6">
        <f t="shared" si="0"/>
        <v>2500000</v>
      </c>
      <c r="P21" s="6" t="str">
        <f t="shared" ca="1" si="1"/>
        <v>已到期</v>
      </c>
    </row>
    <row r="22" spans="1:16" s="13" customFormat="1" ht="15.4">
      <c r="A22" s="9" t="s">
        <v>18</v>
      </c>
      <c r="B22" s="2" t="s">
        <v>17</v>
      </c>
      <c r="C22" s="2" t="s">
        <v>17</v>
      </c>
      <c r="D22" s="10" t="s">
        <v>22</v>
      </c>
      <c r="E22" s="6">
        <v>1</v>
      </c>
      <c r="F22" s="29">
        <v>0.2</v>
      </c>
      <c r="G22" s="5">
        <v>0.88390000000000002</v>
      </c>
      <c r="H22" s="3">
        <v>2358.4841000000001</v>
      </c>
      <c r="I22" s="3">
        <f t="shared" si="3"/>
        <v>2084.6640959900001</v>
      </c>
      <c r="J22" s="4">
        <v>45800</v>
      </c>
      <c r="K22" s="4">
        <f t="shared" si="4"/>
        <v>45807</v>
      </c>
      <c r="L22" s="4">
        <v>45838</v>
      </c>
      <c r="M22" s="4">
        <v>45840</v>
      </c>
      <c r="N22" s="7">
        <v>200000000</v>
      </c>
      <c r="O22" s="6">
        <f t="shared" si="0"/>
        <v>3333333.3333333335</v>
      </c>
      <c r="P22" s="6" t="str">
        <f t="shared" ca="1" si="1"/>
        <v>已到期</v>
      </c>
    </row>
    <row r="23" spans="1:16" s="13" customFormat="1" ht="15.4">
      <c r="A23" s="9" t="s">
        <v>18</v>
      </c>
      <c r="B23" s="2" t="s">
        <v>17</v>
      </c>
      <c r="C23" s="2" t="s">
        <v>17</v>
      </c>
      <c r="D23" s="10" t="s">
        <v>22</v>
      </c>
      <c r="E23" s="6">
        <v>1</v>
      </c>
      <c r="F23" s="29">
        <v>0.2</v>
      </c>
      <c r="G23" s="5">
        <v>0.87880000000000003</v>
      </c>
      <c r="H23" s="3">
        <v>2335.4229999999998</v>
      </c>
      <c r="I23" s="3">
        <f t="shared" si="3"/>
        <v>2052.3697324</v>
      </c>
      <c r="J23" s="4">
        <v>45803</v>
      </c>
      <c r="K23" s="4">
        <f t="shared" si="4"/>
        <v>45810</v>
      </c>
      <c r="L23" s="4">
        <v>45840</v>
      </c>
      <c r="M23" s="4">
        <v>45842</v>
      </c>
      <c r="N23" s="7">
        <v>200000000</v>
      </c>
      <c r="O23" s="6">
        <f t="shared" si="0"/>
        <v>3333333.3333333335</v>
      </c>
      <c r="P23" s="6" t="str">
        <f t="shared" ca="1" si="1"/>
        <v>已到期</v>
      </c>
    </row>
    <row r="24" spans="1:16" s="13" customFormat="1" ht="15.4">
      <c r="A24" s="9" t="s">
        <v>18</v>
      </c>
      <c r="B24" s="2" t="s">
        <v>17</v>
      </c>
      <c r="C24" s="2" t="s">
        <v>17</v>
      </c>
      <c r="D24" s="10" t="s">
        <v>22</v>
      </c>
      <c r="E24" s="6">
        <v>1</v>
      </c>
      <c r="F24" s="29">
        <v>0.2</v>
      </c>
      <c r="G24" s="5">
        <v>0.87809999999999999</v>
      </c>
      <c r="H24" s="3">
        <v>2365.4243000000001</v>
      </c>
      <c r="I24" s="3">
        <f t="shared" si="3"/>
        <v>2077.0790778300002</v>
      </c>
      <c r="J24" s="4">
        <v>45804</v>
      </c>
      <c r="K24" s="4">
        <f t="shared" si="4"/>
        <v>45811</v>
      </c>
      <c r="L24" s="4">
        <v>45841</v>
      </c>
      <c r="M24" s="4">
        <v>45843</v>
      </c>
      <c r="N24" s="7">
        <v>200000000</v>
      </c>
      <c r="O24" s="6">
        <f t="shared" si="0"/>
        <v>3333333.3333333335</v>
      </c>
      <c r="P24" s="6" t="str">
        <f t="shared" ca="1" si="1"/>
        <v>已到期</v>
      </c>
    </row>
    <row r="25" spans="1:16" s="13" customFormat="1" ht="15.4">
      <c r="A25" s="9" t="s">
        <v>18</v>
      </c>
      <c r="B25" s="2" t="s">
        <v>17</v>
      </c>
      <c r="C25" s="2" t="s">
        <v>17</v>
      </c>
      <c r="D25" s="10" t="s">
        <v>22</v>
      </c>
      <c r="E25" s="6">
        <v>1</v>
      </c>
      <c r="F25" s="29">
        <v>0.2</v>
      </c>
      <c r="G25" s="5">
        <v>0.88170000000000004</v>
      </c>
      <c r="H25" s="3">
        <v>2421.4047</v>
      </c>
      <c r="I25" s="3">
        <f t="shared" si="3"/>
        <v>2134.9525239899999</v>
      </c>
      <c r="J25" s="4">
        <v>45805</v>
      </c>
      <c r="K25" s="4">
        <f t="shared" si="4"/>
        <v>45812</v>
      </c>
      <c r="L25" s="4">
        <v>45842</v>
      </c>
      <c r="M25" s="4">
        <v>45844</v>
      </c>
      <c r="N25" s="7">
        <v>200000000</v>
      </c>
      <c r="O25" s="6">
        <f t="shared" si="0"/>
        <v>3333333.3333333335</v>
      </c>
      <c r="P25" s="6" t="str">
        <f t="shared" ca="1" si="1"/>
        <v>已到期</v>
      </c>
    </row>
    <row r="26" spans="1:16" s="1" customFormat="1" ht="13.15">
      <c r="A26" s="9" t="s">
        <v>18</v>
      </c>
      <c r="B26" s="2" t="s">
        <v>17</v>
      </c>
      <c r="C26" s="2" t="s">
        <v>17</v>
      </c>
      <c r="D26" s="10" t="s">
        <v>22</v>
      </c>
      <c r="E26" s="6">
        <v>1</v>
      </c>
      <c r="F26" s="29">
        <v>0.2</v>
      </c>
      <c r="G26" s="14">
        <v>0.88100000000000001</v>
      </c>
      <c r="H26" s="3">
        <v>2451.4922000000001</v>
      </c>
      <c r="I26" s="3">
        <f t="shared" si="3"/>
        <v>2159.7646282000001</v>
      </c>
      <c r="J26" s="2">
        <v>45806</v>
      </c>
      <c r="K26" s="2">
        <f t="shared" si="4"/>
        <v>45813</v>
      </c>
      <c r="L26" s="2">
        <v>45845</v>
      </c>
      <c r="M26" s="2">
        <f>L26+2</f>
        <v>45847</v>
      </c>
      <c r="N26" s="7">
        <v>200000000</v>
      </c>
      <c r="O26" s="6">
        <f t="shared" si="0"/>
        <v>3333333.3333333335</v>
      </c>
      <c r="P26" s="6" t="str">
        <f t="shared" ca="1" si="1"/>
        <v>已到期</v>
      </c>
    </row>
    <row r="27" spans="1:16" s="13" customFormat="1" ht="15.4">
      <c r="A27" s="16" t="s">
        <v>2</v>
      </c>
      <c r="B27" s="2" t="s">
        <v>17</v>
      </c>
      <c r="C27" s="2" t="s">
        <v>17</v>
      </c>
      <c r="D27" s="2" t="s">
        <v>25</v>
      </c>
      <c r="E27" s="17">
        <v>1</v>
      </c>
      <c r="F27" s="18">
        <v>0.15</v>
      </c>
      <c r="G27" s="24">
        <v>0.95130000000000003</v>
      </c>
      <c r="H27" s="20">
        <v>971.53700000000003</v>
      </c>
      <c r="I27" s="20">
        <f t="shared" si="3"/>
        <v>924.22314810000012</v>
      </c>
      <c r="J27" s="23">
        <v>45810</v>
      </c>
      <c r="K27" s="23">
        <v>45817</v>
      </c>
      <c r="L27" s="23">
        <v>45847</v>
      </c>
      <c r="M27" s="23">
        <v>45849</v>
      </c>
      <c r="N27" s="21">
        <v>45000000</v>
      </c>
      <c r="O27" s="22">
        <f t="shared" si="0"/>
        <v>562500</v>
      </c>
      <c r="P27" s="6" t="str">
        <f t="shared" ca="1" si="1"/>
        <v>已到期</v>
      </c>
    </row>
    <row r="28" spans="1:16" s="13" customFormat="1" ht="15.4">
      <c r="A28" s="9" t="s">
        <v>18</v>
      </c>
      <c r="B28" s="2" t="s">
        <v>17</v>
      </c>
      <c r="C28" s="2" t="s">
        <v>17</v>
      </c>
      <c r="D28" s="10" t="s">
        <v>22</v>
      </c>
      <c r="E28" s="6">
        <v>1</v>
      </c>
      <c r="F28" s="29">
        <v>0.2</v>
      </c>
      <c r="G28" s="5">
        <v>0.88919999999999999</v>
      </c>
      <c r="H28" s="3">
        <v>2357.4227999999998</v>
      </c>
      <c r="I28" s="3">
        <f t="shared" si="3"/>
        <v>2096.2203537599999</v>
      </c>
      <c r="J28" s="4">
        <v>45810</v>
      </c>
      <c r="K28" s="4">
        <f>J28+7</f>
        <v>45817</v>
      </c>
      <c r="L28" s="4">
        <v>45847</v>
      </c>
      <c r="M28" s="4">
        <f>L28+2</f>
        <v>45849</v>
      </c>
      <c r="N28" s="7">
        <v>200000000</v>
      </c>
      <c r="O28" s="6">
        <f t="shared" si="0"/>
        <v>3333333.3333333335</v>
      </c>
      <c r="P28" s="6" t="str">
        <f t="shared" ca="1" si="1"/>
        <v>已到期</v>
      </c>
    </row>
    <row r="29" spans="1:16" s="13" customFormat="1" ht="15.4">
      <c r="A29" s="16" t="s">
        <v>1</v>
      </c>
      <c r="B29" s="2" t="s">
        <v>17</v>
      </c>
      <c r="C29" s="2" t="s">
        <v>17</v>
      </c>
      <c r="D29" s="2" t="s">
        <v>25</v>
      </c>
      <c r="E29" s="17">
        <v>1</v>
      </c>
      <c r="F29" s="18">
        <v>0.15</v>
      </c>
      <c r="G29" s="24">
        <v>0.94979999999999998</v>
      </c>
      <c r="H29" s="20">
        <v>971.77</v>
      </c>
      <c r="I29" s="20">
        <f t="shared" si="3"/>
        <v>922.98714599999994</v>
      </c>
      <c r="J29" s="23">
        <v>45811</v>
      </c>
      <c r="K29" s="23">
        <v>45818</v>
      </c>
      <c r="L29" s="23">
        <v>45848</v>
      </c>
      <c r="M29" s="23">
        <v>45850</v>
      </c>
      <c r="N29" s="21">
        <v>150000000</v>
      </c>
      <c r="O29" s="17">
        <f t="shared" si="0"/>
        <v>1875000</v>
      </c>
      <c r="P29" s="6" t="str">
        <f t="shared" ca="1" si="1"/>
        <v>已到期</v>
      </c>
    </row>
    <row r="30" spans="1:16" s="13" customFormat="1" ht="15.4">
      <c r="A30" s="9" t="s">
        <v>18</v>
      </c>
      <c r="B30" s="2" t="s">
        <v>17</v>
      </c>
      <c r="C30" s="2" t="s">
        <v>17</v>
      </c>
      <c r="D30" s="10" t="s">
        <v>22</v>
      </c>
      <c r="E30" s="6">
        <v>1</v>
      </c>
      <c r="F30" s="29">
        <v>0.25</v>
      </c>
      <c r="G30" s="5">
        <v>0.90349999999999997</v>
      </c>
      <c r="H30" s="3">
        <v>2373.5796</v>
      </c>
      <c r="I30" s="3">
        <f t="shared" si="3"/>
        <v>2144.5291686</v>
      </c>
      <c r="J30" s="4">
        <v>45811</v>
      </c>
      <c r="K30" s="4">
        <f t="shared" ref="K30:K36" si="5">J30+7</f>
        <v>45818</v>
      </c>
      <c r="L30" s="4">
        <v>45848</v>
      </c>
      <c r="M30" s="4">
        <v>45852</v>
      </c>
      <c r="N30" s="7">
        <v>400000000</v>
      </c>
      <c r="O30" s="6">
        <f t="shared" si="0"/>
        <v>8333333.333333333</v>
      </c>
      <c r="P30" s="6" t="str">
        <f t="shared" ca="1" si="1"/>
        <v>已到期</v>
      </c>
    </row>
    <row r="31" spans="1:16" s="13" customFormat="1" ht="15.4">
      <c r="A31" s="9" t="s">
        <v>18</v>
      </c>
      <c r="B31" s="2" t="s">
        <v>17</v>
      </c>
      <c r="C31" s="2" t="s">
        <v>17</v>
      </c>
      <c r="D31" s="10" t="s">
        <v>22</v>
      </c>
      <c r="E31" s="6">
        <v>1</v>
      </c>
      <c r="F31" s="29">
        <v>0.22</v>
      </c>
      <c r="G31" s="5">
        <v>0.89880000000000004</v>
      </c>
      <c r="H31" s="3">
        <v>2417.5056</v>
      </c>
      <c r="I31" s="3">
        <f t="shared" si="3"/>
        <v>2172.8540332800003</v>
      </c>
      <c r="J31" s="4">
        <v>45812</v>
      </c>
      <c r="K31" s="4">
        <f t="shared" si="5"/>
        <v>45819</v>
      </c>
      <c r="L31" s="4">
        <v>45849</v>
      </c>
      <c r="M31" s="4">
        <v>45853</v>
      </c>
      <c r="N31" s="7">
        <v>200000000</v>
      </c>
      <c r="O31" s="6">
        <f t="shared" si="0"/>
        <v>3666666.6666666665</v>
      </c>
      <c r="P31" s="6" t="str">
        <f t="shared" ca="1" si="1"/>
        <v>已到期</v>
      </c>
    </row>
    <row r="32" spans="1:16" s="13" customFormat="1" ht="15.4">
      <c r="A32" s="9" t="s">
        <v>18</v>
      </c>
      <c r="B32" s="2" t="s">
        <v>17</v>
      </c>
      <c r="C32" s="2" t="s">
        <v>17</v>
      </c>
      <c r="D32" s="10" t="s">
        <v>22</v>
      </c>
      <c r="E32" s="6">
        <v>1</v>
      </c>
      <c r="F32" s="29">
        <v>0.2</v>
      </c>
      <c r="G32" s="5">
        <v>0.89190000000000003</v>
      </c>
      <c r="H32" s="3">
        <v>2432.4884000000002</v>
      </c>
      <c r="I32" s="3">
        <f t="shared" si="3"/>
        <v>2169.5364039600004</v>
      </c>
      <c r="J32" s="4">
        <v>45813</v>
      </c>
      <c r="K32" s="4">
        <f t="shared" si="5"/>
        <v>45820</v>
      </c>
      <c r="L32" s="4">
        <v>45850</v>
      </c>
      <c r="M32" s="4">
        <f>L32+2</f>
        <v>45852</v>
      </c>
      <c r="N32" s="7">
        <v>200000000</v>
      </c>
      <c r="O32" s="6">
        <f t="shared" si="0"/>
        <v>3333333.3333333335</v>
      </c>
      <c r="P32" s="6" t="str">
        <f t="shared" ca="1" si="1"/>
        <v>已到期</v>
      </c>
    </row>
    <row r="33" spans="1:16" s="13" customFormat="1" ht="15.4">
      <c r="A33" s="9" t="s">
        <v>18</v>
      </c>
      <c r="B33" s="2" t="s">
        <v>17</v>
      </c>
      <c r="C33" s="2" t="s">
        <v>17</v>
      </c>
      <c r="D33" s="10" t="s">
        <v>22</v>
      </c>
      <c r="E33" s="6">
        <v>1</v>
      </c>
      <c r="F33" s="29">
        <v>0.25</v>
      </c>
      <c r="G33" s="5">
        <v>0.91090000000000004</v>
      </c>
      <c r="H33" s="3">
        <v>2408</v>
      </c>
      <c r="I33" s="3">
        <f t="shared" si="3"/>
        <v>2193.4472000000001</v>
      </c>
      <c r="J33" s="4">
        <v>45814</v>
      </c>
      <c r="K33" s="4">
        <f t="shared" si="5"/>
        <v>45821</v>
      </c>
      <c r="L33" s="4">
        <v>45852</v>
      </c>
      <c r="M33" s="4">
        <f>L33+2</f>
        <v>45854</v>
      </c>
      <c r="N33" s="7">
        <v>200000000</v>
      </c>
      <c r="O33" s="6">
        <f t="shared" si="0"/>
        <v>4166666.6666666665</v>
      </c>
      <c r="P33" s="6" t="str">
        <f t="shared" ca="1" si="1"/>
        <v>已到期</v>
      </c>
    </row>
    <row r="34" spans="1:16" s="13" customFormat="1" ht="15.4">
      <c r="A34" s="9" t="s">
        <v>18</v>
      </c>
      <c r="B34" s="2" t="s">
        <v>17</v>
      </c>
      <c r="C34" s="2" t="s">
        <v>17</v>
      </c>
      <c r="D34" s="10" t="s">
        <v>22</v>
      </c>
      <c r="E34" s="6">
        <v>1</v>
      </c>
      <c r="F34" s="29">
        <v>0.25</v>
      </c>
      <c r="G34" s="5">
        <v>0.91080000000000005</v>
      </c>
      <c r="H34" s="3">
        <v>2408</v>
      </c>
      <c r="I34" s="3">
        <f t="shared" si="3"/>
        <v>2193.2064</v>
      </c>
      <c r="J34" s="4">
        <v>45814</v>
      </c>
      <c r="K34" s="4">
        <f t="shared" si="5"/>
        <v>45821</v>
      </c>
      <c r="L34" s="4">
        <v>45852</v>
      </c>
      <c r="M34" s="4">
        <f>L34+2</f>
        <v>45854</v>
      </c>
      <c r="N34" s="7">
        <v>200000000</v>
      </c>
      <c r="O34" s="6">
        <f t="shared" si="0"/>
        <v>4166666.6666666665</v>
      </c>
      <c r="P34" s="6" t="str">
        <f t="shared" ca="1" si="1"/>
        <v>已到期</v>
      </c>
    </row>
    <row r="35" spans="1:16" s="13" customFormat="1" ht="15.4">
      <c r="A35" s="9" t="s">
        <v>18</v>
      </c>
      <c r="B35" s="2" t="s">
        <v>17</v>
      </c>
      <c r="C35" s="2" t="s">
        <v>17</v>
      </c>
      <c r="D35" s="10" t="s">
        <v>22</v>
      </c>
      <c r="E35" s="6">
        <v>1</v>
      </c>
      <c r="F35" s="29">
        <v>0.2</v>
      </c>
      <c r="G35" s="5">
        <v>0.89659999999999995</v>
      </c>
      <c r="H35" s="3">
        <v>2413.7723000000001</v>
      </c>
      <c r="I35" s="3">
        <f t="shared" si="3"/>
        <v>2164.1882441799999</v>
      </c>
      <c r="J35" s="4">
        <v>45817</v>
      </c>
      <c r="K35" s="4">
        <f t="shared" si="5"/>
        <v>45824</v>
      </c>
      <c r="L35" s="4">
        <v>45854</v>
      </c>
      <c r="M35" s="4">
        <f>L35+2</f>
        <v>45856</v>
      </c>
      <c r="N35" s="7">
        <v>200000000</v>
      </c>
      <c r="O35" s="6">
        <f t="shared" si="0"/>
        <v>3333333.3333333335</v>
      </c>
      <c r="P35" s="6" t="str">
        <f t="shared" ca="1" si="1"/>
        <v>已到期</v>
      </c>
    </row>
    <row r="36" spans="1:16" s="1" customFormat="1" ht="13.15">
      <c r="A36" s="9" t="s">
        <v>18</v>
      </c>
      <c r="B36" s="2" t="s">
        <v>17</v>
      </c>
      <c r="C36" s="2" t="s">
        <v>17</v>
      </c>
      <c r="D36" s="10" t="s">
        <v>22</v>
      </c>
      <c r="E36" s="6">
        <v>1</v>
      </c>
      <c r="F36" s="29">
        <v>0.2</v>
      </c>
      <c r="G36" s="5">
        <v>0.89990000000000003</v>
      </c>
      <c r="H36" s="3">
        <v>2464.31</v>
      </c>
      <c r="I36" s="3">
        <f t="shared" si="3"/>
        <v>2217.6325689999999</v>
      </c>
      <c r="J36" s="4">
        <v>45819</v>
      </c>
      <c r="K36" s="4">
        <f t="shared" si="5"/>
        <v>45826</v>
      </c>
      <c r="L36" s="4">
        <v>45856</v>
      </c>
      <c r="M36" s="4">
        <v>45860</v>
      </c>
      <c r="N36" s="7">
        <v>200000000</v>
      </c>
      <c r="O36" s="6">
        <f t="shared" si="0"/>
        <v>3333333.3333333335</v>
      </c>
      <c r="P36" s="6" t="str">
        <f t="shared" ca="1" si="1"/>
        <v>已到期</v>
      </c>
    </row>
    <row r="37" spans="1:16" s="1" customFormat="1" ht="13.15">
      <c r="A37" s="16" t="s">
        <v>1</v>
      </c>
      <c r="B37" s="2" t="s">
        <v>17</v>
      </c>
      <c r="C37" s="2" t="s">
        <v>17</v>
      </c>
      <c r="D37" s="2" t="s">
        <v>25</v>
      </c>
      <c r="E37" s="17">
        <v>1</v>
      </c>
      <c r="F37" s="18">
        <v>0.1</v>
      </c>
      <c r="G37" s="24">
        <v>0.93140000000000001</v>
      </c>
      <c r="H37" s="20">
        <v>2193.2658999999999</v>
      </c>
      <c r="I37" s="20">
        <f t="shared" si="3"/>
        <v>2042.80785926</v>
      </c>
      <c r="J37" s="23">
        <v>45821</v>
      </c>
      <c r="K37" s="23">
        <v>45827</v>
      </c>
      <c r="L37" s="23">
        <v>45860</v>
      </c>
      <c r="M37" s="23">
        <v>45862</v>
      </c>
      <c r="N37" s="21">
        <v>100000000</v>
      </c>
      <c r="O37" s="22">
        <f t="shared" si="0"/>
        <v>833333.33333333337</v>
      </c>
      <c r="P37" s="6" t="str">
        <f t="shared" ca="1" si="1"/>
        <v>已到期</v>
      </c>
    </row>
    <row r="38" spans="1:16" s="1" customFormat="1" ht="13.15">
      <c r="A38" s="16" t="s">
        <v>1</v>
      </c>
      <c r="B38" s="2" t="s">
        <v>17</v>
      </c>
      <c r="C38" s="2" t="s">
        <v>17</v>
      </c>
      <c r="D38" s="2" t="s">
        <v>25</v>
      </c>
      <c r="E38" s="17">
        <v>1</v>
      </c>
      <c r="F38" s="18">
        <v>0.1</v>
      </c>
      <c r="G38" s="24">
        <v>0.89649999999999996</v>
      </c>
      <c r="H38" s="20">
        <v>3891.99</v>
      </c>
      <c r="I38" s="20">
        <f t="shared" si="3"/>
        <v>3489.1690349999994</v>
      </c>
      <c r="J38" s="23">
        <v>45821</v>
      </c>
      <c r="K38" s="23">
        <v>45827</v>
      </c>
      <c r="L38" s="23">
        <v>45860</v>
      </c>
      <c r="M38" s="23">
        <v>45862</v>
      </c>
      <c r="N38" s="21">
        <v>100000000</v>
      </c>
      <c r="O38" s="22">
        <f t="shared" si="0"/>
        <v>833333.33333333337</v>
      </c>
      <c r="P38" s="6" t="str">
        <f t="shared" ca="1" si="1"/>
        <v>已到期</v>
      </c>
    </row>
    <row r="39" spans="1:16" s="1" customFormat="1" ht="13.15">
      <c r="A39" s="9" t="s">
        <v>18</v>
      </c>
      <c r="B39" s="2" t="s">
        <v>17</v>
      </c>
      <c r="C39" s="2" t="s">
        <v>17</v>
      </c>
      <c r="D39" s="10" t="s">
        <v>22</v>
      </c>
      <c r="E39" s="6">
        <v>1</v>
      </c>
      <c r="F39" s="29">
        <v>0.25</v>
      </c>
      <c r="G39" s="5">
        <v>0.90620000000000001</v>
      </c>
      <c r="H39" s="3">
        <v>2418.7044999999998</v>
      </c>
      <c r="I39" s="3">
        <f t="shared" si="3"/>
        <v>2191.8300178999998</v>
      </c>
      <c r="J39" s="4">
        <v>45820</v>
      </c>
      <c r="K39" s="4">
        <f t="shared" ref="K39:K56" si="6">J39+7</f>
        <v>45827</v>
      </c>
      <c r="L39" s="4">
        <v>45860</v>
      </c>
      <c r="M39" s="4">
        <f>L39+2</f>
        <v>45862</v>
      </c>
      <c r="N39" s="7">
        <v>200000000</v>
      </c>
      <c r="O39" s="6">
        <f t="shared" si="0"/>
        <v>4166666.6666666665</v>
      </c>
      <c r="P39" s="6" t="str">
        <f t="shared" ca="1" si="1"/>
        <v>已到期</v>
      </c>
    </row>
    <row r="40" spans="1:16" s="1" customFormat="1" ht="13.15">
      <c r="A40" s="9" t="s">
        <v>18</v>
      </c>
      <c r="B40" s="2" t="s">
        <v>17</v>
      </c>
      <c r="C40" s="2" t="s">
        <v>17</v>
      </c>
      <c r="D40" s="10" t="s">
        <v>22</v>
      </c>
      <c r="E40" s="6">
        <v>1</v>
      </c>
      <c r="F40" s="29">
        <v>0.28000000000000003</v>
      </c>
      <c r="G40" s="5">
        <v>0.91379999999999995</v>
      </c>
      <c r="H40" s="3">
        <v>2339.0101</v>
      </c>
      <c r="I40" s="3">
        <f t="shared" si="3"/>
        <v>2137.38742938</v>
      </c>
      <c r="J40" s="4">
        <v>45821</v>
      </c>
      <c r="K40" s="4">
        <f t="shared" si="6"/>
        <v>45828</v>
      </c>
      <c r="L40" s="4">
        <v>45860</v>
      </c>
      <c r="M40" s="4">
        <f>L40+2</f>
        <v>45862</v>
      </c>
      <c r="N40" s="7">
        <v>400000000</v>
      </c>
      <c r="O40" s="6">
        <f t="shared" si="0"/>
        <v>9333333.333333334</v>
      </c>
      <c r="P40" s="6" t="str">
        <f t="shared" ca="1" si="1"/>
        <v>已到期</v>
      </c>
    </row>
    <row r="41" spans="1:16" s="1" customFormat="1" ht="13.15">
      <c r="A41" s="16" t="s">
        <v>2</v>
      </c>
      <c r="B41" s="2" t="s">
        <v>17</v>
      </c>
      <c r="C41" s="2" t="s">
        <v>17</v>
      </c>
      <c r="D41" s="2" t="s">
        <v>25</v>
      </c>
      <c r="E41" s="17">
        <v>1</v>
      </c>
      <c r="F41" s="18">
        <v>0.1</v>
      </c>
      <c r="G41" s="24">
        <v>0.9052</v>
      </c>
      <c r="H41" s="20">
        <v>3915.36</v>
      </c>
      <c r="I41" s="20">
        <f t="shared" si="3"/>
        <v>3544.1838720000001</v>
      </c>
      <c r="J41" s="23">
        <v>45824</v>
      </c>
      <c r="K41" s="23">
        <f t="shared" si="6"/>
        <v>45831</v>
      </c>
      <c r="L41" s="23">
        <v>45861</v>
      </c>
      <c r="M41" s="23">
        <v>45863</v>
      </c>
      <c r="N41" s="21">
        <v>100000000</v>
      </c>
      <c r="O41" s="17">
        <f t="shared" si="0"/>
        <v>833333.33333333337</v>
      </c>
      <c r="P41" s="6" t="str">
        <f t="shared" ca="1" si="1"/>
        <v>已到期</v>
      </c>
    </row>
    <row r="42" spans="1:16" s="1" customFormat="1" ht="13.15">
      <c r="A42" s="16" t="s">
        <v>1</v>
      </c>
      <c r="B42" s="2" t="s">
        <v>17</v>
      </c>
      <c r="C42" s="2" t="s">
        <v>17</v>
      </c>
      <c r="D42" s="2" t="s">
        <v>25</v>
      </c>
      <c r="E42" s="17">
        <v>1</v>
      </c>
      <c r="F42" s="18">
        <v>0.1</v>
      </c>
      <c r="G42" s="24">
        <v>0.90359999999999996</v>
      </c>
      <c r="H42" s="20">
        <v>2218.5</v>
      </c>
      <c r="I42" s="20">
        <f t="shared" si="3"/>
        <v>2004.6365999999998</v>
      </c>
      <c r="J42" s="23">
        <v>45824</v>
      </c>
      <c r="K42" s="23">
        <f t="shared" si="6"/>
        <v>45831</v>
      </c>
      <c r="L42" s="23">
        <v>45861</v>
      </c>
      <c r="M42" s="23">
        <v>45863</v>
      </c>
      <c r="N42" s="21">
        <v>100000000</v>
      </c>
      <c r="O42" s="17">
        <f t="shared" si="0"/>
        <v>833333.33333333337</v>
      </c>
      <c r="P42" s="6" t="str">
        <f t="shared" ca="1" si="1"/>
        <v>已到期</v>
      </c>
    </row>
    <row r="43" spans="1:16" s="1" customFormat="1" ht="13.15">
      <c r="A43" s="9" t="s">
        <v>1</v>
      </c>
      <c r="B43" s="2" t="s">
        <v>17</v>
      </c>
      <c r="C43" s="2" t="s">
        <v>17</v>
      </c>
      <c r="D43" s="2" t="s">
        <v>25</v>
      </c>
      <c r="E43" s="6">
        <v>1</v>
      </c>
      <c r="F43" s="29">
        <v>0.1</v>
      </c>
      <c r="G43" s="5">
        <v>0.93300000000000005</v>
      </c>
      <c r="H43" s="3">
        <v>15871.6667</v>
      </c>
      <c r="I43" s="3">
        <f t="shared" si="3"/>
        <v>14808.2650311</v>
      </c>
      <c r="J43" s="4">
        <v>45825</v>
      </c>
      <c r="K43" s="4">
        <f t="shared" si="6"/>
        <v>45832</v>
      </c>
      <c r="L43" s="4">
        <v>45862</v>
      </c>
      <c r="M43" s="4">
        <v>45866</v>
      </c>
      <c r="N43" s="7">
        <v>100000000</v>
      </c>
      <c r="O43" s="6">
        <f t="shared" si="0"/>
        <v>833333.33333333337</v>
      </c>
      <c r="P43" s="6" t="str">
        <f t="shared" ca="1" si="1"/>
        <v>已到期</v>
      </c>
    </row>
    <row r="44" spans="1:16" s="1" customFormat="1" ht="13.15">
      <c r="A44" s="9" t="s">
        <v>2</v>
      </c>
      <c r="B44" s="2" t="s">
        <v>17</v>
      </c>
      <c r="C44" s="2" t="s">
        <v>17</v>
      </c>
      <c r="D44" s="2" t="s">
        <v>25</v>
      </c>
      <c r="E44" s="6">
        <v>1</v>
      </c>
      <c r="F44" s="29">
        <v>0.1</v>
      </c>
      <c r="G44" s="5">
        <v>0.92200000000000004</v>
      </c>
      <c r="H44" s="3">
        <v>2234.3305</v>
      </c>
      <c r="I44" s="3">
        <f t="shared" si="3"/>
        <v>2060.052721</v>
      </c>
      <c r="J44" s="4">
        <v>45825</v>
      </c>
      <c r="K44" s="4">
        <f t="shared" si="6"/>
        <v>45832</v>
      </c>
      <c r="L44" s="4">
        <v>45862</v>
      </c>
      <c r="M44" s="4">
        <v>45866</v>
      </c>
      <c r="N44" s="7">
        <v>100000000</v>
      </c>
      <c r="O44" s="6">
        <f t="shared" si="0"/>
        <v>833333.33333333337</v>
      </c>
      <c r="P44" s="6" t="str">
        <f t="shared" ca="1" si="1"/>
        <v>已到期</v>
      </c>
    </row>
    <row r="45" spans="1:16" s="1" customFormat="1" ht="13.15">
      <c r="A45" s="9" t="s">
        <v>18</v>
      </c>
      <c r="B45" s="2" t="s">
        <v>17</v>
      </c>
      <c r="C45" s="2" t="s">
        <v>17</v>
      </c>
      <c r="D45" s="10" t="s">
        <v>22</v>
      </c>
      <c r="E45" s="6">
        <v>1</v>
      </c>
      <c r="F45" s="29">
        <v>0.2</v>
      </c>
      <c r="G45" s="5">
        <v>0.90090000000000003</v>
      </c>
      <c r="H45" s="3">
        <v>2339.0101</v>
      </c>
      <c r="I45" s="3">
        <f t="shared" si="3"/>
        <v>2107.21419909</v>
      </c>
      <c r="J45" s="4">
        <v>45825</v>
      </c>
      <c r="K45" s="4">
        <f t="shared" si="6"/>
        <v>45832</v>
      </c>
      <c r="L45" s="4">
        <v>45862</v>
      </c>
      <c r="M45" s="4">
        <v>45866</v>
      </c>
      <c r="N45" s="7">
        <v>200000000</v>
      </c>
      <c r="O45" s="6">
        <f t="shared" si="0"/>
        <v>3333333.3333333335</v>
      </c>
      <c r="P45" s="6" t="str">
        <f t="shared" ca="1" si="1"/>
        <v>已到期</v>
      </c>
    </row>
    <row r="46" spans="1:16" s="1" customFormat="1" ht="13.15">
      <c r="A46" s="9" t="s">
        <v>1</v>
      </c>
      <c r="B46" s="2" t="s">
        <v>17</v>
      </c>
      <c r="C46" s="2" t="s">
        <v>17</v>
      </c>
      <c r="D46" s="2" t="s">
        <v>25</v>
      </c>
      <c r="E46" s="6">
        <v>1</v>
      </c>
      <c r="F46" s="29">
        <v>0.1</v>
      </c>
      <c r="G46" s="5">
        <v>0.91559999999999997</v>
      </c>
      <c r="H46" s="3">
        <v>153.65219999999999</v>
      </c>
      <c r="I46" s="3">
        <f t="shared" si="3"/>
        <v>140.68395432</v>
      </c>
      <c r="J46" s="4">
        <v>45826</v>
      </c>
      <c r="K46" s="4">
        <f t="shared" si="6"/>
        <v>45833</v>
      </c>
      <c r="L46" s="4">
        <v>45863</v>
      </c>
      <c r="M46" s="4">
        <v>45867</v>
      </c>
      <c r="N46" s="7">
        <v>100000000</v>
      </c>
      <c r="O46" s="6">
        <f t="shared" si="0"/>
        <v>833333.33333333337</v>
      </c>
      <c r="P46" s="6" t="str">
        <f t="shared" ca="1" si="1"/>
        <v>已到期</v>
      </c>
    </row>
    <row r="47" spans="1:16" s="1" customFormat="1" ht="13.15">
      <c r="A47" s="9" t="s">
        <v>2</v>
      </c>
      <c r="B47" s="2" t="s">
        <v>17</v>
      </c>
      <c r="C47" s="2" t="s">
        <v>17</v>
      </c>
      <c r="D47" s="2" t="s">
        <v>25</v>
      </c>
      <c r="E47" s="6">
        <v>1</v>
      </c>
      <c r="F47" s="29">
        <v>0.1</v>
      </c>
      <c r="G47" s="5">
        <v>0.91279999999999994</v>
      </c>
      <c r="H47" s="3">
        <v>3964.0385000000001</v>
      </c>
      <c r="I47" s="3">
        <f t="shared" si="3"/>
        <v>3618.3743427999998</v>
      </c>
      <c r="J47" s="4">
        <v>45826</v>
      </c>
      <c r="K47" s="4">
        <f t="shared" si="6"/>
        <v>45833</v>
      </c>
      <c r="L47" s="4">
        <f>K47+30</f>
        <v>45863</v>
      </c>
      <c r="M47" s="4">
        <f>L47+4</f>
        <v>45867</v>
      </c>
      <c r="N47" s="7">
        <v>100000000</v>
      </c>
      <c r="O47" s="30">
        <f t="shared" si="0"/>
        <v>833333.33333333337</v>
      </c>
      <c r="P47" s="6" t="str">
        <f t="shared" ca="1" si="1"/>
        <v>已到期</v>
      </c>
    </row>
    <row r="48" spans="1:16" s="1" customFormat="1" ht="13.15">
      <c r="A48" s="9" t="s">
        <v>18</v>
      </c>
      <c r="B48" s="2" t="s">
        <v>17</v>
      </c>
      <c r="C48" s="2" t="s">
        <v>17</v>
      </c>
      <c r="D48" s="10" t="s">
        <v>22</v>
      </c>
      <c r="E48" s="6">
        <v>1</v>
      </c>
      <c r="F48" s="29">
        <v>0.25</v>
      </c>
      <c r="G48" s="5">
        <v>0.91569999999999996</v>
      </c>
      <c r="H48" s="3">
        <v>2314.7721999999999</v>
      </c>
      <c r="I48" s="3">
        <f t="shared" si="3"/>
        <v>2119.6369035399998</v>
      </c>
      <c r="J48" s="4">
        <v>45826</v>
      </c>
      <c r="K48" s="4">
        <f t="shared" si="6"/>
        <v>45833</v>
      </c>
      <c r="L48" s="4">
        <v>45863</v>
      </c>
      <c r="M48" s="4">
        <v>45867</v>
      </c>
      <c r="N48" s="7">
        <v>200000000</v>
      </c>
      <c r="O48" s="6">
        <f t="shared" si="0"/>
        <v>4166666.6666666665</v>
      </c>
      <c r="P48" s="6" t="str">
        <f t="shared" ca="1" si="1"/>
        <v>已到期</v>
      </c>
    </row>
    <row r="49" spans="1:16" s="1" customFormat="1" ht="13.15">
      <c r="A49" s="9" t="s">
        <v>1</v>
      </c>
      <c r="B49" s="2" t="s">
        <v>17</v>
      </c>
      <c r="C49" s="2" t="s">
        <v>17</v>
      </c>
      <c r="D49" s="2" t="s">
        <v>25</v>
      </c>
      <c r="E49" s="6">
        <v>1</v>
      </c>
      <c r="F49" s="29">
        <v>0.1</v>
      </c>
      <c r="G49" s="5">
        <v>0.90859999999999996</v>
      </c>
      <c r="H49" s="3">
        <v>2243.777</v>
      </c>
      <c r="I49" s="3">
        <f t="shared" si="3"/>
        <v>2038.6957821999999</v>
      </c>
      <c r="J49" s="4">
        <v>45827</v>
      </c>
      <c r="K49" s="4">
        <f t="shared" si="6"/>
        <v>45834</v>
      </c>
      <c r="L49" s="4">
        <f>K49+30+2</f>
        <v>45866</v>
      </c>
      <c r="M49" s="4">
        <f>L49+2</f>
        <v>45868</v>
      </c>
      <c r="N49" s="7">
        <v>100000000</v>
      </c>
      <c r="O49" s="6">
        <f t="shared" si="0"/>
        <v>833333.33333333337</v>
      </c>
      <c r="P49" s="6" t="str">
        <f t="shared" ca="1" si="1"/>
        <v>已到期</v>
      </c>
    </row>
    <row r="50" spans="1:16" s="1" customFormat="1" ht="13.15">
      <c r="A50" s="9" t="s">
        <v>2</v>
      </c>
      <c r="B50" s="2" t="s">
        <v>17</v>
      </c>
      <c r="C50" s="2" t="s">
        <v>17</v>
      </c>
      <c r="D50" s="2" t="s">
        <v>25</v>
      </c>
      <c r="E50" s="8">
        <v>1</v>
      </c>
      <c r="F50" s="27">
        <v>0.1</v>
      </c>
      <c r="G50" s="5">
        <v>0.90859999999999996</v>
      </c>
      <c r="H50" s="3">
        <v>2243.777</v>
      </c>
      <c r="I50" s="3">
        <f t="shared" si="3"/>
        <v>2038.6957821999999</v>
      </c>
      <c r="J50" s="4">
        <v>45827</v>
      </c>
      <c r="K50" s="4">
        <f t="shared" si="6"/>
        <v>45834</v>
      </c>
      <c r="L50" s="4">
        <f>K50+30+2</f>
        <v>45866</v>
      </c>
      <c r="M50" s="4">
        <f>L50+2</f>
        <v>45868</v>
      </c>
      <c r="N50" s="7">
        <v>100000000</v>
      </c>
      <c r="O50" s="6">
        <f t="shared" si="0"/>
        <v>833333.33333333337</v>
      </c>
      <c r="P50" s="6" t="str">
        <f t="shared" ca="1" si="1"/>
        <v>已到期</v>
      </c>
    </row>
    <row r="51" spans="1:16" s="1" customFormat="1" ht="13.15">
      <c r="A51" s="9" t="s">
        <v>18</v>
      </c>
      <c r="B51" s="2" t="s">
        <v>17</v>
      </c>
      <c r="C51" s="2" t="s">
        <v>17</v>
      </c>
      <c r="D51" s="10" t="s">
        <v>22</v>
      </c>
      <c r="E51" s="8">
        <v>1</v>
      </c>
      <c r="F51" s="27">
        <v>0.25</v>
      </c>
      <c r="G51" s="5">
        <v>0.91549999999999998</v>
      </c>
      <c r="H51" s="3">
        <v>2281.5</v>
      </c>
      <c r="I51" s="3">
        <f t="shared" si="3"/>
        <v>2088.7132499999998</v>
      </c>
      <c r="J51" s="4">
        <v>45827</v>
      </c>
      <c r="K51" s="4">
        <f t="shared" si="6"/>
        <v>45834</v>
      </c>
      <c r="L51" s="4">
        <v>45866</v>
      </c>
      <c r="M51" s="4">
        <f>L51+2</f>
        <v>45868</v>
      </c>
      <c r="N51" s="7">
        <v>200000000</v>
      </c>
      <c r="O51" s="6">
        <f t="shared" si="0"/>
        <v>4166666.6666666665</v>
      </c>
      <c r="P51" s="6" t="str">
        <f t="shared" ca="1" si="1"/>
        <v>已到期</v>
      </c>
    </row>
    <row r="52" spans="1:16" s="1" customFormat="1" ht="13.15">
      <c r="A52" s="9" t="s">
        <v>18</v>
      </c>
      <c r="B52" s="2" t="s">
        <v>17</v>
      </c>
      <c r="C52" s="2" t="s">
        <v>17</v>
      </c>
      <c r="D52" s="10" t="s">
        <v>22</v>
      </c>
      <c r="E52" s="8">
        <v>1</v>
      </c>
      <c r="F52" s="27">
        <v>0.22</v>
      </c>
      <c r="G52" s="5">
        <v>0.90769999999999995</v>
      </c>
      <c r="H52" s="3">
        <v>2306.21</v>
      </c>
      <c r="I52" s="3">
        <f t="shared" si="3"/>
        <v>2093.3468170000001</v>
      </c>
      <c r="J52" s="4">
        <v>45831</v>
      </c>
      <c r="K52" s="4">
        <f t="shared" si="6"/>
        <v>45838</v>
      </c>
      <c r="L52" s="4">
        <v>45868</v>
      </c>
      <c r="M52" s="4">
        <f>L52+2</f>
        <v>45870</v>
      </c>
      <c r="N52" s="7">
        <v>200000000</v>
      </c>
      <c r="O52" s="6">
        <f t="shared" si="0"/>
        <v>3666666.6666666665</v>
      </c>
      <c r="P52" s="6" t="str">
        <f t="shared" ca="1" si="1"/>
        <v>已到期</v>
      </c>
    </row>
    <row r="53" spans="1:16" s="1" customFormat="1" ht="13.15">
      <c r="A53" s="9" t="s">
        <v>18</v>
      </c>
      <c r="B53" s="2" t="s">
        <v>17</v>
      </c>
      <c r="C53" s="2" t="s">
        <v>17</v>
      </c>
      <c r="D53" s="10" t="s">
        <v>22</v>
      </c>
      <c r="E53" s="6">
        <v>1</v>
      </c>
      <c r="F53" s="29">
        <v>0.2</v>
      </c>
      <c r="G53" s="5">
        <v>0.89949999999999997</v>
      </c>
      <c r="H53" s="3">
        <v>2336.3757999999998</v>
      </c>
      <c r="I53" s="3">
        <f t="shared" si="3"/>
        <v>2101.5700320999999</v>
      </c>
      <c r="J53" s="4">
        <v>45832</v>
      </c>
      <c r="K53" s="4">
        <f t="shared" si="6"/>
        <v>45839</v>
      </c>
      <c r="L53" s="4">
        <v>45870</v>
      </c>
      <c r="M53" s="4">
        <v>45874</v>
      </c>
      <c r="N53" s="7">
        <v>150000000</v>
      </c>
      <c r="O53" s="6">
        <f t="shared" si="0"/>
        <v>2500000</v>
      </c>
      <c r="P53" s="6" t="str">
        <f t="shared" ca="1" si="1"/>
        <v>已到期</v>
      </c>
    </row>
    <row r="54" spans="1:16" s="1" customFormat="1" ht="13.15">
      <c r="A54" s="9" t="s">
        <v>18</v>
      </c>
      <c r="B54" s="2" t="s">
        <v>17</v>
      </c>
      <c r="C54" s="2" t="s">
        <v>17</v>
      </c>
      <c r="D54" s="10" t="s">
        <v>22</v>
      </c>
      <c r="E54" s="6">
        <v>1</v>
      </c>
      <c r="F54" s="29">
        <v>0.2</v>
      </c>
      <c r="G54" s="5">
        <v>0.9</v>
      </c>
      <c r="H54" s="3">
        <v>2340.5700000000002</v>
      </c>
      <c r="I54" s="3">
        <f t="shared" si="3"/>
        <v>2106.5130000000004</v>
      </c>
      <c r="J54" s="4">
        <v>45832</v>
      </c>
      <c r="K54" s="4">
        <f t="shared" si="6"/>
        <v>45839</v>
      </c>
      <c r="L54" s="4">
        <v>45870</v>
      </c>
      <c r="M54" s="4">
        <v>45874</v>
      </c>
      <c r="N54" s="7">
        <v>50000000</v>
      </c>
      <c r="O54" s="6">
        <f t="shared" si="0"/>
        <v>833333.33333333337</v>
      </c>
      <c r="P54" s="6" t="str">
        <f t="shared" ca="1" si="1"/>
        <v>已到期</v>
      </c>
    </row>
    <row r="55" spans="1:16" s="1" customFormat="1" ht="13.15">
      <c r="A55" s="9" t="s">
        <v>18</v>
      </c>
      <c r="B55" s="2" t="s">
        <v>17</v>
      </c>
      <c r="C55" s="2" t="s">
        <v>17</v>
      </c>
      <c r="D55" s="10" t="s">
        <v>22</v>
      </c>
      <c r="E55" s="6">
        <v>1</v>
      </c>
      <c r="F55" s="29">
        <v>0.1</v>
      </c>
      <c r="G55" s="5">
        <v>0.85599999999999998</v>
      </c>
      <c r="H55" s="3">
        <v>2536.694</v>
      </c>
      <c r="I55" s="3">
        <f t="shared" si="3"/>
        <v>2171.4100640000001</v>
      </c>
      <c r="J55" s="4">
        <v>45838</v>
      </c>
      <c r="K55" s="4">
        <f t="shared" si="6"/>
        <v>45845</v>
      </c>
      <c r="L55" s="4">
        <v>45876</v>
      </c>
      <c r="M55" s="4">
        <v>45881</v>
      </c>
      <c r="N55" s="7">
        <v>200000000</v>
      </c>
      <c r="O55" s="6">
        <f t="shared" si="0"/>
        <v>1666666.6666666667</v>
      </c>
      <c r="P55" s="6" t="str">
        <f t="shared" ca="1" si="1"/>
        <v>已到期</v>
      </c>
    </row>
    <row r="56" spans="1:16" s="1" customFormat="1" ht="13.15">
      <c r="A56" s="9" t="s">
        <v>18</v>
      </c>
      <c r="B56" s="2" t="s">
        <v>17</v>
      </c>
      <c r="C56" s="2" t="s">
        <v>17</v>
      </c>
      <c r="D56" s="10" t="s">
        <v>22</v>
      </c>
      <c r="E56" s="6">
        <v>1</v>
      </c>
      <c r="F56" s="29">
        <v>0.15</v>
      </c>
      <c r="G56" s="5">
        <v>0.871</v>
      </c>
      <c r="H56" s="3">
        <v>2536.694</v>
      </c>
      <c r="I56" s="3">
        <f t="shared" si="3"/>
        <v>2209.460474</v>
      </c>
      <c r="J56" s="4">
        <v>45839</v>
      </c>
      <c r="K56" s="4">
        <f t="shared" si="6"/>
        <v>45846</v>
      </c>
      <c r="L56" s="4">
        <v>45877</v>
      </c>
      <c r="M56" s="4">
        <v>45882</v>
      </c>
      <c r="N56" s="7">
        <v>200000000</v>
      </c>
      <c r="O56" s="6">
        <f t="shared" si="0"/>
        <v>2500000</v>
      </c>
      <c r="P56" s="6" t="str">
        <f t="shared" ca="1" si="1"/>
        <v>已到期</v>
      </c>
    </row>
    <row r="57" spans="1:16" s="1" customFormat="1" ht="13.15">
      <c r="A57" s="9" t="s">
        <v>1</v>
      </c>
      <c r="B57" s="2" t="s">
        <v>17</v>
      </c>
      <c r="C57" s="2" t="s">
        <v>17</v>
      </c>
      <c r="D57" s="2" t="s">
        <v>25</v>
      </c>
      <c r="E57" s="6">
        <v>1</v>
      </c>
      <c r="F57" s="29">
        <v>0.15</v>
      </c>
      <c r="G57" s="5">
        <v>0.96060000000000001</v>
      </c>
      <c r="H57" s="3">
        <v>1004.93</v>
      </c>
      <c r="I57" s="3">
        <f t="shared" si="3"/>
        <v>965.33575799999994</v>
      </c>
      <c r="J57" s="4">
        <v>45841</v>
      </c>
      <c r="K57" s="4">
        <v>45848</v>
      </c>
      <c r="L57" s="4">
        <v>45881</v>
      </c>
      <c r="M57" s="4">
        <v>45883</v>
      </c>
      <c r="N57" s="7">
        <v>100000000</v>
      </c>
      <c r="O57" s="30">
        <f t="shared" si="0"/>
        <v>1250000</v>
      </c>
      <c r="P57" s="6" t="str">
        <f t="shared" ca="1" si="1"/>
        <v>已到期</v>
      </c>
    </row>
    <row r="58" spans="1:16" s="1" customFormat="1" ht="13.15">
      <c r="A58" s="9" t="s">
        <v>2</v>
      </c>
      <c r="B58" s="2" t="s">
        <v>17</v>
      </c>
      <c r="C58" s="2" t="s">
        <v>17</v>
      </c>
      <c r="D58" s="2" t="s">
        <v>25</v>
      </c>
      <c r="E58" s="6">
        <v>1</v>
      </c>
      <c r="F58" s="29">
        <v>0.15</v>
      </c>
      <c r="G58" s="5">
        <v>0.9627</v>
      </c>
      <c r="H58" s="3">
        <v>1013.3</v>
      </c>
      <c r="I58" s="3">
        <v>975.50390000000004</v>
      </c>
      <c r="J58" s="4">
        <v>45842</v>
      </c>
      <c r="K58" s="4">
        <v>45849</v>
      </c>
      <c r="L58" s="4">
        <v>45881</v>
      </c>
      <c r="M58" s="4">
        <v>45883</v>
      </c>
      <c r="N58" s="7">
        <v>100000000</v>
      </c>
      <c r="O58" s="30">
        <f t="shared" si="0"/>
        <v>1250000</v>
      </c>
      <c r="P58" s="6" t="str">
        <f t="shared" ca="1" si="1"/>
        <v>已到期</v>
      </c>
    </row>
    <row r="59" spans="1:16" s="1" customFormat="1" ht="13.15">
      <c r="A59" s="9" t="s">
        <v>1</v>
      </c>
      <c r="B59" s="2" t="s">
        <v>17</v>
      </c>
      <c r="C59" s="2" t="s">
        <v>17</v>
      </c>
      <c r="D59" s="2" t="s">
        <v>25</v>
      </c>
      <c r="E59" s="6">
        <v>1</v>
      </c>
      <c r="F59" s="29">
        <v>0.15</v>
      </c>
      <c r="G59" s="5">
        <v>0.9627</v>
      </c>
      <c r="H59" s="3">
        <v>1013.3</v>
      </c>
      <c r="I59" s="3">
        <v>975.5</v>
      </c>
      <c r="J59" s="4">
        <v>45842</v>
      </c>
      <c r="K59" s="4">
        <v>45849</v>
      </c>
      <c r="L59" s="4">
        <v>45881</v>
      </c>
      <c r="M59" s="4">
        <v>45883</v>
      </c>
      <c r="N59" s="7">
        <v>100000000</v>
      </c>
      <c r="O59" s="30">
        <f t="shared" si="0"/>
        <v>1250000</v>
      </c>
      <c r="P59" s="6" t="str">
        <f t="shared" ca="1" si="1"/>
        <v>已到期</v>
      </c>
    </row>
    <row r="60" spans="1:16" s="1" customFormat="1" ht="13.15">
      <c r="A60" s="9" t="s">
        <v>18</v>
      </c>
      <c r="B60" s="2" t="s">
        <v>17</v>
      </c>
      <c r="C60" s="2" t="s">
        <v>17</v>
      </c>
      <c r="D60" s="10" t="s">
        <v>22</v>
      </c>
      <c r="E60" s="6">
        <v>1</v>
      </c>
      <c r="F60" s="29">
        <v>0.15</v>
      </c>
      <c r="G60" s="5">
        <v>0.87180000000000002</v>
      </c>
      <c r="H60" s="3">
        <v>2477.9553999999998</v>
      </c>
      <c r="I60" s="3">
        <f t="shared" ref="I60:I123" si="7">H60*G60</f>
        <v>2160.28151772</v>
      </c>
      <c r="J60" s="4">
        <v>45840</v>
      </c>
      <c r="K60" s="4">
        <f>J60+7</f>
        <v>45847</v>
      </c>
      <c r="L60" s="4">
        <v>45881</v>
      </c>
      <c r="M60" s="4">
        <f>L60+2</f>
        <v>45883</v>
      </c>
      <c r="N60" s="7">
        <v>200000000</v>
      </c>
      <c r="O60" s="6">
        <f t="shared" si="0"/>
        <v>2500000</v>
      </c>
      <c r="P60" s="6" t="str">
        <f t="shared" ca="1" si="1"/>
        <v>已到期</v>
      </c>
    </row>
    <row r="61" spans="1:16" s="1" customFormat="1" ht="13.15">
      <c r="A61" s="9" t="s">
        <v>2</v>
      </c>
      <c r="B61" s="2" t="s">
        <v>17</v>
      </c>
      <c r="C61" s="2" t="s">
        <v>17</v>
      </c>
      <c r="D61" s="2" t="s">
        <v>25</v>
      </c>
      <c r="E61" s="6">
        <v>1</v>
      </c>
      <c r="F61" s="29">
        <v>0.12</v>
      </c>
      <c r="G61" s="5">
        <v>0.90800000000000003</v>
      </c>
      <c r="H61" s="3">
        <v>2277.7386000000001</v>
      </c>
      <c r="I61" s="3">
        <f t="shared" si="7"/>
        <v>2068.1866488000001</v>
      </c>
      <c r="J61" s="4">
        <v>45845</v>
      </c>
      <c r="K61" s="4">
        <v>45852</v>
      </c>
      <c r="L61" s="4">
        <v>45883</v>
      </c>
      <c r="M61" s="4">
        <v>45887</v>
      </c>
      <c r="N61" s="7">
        <v>100000000</v>
      </c>
      <c r="O61" s="6">
        <f t="shared" si="0"/>
        <v>1000000</v>
      </c>
      <c r="P61" s="6" t="str">
        <f t="shared" ca="1" si="1"/>
        <v>已到期</v>
      </c>
    </row>
    <row r="62" spans="1:16" s="1" customFormat="1" ht="13.15">
      <c r="A62" s="9" t="s">
        <v>1</v>
      </c>
      <c r="B62" s="2" t="s">
        <v>17</v>
      </c>
      <c r="C62" s="2" t="s">
        <v>17</v>
      </c>
      <c r="D62" s="2" t="s">
        <v>25</v>
      </c>
      <c r="E62" s="6">
        <v>1</v>
      </c>
      <c r="F62" s="29">
        <v>0.12</v>
      </c>
      <c r="G62" s="5">
        <v>0.90800000000000003</v>
      </c>
      <c r="H62" s="3">
        <v>2277.7386000000001</v>
      </c>
      <c r="I62" s="3">
        <f t="shared" si="7"/>
        <v>2068.1866488000001</v>
      </c>
      <c r="J62" s="4">
        <v>45845</v>
      </c>
      <c r="K62" s="4">
        <v>45852</v>
      </c>
      <c r="L62" s="4">
        <v>45883</v>
      </c>
      <c r="M62" s="4">
        <v>45887</v>
      </c>
      <c r="N62" s="7">
        <v>100000000</v>
      </c>
      <c r="O62" s="6">
        <f t="shared" si="0"/>
        <v>1000000</v>
      </c>
      <c r="P62" s="6" t="str">
        <f t="shared" ca="1" si="1"/>
        <v>已到期</v>
      </c>
    </row>
    <row r="63" spans="1:16" s="1" customFormat="1" ht="13.15">
      <c r="A63" s="9" t="s">
        <v>18</v>
      </c>
      <c r="B63" s="2" t="s">
        <v>17</v>
      </c>
      <c r="C63" s="2" t="s">
        <v>17</v>
      </c>
      <c r="D63" s="10" t="s">
        <v>22</v>
      </c>
      <c r="E63" s="6">
        <v>1</v>
      </c>
      <c r="F63" s="29">
        <v>0.15</v>
      </c>
      <c r="G63" s="5">
        <v>0.87180000000000002</v>
      </c>
      <c r="H63" s="3">
        <v>2516</v>
      </c>
      <c r="I63" s="3">
        <f t="shared" si="7"/>
        <v>2193.4488000000001</v>
      </c>
      <c r="J63" s="4">
        <v>45845</v>
      </c>
      <c r="K63" s="4">
        <f>J63+7</f>
        <v>45852</v>
      </c>
      <c r="L63" s="4">
        <v>45883</v>
      </c>
      <c r="M63" s="4">
        <v>45887</v>
      </c>
      <c r="N63" s="7">
        <v>200000000</v>
      </c>
      <c r="O63" s="6">
        <f t="shared" si="0"/>
        <v>2500000</v>
      </c>
      <c r="P63" s="6" t="str">
        <f t="shared" ca="1" si="1"/>
        <v>已到期</v>
      </c>
    </row>
    <row r="64" spans="1:16" s="1" customFormat="1" ht="13.15">
      <c r="A64" s="9" t="s">
        <v>2</v>
      </c>
      <c r="B64" s="2" t="s">
        <v>17</v>
      </c>
      <c r="C64" s="2" t="s">
        <v>17</v>
      </c>
      <c r="D64" s="2" t="s">
        <v>25</v>
      </c>
      <c r="E64" s="6">
        <v>1</v>
      </c>
      <c r="F64" s="29">
        <v>0.15</v>
      </c>
      <c r="G64" s="5">
        <v>0.93600000000000005</v>
      </c>
      <c r="H64" s="3">
        <v>2157.6999999999998</v>
      </c>
      <c r="I64" s="3">
        <f t="shared" si="7"/>
        <v>2019.6071999999999</v>
      </c>
      <c r="J64" s="4">
        <v>45846</v>
      </c>
      <c r="K64" s="4">
        <v>45853</v>
      </c>
      <c r="L64" s="4">
        <v>45884</v>
      </c>
      <c r="M64" s="4">
        <v>45887</v>
      </c>
      <c r="N64" s="7">
        <v>100000000</v>
      </c>
      <c r="O64" s="6">
        <f t="shared" si="0"/>
        <v>1250000</v>
      </c>
      <c r="P64" s="6" t="str">
        <f t="shared" ca="1" si="1"/>
        <v>已到期</v>
      </c>
    </row>
    <row r="65" spans="1:16" s="1" customFormat="1" ht="13.15">
      <c r="A65" s="9" t="s">
        <v>2</v>
      </c>
      <c r="B65" s="2" t="s">
        <v>17</v>
      </c>
      <c r="C65" s="2" t="s">
        <v>17</v>
      </c>
      <c r="D65" s="2" t="s">
        <v>25</v>
      </c>
      <c r="E65" s="6">
        <v>1</v>
      </c>
      <c r="F65" s="29">
        <v>0.15</v>
      </c>
      <c r="G65" s="5">
        <v>0.92830000000000001</v>
      </c>
      <c r="H65" s="3">
        <v>3934.34</v>
      </c>
      <c r="I65" s="3">
        <f t="shared" si="7"/>
        <v>3652.2478220000003</v>
      </c>
      <c r="J65" s="4">
        <v>45846</v>
      </c>
      <c r="K65" s="4">
        <v>45853</v>
      </c>
      <c r="L65" s="4">
        <v>45884</v>
      </c>
      <c r="M65" s="4">
        <v>45887</v>
      </c>
      <c r="N65" s="7">
        <v>100000000</v>
      </c>
      <c r="O65" s="6">
        <f t="shared" si="0"/>
        <v>1250000</v>
      </c>
      <c r="P65" s="6" t="str">
        <f t="shared" ca="1" si="1"/>
        <v>已到期</v>
      </c>
    </row>
    <row r="66" spans="1:16" s="1" customFormat="1" ht="13.15">
      <c r="A66" s="9" t="s">
        <v>1</v>
      </c>
      <c r="B66" s="2" t="s">
        <v>17</v>
      </c>
      <c r="C66" s="2" t="s">
        <v>17</v>
      </c>
      <c r="D66" s="2" t="s">
        <v>25</v>
      </c>
      <c r="E66" s="8">
        <v>1</v>
      </c>
      <c r="F66" s="27">
        <v>0.15</v>
      </c>
      <c r="G66" s="5">
        <v>0.93600000000000005</v>
      </c>
      <c r="H66" s="3">
        <v>2157.6999999999998</v>
      </c>
      <c r="I66" s="3">
        <f t="shared" si="7"/>
        <v>2019.6071999999999</v>
      </c>
      <c r="J66" s="4">
        <v>45846</v>
      </c>
      <c r="K66" s="4">
        <v>45853</v>
      </c>
      <c r="L66" s="4">
        <v>45884</v>
      </c>
      <c r="M66" s="4">
        <v>45887</v>
      </c>
      <c r="N66" s="7">
        <v>100000000</v>
      </c>
      <c r="O66" s="6">
        <f t="shared" ref="O66:O129" si="8">N66*F66*E66/12</f>
        <v>1250000</v>
      </c>
      <c r="P66" s="6" t="str">
        <f t="shared" ref="P66:P129" ca="1" si="9">IF(TODAY()&gt;=L66, "已到期", "未到期")</f>
        <v>已到期</v>
      </c>
    </row>
    <row r="67" spans="1:16" s="1" customFormat="1" ht="13.15">
      <c r="A67" s="9" t="s">
        <v>1</v>
      </c>
      <c r="B67" s="2" t="s">
        <v>17</v>
      </c>
      <c r="C67" s="2" t="s">
        <v>17</v>
      </c>
      <c r="D67" s="2" t="s">
        <v>25</v>
      </c>
      <c r="E67" s="8">
        <v>1</v>
      </c>
      <c r="F67" s="27">
        <v>0.15</v>
      </c>
      <c r="G67" s="5">
        <v>0.92830000000000001</v>
      </c>
      <c r="H67" s="3">
        <v>3934.34</v>
      </c>
      <c r="I67" s="3">
        <f t="shared" si="7"/>
        <v>3652.2478220000003</v>
      </c>
      <c r="J67" s="4">
        <v>45846</v>
      </c>
      <c r="K67" s="4">
        <v>45853</v>
      </c>
      <c r="L67" s="4">
        <v>45884</v>
      </c>
      <c r="M67" s="4">
        <v>45887</v>
      </c>
      <c r="N67" s="7">
        <v>100000000</v>
      </c>
      <c r="O67" s="6">
        <f t="shared" si="8"/>
        <v>1250000</v>
      </c>
      <c r="P67" s="6" t="str">
        <f t="shared" ca="1" si="9"/>
        <v>已到期</v>
      </c>
    </row>
    <row r="68" spans="1:16" s="1" customFormat="1" ht="13.15">
      <c r="A68" s="9" t="s">
        <v>2</v>
      </c>
      <c r="B68" s="2" t="s">
        <v>17</v>
      </c>
      <c r="C68" s="2" t="s">
        <v>17</v>
      </c>
      <c r="D68" s="2" t="s">
        <v>25</v>
      </c>
      <c r="E68" s="8">
        <v>1</v>
      </c>
      <c r="F68" s="27">
        <v>0.12</v>
      </c>
      <c r="G68" s="5">
        <v>0.93920000000000003</v>
      </c>
      <c r="H68" s="3">
        <v>2001.45</v>
      </c>
      <c r="I68" s="3">
        <f t="shared" si="7"/>
        <v>1879.7618400000001</v>
      </c>
      <c r="J68" s="4">
        <v>45847</v>
      </c>
      <c r="K68" s="4">
        <v>45854</v>
      </c>
      <c r="L68" s="4">
        <v>45887</v>
      </c>
      <c r="M68" s="4">
        <v>45889</v>
      </c>
      <c r="N68" s="7">
        <v>100000000</v>
      </c>
      <c r="O68" s="6">
        <f t="shared" si="8"/>
        <v>1000000</v>
      </c>
      <c r="P68" s="6" t="str">
        <f t="shared" ca="1" si="9"/>
        <v>已到期</v>
      </c>
    </row>
    <row r="69" spans="1:16" s="1" customFormat="1" ht="13.15">
      <c r="A69" s="9" t="s">
        <v>1</v>
      </c>
      <c r="B69" s="2" t="s">
        <v>17</v>
      </c>
      <c r="C69" s="2" t="s">
        <v>17</v>
      </c>
      <c r="D69" s="2" t="s">
        <v>25</v>
      </c>
      <c r="E69" s="6">
        <v>1</v>
      </c>
      <c r="F69" s="29">
        <v>0.12</v>
      </c>
      <c r="G69" s="14">
        <v>0.93920000000000003</v>
      </c>
      <c r="H69" s="3">
        <v>2001.45</v>
      </c>
      <c r="I69" s="3">
        <f t="shared" si="7"/>
        <v>1879.7618400000001</v>
      </c>
      <c r="J69" s="2">
        <v>45847</v>
      </c>
      <c r="K69" s="2">
        <v>45854</v>
      </c>
      <c r="L69" s="2">
        <v>45887</v>
      </c>
      <c r="M69" s="2">
        <v>45889</v>
      </c>
      <c r="N69" s="7">
        <v>100000000</v>
      </c>
      <c r="O69" s="6">
        <f t="shared" si="8"/>
        <v>1000000</v>
      </c>
      <c r="P69" s="6" t="str">
        <f t="shared" ca="1" si="9"/>
        <v>已到期</v>
      </c>
    </row>
    <row r="70" spans="1:16" s="1" customFormat="1" ht="13.15">
      <c r="A70" s="9" t="s">
        <v>2</v>
      </c>
      <c r="B70" s="2" t="s">
        <v>17</v>
      </c>
      <c r="C70" s="2" t="s">
        <v>17</v>
      </c>
      <c r="D70" s="2" t="s">
        <v>25</v>
      </c>
      <c r="E70" s="6">
        <v>1</v>
      </c>
      <c r="F70" s="29">
        <v>0.15</v>
      </c>
      <c r="G70" s="14">
        <v>0.93049999999999999</v>
      </c>
      <c r="H70" s="3">
        <v>2414.5967999999998</v>
      </c>
      <c r="I70" s="3">
        <f t="shared" si="7"/>
        <v>2246.7823223999999</v>
      </c>
      <c r="J70" s="2">
        <v>45848</v>
      </c>
      <c r="K70" s="2">
        <v>45855</v>
      </c>
      <c r="L70" s="2">
        <v>45887</v>
      </c>
      <c r="M70" s="2">
        <v>45889</v>
      </c>
      <c r="N70" s="7">
        <v>100000000</v>
      </c>
      <c r="O70" s="6">
        <f t="shared" si="8"/>
        <v>1250000</v>
      </c>
      <c r="P70" s="6" t="str">
        <f t="shared" ca="1" si="9"/>
        <v>已到期</v>
      </c>
    </row>
    <row r="71" spans="1:16" s="1" customFormat="1" ht="13.15">
      <c r="A71" s="9" t="s">
        <v>1</v>
      </c>
      <c r="B71" s="2" t="s">
        <v>17</v>
      </c>
      <c r="C71" s="2" t="s">
        <v>17</v>
      </c>
      <c r="D71" s="2" t="s">
        <v>25</v>
      </c>
      <c r="E71" s="6">
        <v>1</v>
      </c>
      <c r="F71" s="29">
        <v>0.15</v>
      </c>
      <c r="G71" s="14">
        <v>0.93049999999999999</v>
      </c>
      <c r="H71" s="3">
        <v>2414.5967999999998</v>
      </c>
      <c r="I71" s="3">
        <f t="shared" si="7"/>
        <v>2246.7823223999999</v>
      </c>
      <c r="J71" s="2">
        <v>45848</v>
      </c>
      <c r="K71" s="2">
        <v>45855</v>
      </c>
      <c r="L71" s="2">
        <v>45887</v>
      </c>
      <c r="M71" s="2">
        <v>45889</v>
      </c>
      <c r="N71" s="7">
        <v>100000000</v>
      </c>
      <c r="O71" s="6">
        <f t="shared" si="8"/>
        <v>1250000</v>
      </c>
      <c r="P71" s="6" t="str">
        <f t="shared" ca="1" si="9"/>
        <v>已到期</v>
      </c>
    </row>
    <row r="72" spans="1:16" s="1" customFormat="1" ht="13.15">
      <c r="A72" s="9" t="s">
        <v>1</v>
      </c>
      <c r="B72" s="2" t="s">
        <v>17</v>
      </c>
      <c r="C72" s="2" t="s">
        <v>17</v>
      </c>
      <c r="D72" s="2" t="s">
        <v>25</v>
      </c>
      <c r="E72" s="6">
        <v>1</v>
      </c>
      <c r="F72" s="29">
        <v>0.15</v>
      </c>
      <c r="G72" s="14">
        <v>0.94</v>
      </c>
      <c r="H72" s="3">
        <v>2169</v>
      </c>
      <c r="I72" s="3">
        <f t="shared" si="7"/>
        <v>2038.86</v>
      </c>
      <c r="J72" s="2">
        <v>45849</v>
      </c>
      <c r="K72" s="2">
        <v>45855</v>
      </c>
      <c r="L72" s="2">
        <v>45887</v>
      </c>
      <c r="M72" s="2">
        <v>45889</v>
      </c>
      <c r="N72" s="7">
        <v>200000000</v>
      </c>
      <c r="O72" s="6">
        <f t="shared" si="8"/>
        <v>2500000</v>
      </c>
      <c r="P72" s="6" t="str">
        <f t="shared" ca="1" si="9"/>
        <v>已到期</v>
      </c>
    </row>
    <row r="73" spans="1:16" s="1" customFormat="1" ht="13.15">
      <c r="A73" s="9" t="s">
        <v>2</v>
      </c>
      <c r="B73" s="2" t="s">
        <v>17</v>
      </c>
      <c r="C73" s="2" t="s">
        <v>17</v>
      </c>
      <c r="D73" s="2" t="s">
        <v>25</v>
      </c>
      <c r="E73" s="6">
        <v>1</v>
      </c>
      <c r="F73" s="29">
        <v>0.15</v>
      </c>
      <c r="G73" s="14">
        <v>0.94140000000000001</v>
      </c>
      <c r="H73" s="3">
        <v>2159.1284999999998</v>
      </c>
      <c r="I73" s="3">
        <f t="shared" si="7"/>
        <v>2032.6035698999999</v>
      </c>
      <c r="J73" s="2">
        <v>45849</v>
      </c>
      <c r="K73" s="2">
        <v>45855</v>
      </c>
      <c r="L73" s="2">
        <v>45887</v>
      </c>
      <c r="M73" s="2">
        <v>45889</v>
      </c>
      <c r="N73" s="7">
        <v>200000000</v>
      </c>
      <c r="O73" s="6">
        <f t="shared" si="8"/>
        <v>2500000</v>
      </c>
      <c r="P73" s="6" t="str">
        <f t="shared" ca="1" si="9"/>
        <v>已到期</v>
      </c>
    </row>
    <row r="74" spans="1:16" s="1" customFormat="1" ht="13.15">
      <c r="A74" s="9" t="s">
        <v>18</v>
      </c>
      <c r="B74" s="2" t="s">
        <v>17</v>
      </c>
      <c r="C74" s="2" t="s">
        <v>17</v>
      </c>
      <c r="D74" s="10" t="s">
        <v>22</v>
      </c>
      <c r="E74" s="6">
        <v>1</v>
      </c>
      <c r="F74" s="29">
        <v>0.1</v>
      </c>
      <c r="G74" s="14">
        <v>0.85629999999999995</v>
      </c>
      <c r="H74" s="3">
        <v>2575.8706999999999</v>
      </c>
      <c r="I74" s="3">
        <f t="shared" si="7"/>
        <v>2205.7180804099999</v>
      </c>
      <c r="J74" s="2">
        <v>45848</v>
      </c>
      <c r="K74" s="2">
        <v>45855</v>
      </c>
      <c r="L74" s="2">
        <v>45887</v>
      </c>
      <c r="M74" s="2">
        <v>45889</v>
      </c>
      <c r="N74" s="7">
        <v>200000000</v>
      </c>
      <c r="O74" s="6">
        <f t="shared" si="8"/>
        <v>1666666.6666666667</v>
      </c>
      <c r="P74" s="6" t="str">
        <f t="shared" ca="1" si="9"/>
        <v>已到期</v>
      </c>
    </row>
    <row r="75" spans="1:16" s="1" customFormat="1" ht="13.15">
      <c r="A75" s="9" t="s">
        <v>18</v>
      </c>
      <c r="B75" s="2" t="s">
        <v>17</v>
      </c>
      <c r="C75" s="2" t="s">
        <v>17</v>
      </c>
      <c r="D75" s="10" t="s">
        <v>22</v>
      </c>
      <c r="E75" s="6">
        <v>1</v>
      </c>
      <c r="F75" s="29">
        <v>0.12</v>
      </c>
      <c r="G75" s="14">
        <v>0.86280000000000001</v>
      </c>
      <c r="H75" s="3">
        <v>2566.3252000000002</v>
      </c>
      <c r="I75" s="3">
        <f t="shared" si="7"/>
        <v>2214.2253825600001</v>
      </c>
      <c r="J75" s="2">
        <v>45852</v>
      </c>
      <c r="K75" s="2">
        <v>45859</v>
      </c>
      <c r="L75" s="2">
        <v>45890</v>
      </c>
      <c r="M75" s="2">
        <v>45894</v>
      </c>
      <c r="N75" s="7">
        <v>200000000</v>
      </c>
      <c r="O75" s="6">
        <f t="shared" si="8"/>
        <v>2000000</v>
      </c>
      <c r="P75" s="6" t="str">
        <f t="shared" ca="1" si="9"/>
        <v>已到期</v>
      </c>
    </row>
    <row r="76" spans="1:16" s="1" customFormat="1" ht="13.15">
      <c r="A76" s="26" t="s">
        <v>2</v>
      </c>
      <c r="B76" s="2" t="s">
        <v>17</v>
      </c>
      <c r="C76" s="2" t="s">
        <v>17</v>
      </c>
      <c r="D76" s="2" t="s">
        <v>25</v>
      </c>
      <c r="E76" s="8">
        <v>1</v>
      </c>
      <c r="F76" s="27">
        <v>0.12</v>
      </c>
      <c r="G76" s="5">
        <v>0.93089999999999995</v>
      </c>
      <c r="H76" s="3">
        <v>4505.9394000000002</v>
      </c>
      <c r="I76" s="3">
        <f t="shared" si="7"/>
        <v>4194.5789874599996</v>
      </c>
      <c r="J76" s="4">
        <v>45852</v>
      </c>
      <c r="K76" s="4">
        <v>45859</v>
      </c>
      <c r="L76" s="4">
        <v>45891</v>
      </c>
      <c r="M76" s="4">
        <v>45895</v>
      </c>
      <c r="N76" s="28">
        <v>100000000</v>
      </c>
      <c r="O76" s="8">
        <f t="shared" si="8"/>
        <v>1000000</v>
      </c>
      <c r="P76" s="6" t="str">
        <f t="shared" ca="1" si="9"/>
        <v>已到期</v>
      </c>
    </row>
    <row r="77" spans="1:16" s="1" customFormat="1" ht="13.15">
      <c r="A77" s="9" t="s">
        <v>1</v>
      </c>
      <c r="B77" s="2" t="s">
        <v>17</v>
      </c>
      <c r="C77" s="2" t="s">
        <v>17</v>
      </c>
      <c r="D77" s="2" t="s">
        <v>25</v>
      </c>
      <c r="E77" s="6">
        <v>1</v>
      </c>
      <c r="F77" s="29">
        <v>0.12</v>
      </c>
      <c r="G77" s="14">
        <v>0.93089999999999995</v>
      </c>
      <c r="H77" s="3">
        <v>4505.9390999999996</v>
      </c>
      <c r="I77" s="3">
        <f t="shared" si="7"/>
        <v>4194.5787081899998</v>
      </c>
      <c r="J77" s="2">
        <v>45852</v>
      </c>
      <c r="K77" s="2">
        <v>45859</v>
      </c>
      <c r="L77" s="2">
        <v>45891</v>
      </c>
      <c r="M77" s="2">
        <v>45895</v>
      </c>
      <c r="N77" s="7">
        <v>100000000</v>
      </c>
      <c r="O77" s="6">
        <f t="shared" si="8"/>
        <v>1000000</v>
      </c>
      <c r="P77" s="6" t="str">
        <f t="shared" ca="1" si="9"/>
        <v>已到期</v>
      </c>
    </row>
    <row r="78" spans="1:16" s="1" customFormat="1" ht="13.15">
      <c r="A78" s="26" t="s">
        <v>0</v>
      </c>
      <c r="B78" s="2" t="s">
        <v>17</v>
      </c>
      <c r="C78" s="2" t="s">
        <v>17</v>
      </c>
      <c r="D78" s="2" t="s">
        <v>25</v>
      </c>
      <c r="E78" s="6">
        <v>1</v>
      </c>
      <c r="F78" s="29">
        <v>0.12</v>
      </c>
      <c r="G78" s="14">
        <v>0.94069999999999998</v>
      </c>
      <c r="H78" s="3">
        <v>1989.4896000000001</v>
      </c>
      <c r="I78" s="3">
        <f t="shared" si="7"/>
        <v>1871.5128667200001</v>
      </c>
      <c r="J78" s="4">
        <v>45852</v>
      </c>
      <c r="K78" s="4">
        <v>45859</v>
      </c>
      <c r="L78" s="4">
        <v>45891</v>
      </c>
      <c r="M78" s="4">
        <v>45895</v>
      </c>
      <c r="N78" s="28">
        <v>100000000</v>
      </c>
      <c r="O78" s="8">
        <f t="shared" si="8"/>
        <v>1000000</v>
      </c>
      <c r="P78" s="6" t="str">
        <f t="shared" ca="1" si="9"/>
        <v>已到期</v>
      </c>
    </row>
    <row r="79" spans="1:16" s="1" customFormat="1" ht="13.15">
      <c r="A79" s="9" t="s">
        <v>2</v>
      </c>
      <c r="B79" s="2" t="s">
        <v>17</v>
      </c>
      <c r="C79" s="2" t="s">
        <v>17</v>
      </c>
      <c r="D79" s="2" t="s">
        <v>25</v>
      </c>
      <c r="E79" s="6">
        <v>1</v>
      </c>
      <c r="F79" s="29">
        <v>0.12</v>
      </c>
      <c r="G79" s="14">
        <v>0.93669999999999998</v>
      </c>
      <c r="H79" s="3">
        <v>1991.2868000000001</v>
      </c>
      <c r="I79" s="3">
        <f t="shared" si="7"/>
        <v>1865.23834556</v>
      </c>
      <c r="J79" s="2">
        <v>45853</v>
      </c>
      <c r="K79" s="2">
        <v>45860</v>
      </c>
      <c r="L79" s="2">
        <v>45891</v>
      </c>
      <c r="M79" s="2">
        <v>45895</v>
      </c>
      <c r="N79" s="7">
        <v>100000000</v>
      </c>
      <c r="O79" s="6">
        <f t="shared" si="8"/>
        <v>1000000</v>
      </c>
      <c r="P79" s="6" t="str">
        <f t="shared" ca="1" si="9"/>
        <v>已到期</v>
      </c>
    </row>
    <row r="80" spans="1:16" s="1" customFormat="1" ht="13.15">
      <c r="A80" s="9" t="s">
        <v>1</v>
      </c>
      <c r="B80" s="2" t="s">
        <v>17</v>
      </c>
      <c r="C80" s="2" t="s">
        <v>17</v>
      </c>
      <c r="D80" s="2" t="s">
        <v>25</v>
      </c>
      <c r="E80" s="6">
        <v>1</v>
      </c>
      <c r="F80" s="29">
        <v>0.12</v>
      </c>
      <c r="G80" s="14">
        <v>0.93669999999999998</v>
      </c>
      <c r="H80" s="3">
        <v>1991.2868000000001</v>
      </c>
      <c r="I80" s="3">
        <f t="shared" si="7"/>
        <v>1865.23834556</v>
      </c>
      <c r="J80" s="2">
        <v>45853</v>
      </c>
      <c r="K80" s="2">
        <v>45860</v>
      </c>
      <c r="L80" s="2">
        <v>45891</v>
      </c>
      <c r="M80" s="2">
        <v>45895</v>
      </c>
      <c r="N80" s="7">
        <v>100000000</v>
      </c>
      <c r="O80" s="6">
        <f t="shared" si="8"/>
        <v>1000000</v>
      </c>
      <c r="P80" s="6" t="str">
        <f t="shared" ca="1" si="9"/>
        <v>已到期</v>
      </c>
    </row>
    <row r="81" spans="1:16" s="1" customFormat="1" ht="13.15">
      <c r="A81" s="26" t="s">
        <v>18</v>
      </c>
      <c r="B81" s="2" t="s">
        <v>17</v>
      </c>
      <c r="C81" s="2" t="s">
        <v>17</v>
      </c>
      <c r="D81" s="10" t="s">
        <v>22</v>
      </c>
      <c r="E81" s="8">
        <v>1</v>
      </c>
      <c r="F81" s="27">
        <v>0.1</v>
      </c>
      <c r="G81" s="5">
        <v>0.85419999999999996</v>
      </c>
      <c r="H81" s="3">
        <v>2557</v>
      </c>
      <c r="I81" s="3">
        <f t="shared" si="7"/>
        <v>2184.1893999999998</v>
      </c>
      <c r="J81" s="4">
        <v>45853</v>
      </c>
      <c r="K81" s="4">
        <v>45860</v>
      </c>
      <c r="L81" s="4">
        <v>45891</v>
      </c>
      <c r="M81" s="4">
        <v>45894</v>
      </c>
      <c r="N81" s="28">
        <v>400000000</v>
      </c>
      <c r="O81" s="8">
        <f t="shared" si="8"/>
        <v>3333333.3333333335</v>
      </c>
      <c r="P81" s="6" t="str">
        <f t="shared" ca="1" si="9"/>
        <v>已到期</v>
      </c>
    </row>
    <row r="82" spans="1:16" s="1" customFormat="1" ht="13.15">
      <c r="A82" s="9" t="s">
        <v>18</v>
      </c>
      <c r="B82" s="2" t="s">
        <v>17</v>
      </c>
      <c r="C82" s="2" t="s">
        <v>17</v>
      </c>
      <c r="D82" s="10" t="s">
        <v>22</v>
      </c>
      <c r="E82" s="6">
        <v>1</v>
      </c>
      <c r="F82" s="29">
        <v>0.12</v>
      </c>
      <c r="G82" s="14">
        <v>0.8639</v>
      </c>
      <c r="H82" s="3">
        <v>2546.1055999999999</v>
      </c>
      <c r="I82" s="3">
        <f t="shared" si="7"/>
        <v>2199.58062784</v>
      </c>
      <c r="J82" s="2">
        <v>45853</v>
      </c>
      <c r="K82" s="2">
        <v>45860</v>
      </c>
      <c r="L82" s="2">
        <v>45891</v>
      </c>
      <c r="M82" s="2">
        <v>45894</v>
      </c>
      <c r="N82" s="7">
        <v>200000000</v>
      </c>
      <c r="O82" s="6">
        <f t="shared" si="8"/>
        <v>2000000</v>
      </c>
      <c r="P82" s="6" t="str">
        <f t="shared" ca="1" si="9"/>
        <v>已到期</v>
      </c>
    </row>
    <row r="83" spans="1:16" s="1" customFormat="1" ht="13.15">
      <c r="A83" s="26" t="s">
        <v>2</v>
      </c>
      <c r="B83" s="2" t="s">
        <v>17</v>
      </c>
      <c r="C83" s="2" t="s">
        <v>17</v>
      </c>
      <c r="D83" s="2" t="s">
        <v>25</v>
      </c>
      <c r="E83" s="8">
        <v>1</v>
      </c>
      <c r="F83" s="27">
        <v>0.12</v>
      </c>
      <c r="G83" s="5">
        <v>0.92410000000000003</v>
      </c>
      <c r="H83" s="3">
        <v>2533.8332999999998</v>
      </c>
      <c r="I83" s="3">
        <f t="shared" si="7"/>
        <v>2341.5153525299997</v>
      </c>
      <c r="J83" s="4">
        <v>45854</v>
      </c>
      <c r="K83" s="4">
        <v>45861</v>
      </c>
      <c r="L83" s="4">
        <v>45894</v>
      </c>
      <c r="M83" s="4">
        <v>45896</v>
      </c>
      <c r="N83" s="28">
        <v>100000000</v>
      </c>
      <c r="O83" s="8">
        <f t="shared" si="8"/>
        <v>1000000</v>
      </c>
      <c r="P83" s="6" t="str">
        <f t="shared" ca="1" si="9"/>
        <v>已到期</v>
      </c>
    </row>
    <row r="84" spans="1:16" s="1" customFormat="1" ht="13.15">
      <c r="A84" s="26" t="s">
        <v>1</v>
      </c>
      <c r="B84" s="2" t="s">
        <v>17</v>
      </c>
      <c r="C84" s="2" t="s">
        <v>17</v>
      </c>
      <c r="D84" s="2" t="s">
        <v>25</v>
      </c>
      <c r="E84" s="8">
        <v>1</v>
      </c>
      <c r="F84" s="27">
        <v>0.12</v>
      </c>
      <c r="G84" s="5">
        <v>0.92410000000000003</v>
      </c>
      <c r="H84" s="3">
        <v>2530.0074</v>
      </c>
      <c r="I84" s="3">
        <f t="shared" si="7"/>
        <v>2337.9798383400002</v>
      </c>
      <c r="J84" s="4">
        <v>45854</v>
      </c>
      <c r="K84" s="4">
        <v>45861</v>
      </c>
      <c r="L84" s="4">
        <v>45894</v>
      </c>
      <c r="M84" s="4">
        <v>45896</v>
      </c>
      <c r="N84" s="28">
        <v>100000000</v>
      </c>
      <c r="O84" s="8">
        <f t="shared" si="8"/>
        <v>1000000</v>
      </c>
      <c r="P84" s="6" t="str">
        <f t="shared" ca="1" si="9"/>
        <v>已到期</v>
      </c>
    </row>
    <row r="85" spans="1:16" s="1" customFormat="1" ht="13.15">
      <c r="A85" s="9" t="s">
        <v>0</v>
      </c>
      <c r="B85" s="2" t="s">
        <v>17</v>
      </c>
      <c r="C85" s="2" t="s">
        <v>17</v>
      </c>
      <c r="D85" s="2" t="s">
        <v>25</v>
      </c>
      <c r="E85" s="6">
        <v>1</v>
      </c>
      <c r="F85" s="29">
        <v>0.12</v>
      </c>
      <c r="G85" s="14">
        <v>0.92889999999999995</v>
      </c>
      <c r="H85" s="3">
        <v>2526.42</v>
      </c>
      <c r="I85" s="3">
        <f t="shared" si="7"/>
        <v>2346.7915379999999</v>
      </c>
      <c r="J85" s="2">
        <v>45854</v>
      </c>
      <c r="K85" s="2">
        <v>45861</v>
      </c>
      <c r="L85" s="2">
        <v>45894</v>
      </c>
      <c r="M85" s="2">
        <v>45896</v>
      </c>
      <c r="N85" s="7">
        <v>100000000</v>
      </c>
      <c r="O85" s="6">
        <f t="shared" si="8"/>
        <v>1000000</v>
      </c>
      <c r="P85" s="6" t="str">
        <f t="shared" ca="1" si="9"/>
        <v>已到期</v>
      </c>
    </row>
    <row r="86" spans="1:16" s="1" customFormat="1" ht="13.15">
      <c r="A86" s="9" t="s">
        <v>2</v>
      </c>
      <c r="B86" s="2" t="s">
        <v>17</v>
      </c>
      <c r="C86" s="2" t="s">
        <v>17</v>
      </c>
      <c r="D86" s="2" t="s">
        <v>25</v>
      </c>
      <c r="E86" s="6">
        <v>1</v>
      </c>
      <c r="F86" s="29">
        <v>0.12</v>
      </c>
      <c r="G86" s="14">
        <v>0.93030000000000002</v>
      </c>
      <c r="H86" s="3">
        <v>2525.7800000000002</v>
      </c>
      <c r="I86" s="3">
        <f t="shared" si="7"/>
        <v>2349.7331340000001</v>
      </c>
      <c r="J86" s="2">
        <v>45855</v>
      </c>
      <c r="K86" s="2">
        <v>45862</v>
      </c>
      <c r="L86" s="2">
        <v>45894</v>
      </c>
      <c r="M86" s="2">
        <v>45896</v>
      </c>
      <c r="N86" s="7">
        <v>100000000</v>
      </c>
      <c r="O86" s="6">
        <f t="shared" si="8"/>
        <v>1000000</v>
      </c>
      <c r="P86" s="6" t="str">
        <f t="shared" ca="1" si="9"/>
        <v>已到期</v>
      </c>
    </row>
    <row r="87" spans="1:16" s="1" customFormat="1" ht="13.15">
      <c r="A87" s="9" t="s">
        <v>1</v>
      </c>
      <c r="B87" s="2" t="s">
        <v>17</v>
      </c>
      <c r="C87" s="2" t="s">
        <v>17</v>
      </c>
      <c r="D87" s="2" t="s">
        <v>25</v>
      </c>
      <c r="E87" s="6">
        <v>1</v>
      </c>
      <c r="F87" s="29">
        <v>0.12</v>
      </c>
      <c r="G87" s="14">
        <v>0.93030000000000002</v>
      </c>
      <c r="H87" s="3">
        <v>2525.7800000000002</v>
      </c>
      <c r="I87" s="3">
        <f t="shared" si="7"/>
        <v>2349.7331340000001</v>
      </c>
      <c r="J87" s="2">
        <v>45855</v>
      </c>
      <c r="K87" s="2">
        <v>45862</v>
      </c>
      <c r="L87" s="2">
        <v>45894</v>
      </c>
      <c r="M87" s="2">
        <v>45896</v>
      </c>
      <c r="N87" s="7">
        <v>100000000</v>
      </c>
      <c r="O87" s="6">
        <f t="shared" si="8"/>
        <v>1000000</v>
      </c>
      <c r="P87" s="6" t="str">
        <f t="shared" ca="1" si="9"/>
        <v>已到期</v>
      </c>
    </row>
    <row r="88" spans="1:16" s="1" customFormat="1" ht="13.15">
      <c r="A88" s="9" t="s">
        <v>0</v>
      </c>
      <c r="B88" s="2" t="s">
        <v>17</v>
      </c>
      <c r="C88" s="2" t="s">
        <v>17</v>
      </c>
      <c r="D88" s="2" t="s">
        <v>25</v>
      </c>
      <c r="E88" s="6">
        <v>1</v>
      </c>
      <c r="F88" s="29">
        <v>0.12</v>
      </c>
      <c r="G88" s="14">
        <v>0.93030000000000002</v>
      </c>
      <c r="H88" s="3">
        <v>2525.7800000000002</v>
      </c>
      <c r="I88" s="3">
        <f t="shared" si="7"/>
        <v>2349.7331340000001</v>
      </c>
      <c r="J88" s="2">
        <v>45855</v>
      </c>
      <c r="K88" s="2">
        <v>45862</v>
      </c>
      <c r="L88" s="2">
        <v>45894</v>
      </c>
      <c r="M88" s="2">
        <v>45896</v>
      </c>
      <c r="N88" s="7">
        <v>100000000</v>
      </c>
      <c r="O88" s="6">
        <f t="shared" si="8"/>
        <v>1000000</v>
      </c>
      <c r="P88" s="6" t="str">
        <f t="shared" ca="1" si="9"/>
        <v>已到期</v>
      </c>
    </row>
    <row r="89" spans="1:16" s="1" customFormat="1" ht="13.15">
      <c r="A89" s="9" t="s">
        <v>2</v>
      </c>
      <c r="B89" s="2" t="s">
        <v>17</v>
      </c>
      <c r="C89" s="2" t="s">
        <v>17</v>
      </c>
      <c r="D89" s="2" t="s">
        <v>25</v>
      </c>
      <c r="E89" s="6">
        <v>1</v>
      </c>
      <c r="F89" s="29">
        <v>0.1</v>
      </c>
      <c r="G89" s="14">
        <v>0.93310000000000004</v>
      </c>
      <c r="H89" s="3">
        <v>2000.2372</v>
      </c>
      <c r="I89" s="3">
        <f t="shared" si="7"/>
        <v>1866.42133132</v>
      </c>
      <c r="J89" s="2">
        <v>45856</v>
      </c>
      <c r="K89" s="2">
        <v>45863</v>
      </c>
      <c r="L89" s="2">
        <v>45894</v>
      </c>
      <c r="M89" s="2">
        <v>45896</v>
      </c>
      <c r="N89" s="7">
        <v>100000000</v>
      </c>
      <c r="O89" s="6">
        <f t="shared" si="8"/>
        <v>833333.33333333337</v>
      </c>
      <c r="P89" s="6" t="str">
        <f t="shared" ca="1" si="9"/>
        <v>已到期</v>
      </c>
    </row>
    <row r="90" spans="1:16" s="1" customFormat="1" ht="13.15">
      <c r="A90" s="9" t="s">
        <v>1</v>
      </c>
      <c r="B90" s="2" t="s">
        <v>17</v>
      </c>
      <c r="C90" s="2" t="s">
        <v>17</v>
      </c>
      <c r="D90" s="2" t="s">
        <v>25</v>
      </c>
      <c r="E90" s="6">
        <v>1</v>
      </c>
      <c r="F90" s="29">
        <v>0.1</v>
      </c>
      <c r="G90" s="14">
        <v>0.93310000000000004</v>
      </c>
      <c r="H90" s="3">
        <v>2000.2372</v>
      </c>
      <c r="I90" s="3">
        <f t="shared" si="7"/>
        <v>1866.42133132</v>
      </c>
      <c r="J90" s="2">
        <v>45856</v>
      </c>
      <c r="K90" s="2">
        <v>45863</v>
      </c>
      <c r="L90" s="2">
        <v>45894</v>
      </c>
      <c r="M90" s="2">
        <v>45896</v>
      </c>
      <c r="N90" s="7">
        <v>100000000</v>
      </c>
      <c r="O90" s="6">
        <f t="shared" si="8"/>
        <v>833333.33333333337</v>
      </c>
      <c r="P90" s="6" t="str">
        <f t="shared" ca="1" si="9"/>
        <v>已到期</v>
      </c>
    </row>
    <row r="91" spans="1:16" s="1" customFormat="1" ht="13.15">
      <c r="A91" s="9" t="s">
        <v>0</v>
      </c>
      <c r="B91" s="2" t="s">
        <v>17</v>
      </c>
      <c r="C91" s="2" t="s">
        <v>17</v>
      </c>
      <c r="D91" s="2" t="s">
        <v>25</v>
      </c>
      <c r="E91" s="6">
        <v>1</v>
      </c>
      <c r="F91" s="29">
        <v>0.1</v>
      </c>
      <c r="G91" s="14">
        <v>0.93310000000000004</v>
      </c>
      <c r="H91" s="3">
        <v>2001.8875</v>
      </c>
      <c r="I91" s="3">
        <f t="shared" si="7"/>
        <v>1867.9612262500002</v>
      </c>
      <c r="J91" s="2">
        <v>45856</v>
      </c>
      <c r="K91" s="2">
        <v>45863</v>
      </c>
      <c r="L91" s="2">
        <v>45894</v>
      </c>
      <c r="M91" s="2">
        <v>45896</v>
      </c>
      <c r="N91" s="7">
        <v>100000000</v>
      </c>
      <c r="O91" s="6">
        <f t="shared" si="8"/>
        <v>833333.33333333337</v>
      </c>
      <c r="P91" s="6" t="str">
        <f t="shared" ca="1" si="9"/>
        <v>已到期</v>
      </c>
    </row>
    <row r="92" spans="1:16" s="1" customFormat="1" ht="13.15">
      <c r="A92" s="9" t="s">
        <v>18</v>
      </c>
      <c r="B92" s="2" t="s">
        <v>17</v>
      </c>
      <c r="C92" s="2" t="s">
        <v>17</v>
      </c>
      <c r="D92" s="10" t="s">
        <v>22</v>
      </c>
      <c r="E92" s="6">
        <v>1</v>
      </c>
      <c r="F92" s="29">
        <v>0.1</v>
      </c>
      <c r="G92" s="14">
        <v>0.85770000000000002</v>
      </c>
      <c r="H92" s="3">
        <v>2558.7593000000002</v>
      </c>
      <c r="I92" s="3">
        <f t="shared" si="7"/>
        <v>2194.6478516100001</v>
      </c>
      <c r="J92" s="2">
        <v>45854</v>
      </c>
      <c r="K92" s="2">
        <v>45861</v>
      </c>
      <c r="L92" s="2">
        <v>45894</v>
      </c>
      <c r="M92" s="2">
        <v>45896</v>
      </c>
      <c r="N92" s="7">
        <v>200000000</v>
      </c>
      <c r="O92" s="6">
        <f t="shared" si="8"/>
        <v>1666666.6666666667</v>
      </c>
      <c r="P92" s="6" t="str">
        <f t="shared" ca="1" si="9"/>
        <v>已到期</v>
      </c>
    </row>
    <row r="93" spans="1:16" s="1" customFormat="1" ht="13.15">
      <c r="A93" s="9" t="s">
        <v>0</v>
      </c>
      <c r="B93" s="2" t="s">
        <v>17</v>
      </c>
      <c r="C93" s="2" t="s">
        <v>17</v>
      </c>
      <c r="D93" s="2" t="s">
        <v>25</v>
      </c>
      <c r="E93" s="6">
        <v>1</v>
      </c>
      <c r="F93" s="29">
        <v>0.12</v>
      </c>
      <c r="G93" s="14">
        <v>0.93779999999999997</v>
      </c>
      <c r="H93" s="3">
        <v>1020.0265000000001</v>
      </c>
      <c r="I93" s="3">
        <f t="shared" si="7"/>
        <v>956.58085170000004</v>
      </c>
      <c r="J93" s="2">
        <v>45853</v>
      </c>
      <c r="K93" s="2">
        <v>45867</v>
      </c>
      <c r="L93" s="2">
        <v>45898</v>
      </c>
      <c r="M93" s="2">
        <v>45902</v>
      </c>
      <c r="N93" s="7">
        <v>100000000</v>
      </c>
      <c r="O93" s="6">
        <f t="shared" si="8"/>
        <v>1000000</v>
      </c>
      <c r="P93" s="6" t="str">
        <f t="shared" ca="1" si="9"/>
        <v>已到期</v>
      </c>
    </row>
    <row r="94" spans="1:16" s="1" customFormat="1" ht="13.15">
      <c r="A94" s="26" t="s">
        <v>1</v>
      </c>
      <c r="B94" s="2" t="s">
        <v>17</v>
      </c>
      <c r="C94" s="2" t="s">
        <v>17</v>
      </c>
      <c r="D94" s="2" t="s">
        <v>25</v>
      </c>
      <c r="E94" s="8">
        <v>1</v>
      </c>
      <c r="F94" s="27">
        <v>0.12</v>
      </c>
      <c r="G94" s="5">
        <v>0.93940000000000001</v>
      </c>
      <c r="H94" s="3">
        <v>15175</v>
      </c>
      <c r="I94" s="3">
        <f t="shared" si="7"/>
        <v>14255.395</v>
      </c>
      <c r="J94" s="4">
        <v>45860</v>
      </c>
      <c r="K94" s="4">
        <v>45867</v>
      </c>
      <c r="L94" s="4">
        <v>45898</v>
      </c>
      <c r="M94" s="4">
        <v>45902</v>
      </c>
      <c r="N94" s="28">
        <v>100000000</v>
      </c>
      <c r="O94" s="8">
        <f t="shared" si="8"/>
        <v>1000000</v>
      </c>
      <c r="P94" s="6" t="str">
        <f t="shared" ca="1" si="9"/>
        <v>已到期</v>
      </c>
    </row>
    <row r="95" spans="1:16" s="1" customFormat="1" ht="13.15">
      <c r="A95" s="26" t="s">
        <v>18</v>
      </c>
      <c r="B95" s="2" t="s">
        <v>17</v>
      </c>
      <c r="C95" s="2" t="s">
        <v>17</v>
      </c>
      <c r="D95" s="10" t="s">
        <v>22</v>
      </c>
      <c r="E95" s="8">
        <v>1</v>
      </c>
      <c r="F95" s="27">
        <v>0.1</v>
      </c>
      <c r="G95" s="5">
        <v>0.86370000000000002</v>
      </c>
      <c r="H95" s="3">
        <v>2554.4355999999998</v>
      </c>
      <c r="I95" s="3">
        <f t="shared" si="7"/>
        <v>2206.2660277199998</v>
      </c>
      <c r="J95" s="4">
        <v>45860</v>
      </c>
      <c r="K95" s="4">
        <v>45867</v>
      </c>
      <c r="L95" s="4">
        <v>45898</v>
      </c>
      <c r="M95" s="4">
        <v>45902</v>
      </c>
      <c r="N95" s="28">
        <v>200000000</v>
      </c>
      <c r="O95" s="8">
        <f t="shared" si="8"/>
        <v>1666666.6666666667</v>
      </c>
      <c r="P95" s="6" t="str">
        <f t="shared" ca="1" si="9"/>
        <v>已到期</v>
      </c>
    </row>
    <row r="96" spans="1:16" s="1" customFormat="1" ht="13.15">
      <c r="A96" s="26" t="s">
        <v>18</v>
      </c>
      <c r="B96" s="2" t="s">
        <v>17</v>
      </c>
      <c r="C96" s="2" t="s">
        <v>17</v>
      </c>
      <c r="D96" s="10" t="s">
        <v>22</v>
      </c>
      <c r="E96" s="8">
        <v>1</v>
      </c>
      <c r="F96" s="27">
        <v>0.1</v>
      </c>
      <c r="G96" s="5">
        <v>0.86370000000000002</v>
      </c>
      <c r="H96" s="3">
        <v>2563.1999999999998</v>
      </c>
      <c r="I96" s="3">
        <f t="shared" si="7"/>
        <v>2213.8358399999997</v>
      </c>
      <c r="J96" s="4">
        <v>45860</v>
      </c>
      <c r="K96" s="4">
        <v>45867</v>
      </c>
      <c r="L96" s="4">
        <v>45898</v>
      </c>
      <c r="M96" s="4">
        <v>45902</v>
      </c>
      <c r="N96" s="28">
        <v>200000000</v>
      </c>
      <c r="O96" s="8">
        <f t="shared" si="8"/>
        <v>1666666.6666666667</v>
      </c>
      <c r="P96" s="6" t="str">
        <f t="shared" ca="1" si="9"/>
        <v>已到期</v>
      </c>
    </row>
    <row r="97" spans="1:16" s="1" customFormat="1" ht="13.15">
      <c r="A97" s="31" t="s">
        <v>2</v>
      </c>
      <c r="B97" s="2" t="s">
        <v>17</v>
      </c>
      <c r="C97" s="2" t="s">
        <v>17</v>
      </c>
      <c r="D97" s="2" t="s">
        <v>25</v>
      </c>
      <c r="E97" s="8">
        <v>1</v>
      </c>
      <c r="F97" s="27">
        <v>0.1</v>
      </c>
      <c r="G97" s="5">
        <v>0.9254</v>
      </c>
      <c r="H97" s="3">
        <v>15450</v>
      </c>
      <c r="I97" s="3">
        <f t="shared" si="7"/>
        <v>14297.43</v>
      </c>
      <c r="J97" s="4">
        <v>45863</v>
      </c>
      <c r="K97" s="4">
        <v>45870</v>
      </c>
      <c r="L97" s="4">
        <v>45901</v>
      </c>
      <c r="M97" s="4">
        <v>45903</v>
      </c>
      <c r="N97" s="28">
        <v>100000000</v>
      </c>
      <c r="O97" s="8">
        <f t="shared" si="8"/>
        <v>833333.33333333337</v>
      </c>
      <c r="P97" s="6" t="str">
        <f t="shared" ca="1" si="9"/>
        <v>已到期</v>
      </c>
    </row>
    <row r="98" spans="1:16" s="1" customFormat="1" ht="13.15">
      <c r="A98" s="26" t="s">
        <v>18</v>
      </c>
      <c r="B98" s="2" t="s">
        <v>17</v>
      </c>
      <c r="C98" s="2" t="s">
        <v>17</v>
      </c>
      <c r="D98" s="10" t="s">
        <v>15</v>
      </c>
      <c r="E98" s="8">
        <v>1</v>
      </c>
      <c r="F98" s="27">
        <v>0.1</v>
      </c>
      <c r="G98" s="5">
        <v>0.91159999999999997</v>
      </c>
      <c r="H98" s="3">
        <v>2215</v>
      </c>
      <c r="I98" s="3">
        <f t="shared" si="7"/>
        <v>2019.194</v>
      </c>
      <c r="J98" s="4">
        <v>45863</v>
      </c>
      <c r="K98" s="4">
        <v>45870</v>
      </c>
      <c r="L98" s="4">
        <v>45901</v>
      </c>
      <c r="M98" s="4">
        <v>45903</v>
      </c>
      <c r="N98" s="28">
        <v>200000000</v>
      </c>
      <c r="O98" s="8">
        <f t="shared" si="8"/>
        <v>1666666.6666666667</v>
      </c>
      <c r="P98" s="6" t="str">
        <f t="shared" ca="1" si="9"/>
        <v>已到期</v>
      </c>
    </row>
    <row r="99" spans="1:16" s="1" customFormat="1" ht="13.15">
      <c r="A99" s="31" t="s">
        <v>1</v>
      </c>
      <c r="B99" s="2" t="s">
        <v>17</v>
      </c>
      <c r="C99" s="2" t="s">
        <v>17</v>
      </c>
      <c r="D99" s="2" t="s">
        <v>25</v>
      </c>
      <c r="E99" s="8">
        <v>1</v>
      </c>
      <c r="F99" s="27">
        <v>0.1</v>
      </c>
      <c r="G99" s="5">
        <v>0.90490000000000004</v>
      </c>
      <c r="H99" s="3">
        <v>2589.8175999999999</v>
      </c>
      <c r="I99" s="3">
        <f t="shared" si="7"/>
        <v>2343.5259462399999</v>
      </c>
      <c r="J99" s="4">
        <v>45867</v>
      </c>
      <c r="K99" s="4">
        <v>45874</v>
      </c>
      <c r="L99" s="4">
        <v>45905</v>
      </c>
      <c r="M99" s="4">
        <v>45909</v>
      </c>
      <c r="N99" s="28">
        <v>200000000</v>
      </c>
      <c r="O99" s="8">
        <f t="shared" si="8"/>
        <v>1666666.6666666667</v>
      </c>
      <c r="P99" s="6" t="str">
        <f t="shared" ca="1" si="9"/>
        <v>已到期</v>
      </c>
    </row>
    <row r="100" spans="1:16" s="1" customFormat="1" ht="13.15">
      <c r="A100" s="9" t="s">
        <v>18</v>
      </c>
      <c r="B100" s="2" t="s">
        <v>17</v>
      </c>
      <c r="C100" s="2" t="s">
        <v>17</v>
      </c>
      <c r="D100" s="10" t="s">
        <v>15</v>
      </c>
      <c r="E100" s="6">
        <v>1</v>
      </c>
      <c r="F100" s="29">
        <v>0.1</v>
      </c>
      <c r="G100" s="14">
        <v>0.90749999999999997</v>
      </c>
      <c r="H100" s="3">
        <v>2191</v>
      </c>
      <c r="I100" s="3">
        <f t="shared" si="7"/>
        <v>1988.3325</v>
      </c>
      <c r="J100" s="2">
        <v>45867</v>
      </c>
      <c r="K100" s="2">
        <v>45874</v>
      </c>
      <c r="L100" s="2">
        <v>45905</v>
      </c>
      <c r="M100" s="2">
        <v>45909</v>
      </c>
      <c r="N100" s="7">
        <v>200000000</v>
      </c>
      <c r="O100" s="6">
        <f t="shared" si="8"/>
        <v>1666666.6666666667</v>
      </c>
      <c r="P100" s="6" t="str">
        <f t="shared" ca="1" si="9"/>
        <v>已到期</v>
      </c>
    </row>
    <row r="101" spans="1:16" s="1" customFormat="1" ht="13.15">
      <c r="A101" s="9" t="s">
        <v>18</v>
      </c>
      <c r="B101" s="2" t="s">
        <v>17</v>
      </c>
      <c r="C101" s="2" t="s">
        <v>17</v>
      </c>
      <c r="D101" s="10" t="s">
        <v>15</v>
      </c>
      <c r="E101" s="6">
        <v>1</v>
      </c>
      <c r="F101" s="29">
        <v>0.1</v>
      </c>
      <c r="G101" s="14">
        <v>0.8992</v>
      </c>
      <c r="H101" s="3">
        <v>2256</v>
      </c>
      <c r="I101" s="3">
        <f t="shared" si="7"/>
        <v>2028.5952</v>
      </c>
      <c r="J101" s="2">
        <v>45873</v>
      </c>
      <c r="K101" s="2">
        <v>45881</v>
      </c>
      <c r="L101" s="2">
        <v>45912</v>
      </c>
      <c r="M101" s="2">
        <v>45915</v>
      </c>
      <c r="N101" s="7">
        <v>400000000</v>
      </c>
      <c r="O101" s="6">
        <f t="shared" si="8"/>
        <v>3333333.3333333335</v>
      </c>
      <c r="P101" s="6" t="str">
        <f t="shared" ca="1" si="9"/>
        <v>已到期</v>
      </c>
    </row>
    <row r="102" spans="1:16" s="1" customFormat="1" ht="13.15">
      <c r="A102" s="9" t="s">
        <v>18</v>
      </c>
      <c r="B102" s="2" t="s">
        <v>17</v>
      </c>
      <c r="C102" s="2" t="s">
        <v>17</v>
      </c>
      <c r="D102" s="10" t="s">
        <v>15</v>
      </c>
      <c r="E102" s="6">
        <v>1</v>
      </c>
      <c r="F102" s="29">
        <v>0.1</v>
      </c>
      <c r="G102" s="14">
        <v>0.91269999999999996</v>
      </c>
      <c r="H102" s="3">
        <v>2380.3649</v>
      </c>
      <c r="I102" s="3">
        <f t="shared" si="7"/>
        <v>2172.5590442299999</v>
      </c>
      <c r="J102" s="2">
        <v>45890</v>
      </c>
      <c r="K102" s="2">
        <v>45897</v>
      </c>
      <c r="L102" s="2">
        <v>45929</v>
      </c>
      <c r="M102" s="2">
        <v>45931</v>
      </c>
      <c r="N102" s="7">
        <v>200000000</v>
      </c>
      <c r="O102" s="6">
        <f t="shared" si="8"/>
        <v>1666666.6666666667</v>
      </c>
      <c r="P102" s="6" t="str">
        <f t="shared" ca="1" si="9"/>
        <v>已到期</v>
      </c>
    </row>
    <row r="103" spans="1:16" s="1" customFormat="1" ht="13.15">
      <c r="A103" s="9" t="s">
        <v>0</v>
      </c>
      <c r="B103" s="2" t="s">
        <v>17</v>
      </c>
      <c r="C103" s="2" t="s">
        <v>17</v>
      </c>
      <c r="D103" s="2" t="s">
        <v>25</v>
      </c>
      <c r="E103" s="6">
        <v>1</v>
      </c>
      <c r="F103" s="29">
        <v>0.1</v>
      </c>
      <c r="G103" s="14">
        <v>0.89239999999999997</v>
      </c>
      <c r="H103" s="3">
        <v>4958.5</v>
      </c>
      <c r="I103" s="3">
        <f t="shared" si="7"/>
        <v>4424.9654</v>
      </c>
      <c r="J103" s="2">
        <v>45901</v>
      </c>
      <c r="K103" s="2">
        <v>45908</v>
      </c>
      <c r="L103" s="2">
        <v>45938</v>
      </c>
      <c r="M103" s="2">
        <v>45940</v>
      </c>
      <c r="N103" s="7">
        <v>100000000</v>
      </c>
      <c r="O103" s="6">
        <f t="shared" si="8"/>
        <v>833333.33333333337</v>
      </c>
      <c r="P103" s="6" t="str">
        <f t="shared" ca="1" si="9"/>
        <v>已到期</v>
      </c>
    </row>
    <row r="104" spans="1:16" s="1" customFormat="1" ht="13.15">
      <c r="A104" s="26" t="s">
        <v>2</v>
      </c>
      <c r="B104" s="2" t="s">
        <v>17</v>
      </c>
      <c r="C104" s="2" t="s">
        <v>17</v>
      </c>
      <c r="D104" s="2" t="s">
        <v>25</v>
      </c>
      <c r="E104" s="8">
        <v>2</v>
      </c>
      <c r="F104" s="27">
        <v>0.1</v>
      </c>
      <c r="G104" s="5">
        <v>0.88500000000000001</v>
      </c>
      <c r="H104" s="3">
        <v>2907.5763000000002</v>
      </c>
      <c r="I104" s="3">
        <f t="shared" si="7"/>
        <v>2573.2050255000004</v>
      </c>
      <c r="J104" s="4">
        <v>45890</v>
      </c>
      <c r="K104" s="4">
        <v>45897</v>
      </c>
      <c r="L104" s="4">
        <v>45958</v>
      </c>
      <c r="M104" s="4">
        <v>45960</v>
      </c>
      <c r="N104" s="28">
        <v>100000000</v>
      </c>
      <c r="O104" s="8">
        <f t="shared" si="8"/>
        <v>1666666.6666666667</v>
      </c>
      <c r="P104" s="6" t="str">
        <f t="shared" ca="1" si="9"/>
        <v>已到期</v>
      </c>
    </row>
    <row r="105" spans="1:16" s="1" customFormat="1" ht="13.15">
      <c r="A105" s="26" t="s">
        <v>1</v>
      </c>
      <c r="B105" s="2" t="s">
        <v>17</v>
      </c>
      <c r="C105" s="2" t="s">
        <v>17</v>
      </c>
      <c r="D105" s="2" t="s">
        <v>25</v>
      </c>
      <c r="E105" s="8">
        <v>2</v>
      </c>
      <c r="F105" s="27">
        <v>0.1</v>
      </c>
      <c r="G105" s="5">
        <v>0.88500000000000001</v>
      </c>
      <c r="H105" s="3">
        <v>2907.5</v>
      </c>
      <c r="I105" s="3">
        <f t="shared" si="7"/>
        <v>2573.1374999999998</v>
      </c>
      <c r="J105" s="4">
        <v>45890</v>
      </c>
      <c r="K105" s="4">
        <v>45897</v>
      </c>
      <c r="L105" s="4">
        <v>45958</v>
      </c>
      <c r="M105" s="4">
        <v>45960</v>
      </c>
      <c r="N105" s="28">
        <v>100000000</v>
      </c>
      <c r="O105" s="8">
        <f t="shared" si="8"/>
        <v>1666666.6666666667</v>
      </c>
      <c r="P105" s="6" t="str">
        <f t="shared" ca="1" si="9"/>
        <v>已到期</v>
      </c>
    </row>
    <row r="106" spans="1:16" s="1" customFormat="1" ht="13.15">
      <c r="A106" s="26" t="s">
        <v>2</v>
      </c>
      <c r="B106" s="2" t="s">
        <v>17</v>
      </c>
      <c r="C106" s="2" t="s">
        <v>17</v>
      </c>
      <c r="D106" s="2" t="s">
        <v>25</v>
      </c>
      <c r="E106" s="8">
        <v>2</v>
      </c>
      <c r="F106" s="27">
        <v>0.1</v>
      </c>
      <c r="G106" s="5">
        <v>0.87639999999999996</v>
      </c>
      <c r="H106" s="3">
        <v>5358</v>
      </c>
      <c r="I106" s="3">
        <f t="shared" si="7"/>
        <v>4695.7511999999997</v>
      </c>
      <c r="J106" s="4">
        <v>45891</v>
      </c>
      <c r="K106" s="4">
        <v>45898</v>
      </c>
      <c r="L106" s="4">
        <v>45959</v>
      </c>
      <c r="M106" s="4">
        <v>45961</v>
      </c>
      <c r="N106" s="28">
        <v>100000000</v>
      </c>
      <c r="O106" s="8">
        <f t="shared" si="8"/>
        <v>1666666.6666666667</v>
      </c>
      <c r="P106" s="6" t="str">
        <f t="shared" ca="1" si="9"/>
        <v>已到期</v>
      </c>
    </row>
    <row r="107" spans="1:16" s="1" customFormat="1" ht="13.15">
      <c r="A107" s="9" t="s">
        <v>1</v>
      </c>
      <c r="B107" s="2" t="s">
        <v>17</v>
      </c>
      <c r="C107" s="2" t="s">
        <v>17</v>
      </c>
      <c r="D107" s="2" t="s">
        <v>25</v>
      </c>
      <c r="E107" s="6">
        <v>2</v>
      </c>
      <c r="F107" s="29">
        <v>0.1</v>
      </c>
      <c r="G107" s="14">
        <v>0.87639999999999996</v>
      </c>
      <c r="H107" s="3">
        <v>5358</v>
      </c>
      <c r="I107" s="3">
        <f t="shared" si="7"/>
        <v>4695.7511999999997</v>
      </c>
      <c r="J107" s="2">
        <v>45891</v>
      </c>
      <c r="K107" s="2">
        <v>45898</v>
      </c>
      <c r="L107" s="2">
        <v>45959</v>
      </c>
      <c r="M107" s="2">
        <v>45961</v>
      </c>
      <c r="N107" s="7">
        <v>100000000</v>
      </c>
      <c r="O107" s="6">
        <f t="shared" si="8"/>
        <v>1666666.6666666667</v>
      </c>
      <c r="P107" s="6" t="str">
        <f t="shared" ca="1" si="9"/>
        <v>已到期</v>
      </c>
    </row>
    <row r="108" spans="1:16" s="1" customFormat="1" ht="13.15">
      <c r="A108" s="9" t="s">
        <v>2</v>
      </c>
      <c r="B108" s="2" t="s">
        <v>17</v>
      </c>
      <c r="C108" s="2" t="s">
        <v>17</v>
      </c>
      <c r="D108" s="2" t="s">
        <v>25</v>
      </c>
      <c r="E108" s="6">
        <v>2</v>
      </c>
      <c r="F108" s="29">
        <v>0.1</v>
      </c>
      <c r="G108" s="12">
        <v>0.87619999999999998</v>
      </c>
      <c r="H108" s="3">
        <v>5241</v>
      </c>
      <c r="I108" s="3">
        <f t="shared" si="7"/>
        <v>4592.1642000000002</v>
      </c>
      <c r="J108" s="32">
        <v>45895</v>
      </c>
      <c r="K108" s="32">
        <v>45902</v>
      </c>
      <c r="L108" s="32">
        <v>45965</v>
      </c>
      <c r="M108" s="32">
        <v>45967</v>
      </c>
      <c r="N108" s="6">
        <v>100000000</v>
      </c>
      <c r="O108" s="6">
        <f t="shared" si="8"/>
        <v>1666666.6666666667</v>
      </c>
      <c r="P108" s="6" t="str">
        <f t="shared" ca="1" si="9"/>
        <v>已到期</v>
      </c>
    </row>
    <row r="109" spans="1:16" s="1" customFormat="1" ht="13.15">
      <c r="A109" s="26" t="s">
        <v>1</v>
      </c>
      <c r="B109" s="2" t="s">
        <v>17</v>
      </c>
      <c r="C109" s="2" t="s">
        <v>17</v>
      </c>
      <c r="D109" s="2" t="s">
        <v>25</v>
      </c>
      <c r="E109" s="8">
        <v>2</v>
      </c>
      <c r="F109" s="27">
        <v>0.1</v>
      </c>
      <c r="G109" s="39">
        <v>0.87619999999999998</v>
      </c>
      <c r="H109" s="3">
        <v>5241</v>
      </c>
      <c r="I109" s="3">
        <f t="shared" si="7"/>
        <v>4592.1642000000002</v>
      </c>
      <c r="J109" s="40">
        <v>45895</v>
      </c>
      <c r="K109" s="40">
        <v>45902</v>
      </c>
      <c r="L109" s="40">
        <v>45965</v>
      </c>
      <c r="M109" s="40">
        <v>45967</v>
      </c>
      <c r="N109" s="8">
        <v>100000000</v>
      </c>
      <c r="O109" s="8">
        <f t="shared" si="8"/>
        <v>1666666.6666666667</v>
      </c>
      <c r="P109" s="6" t="str">
        <f t="shared" ca="1" si="9"/>
        <v>已到期</v>
      </c>
    </row>
    <row r="110" spans="1:16" s="1" customFormat="1" ht="13.15">
      <c r="A110" s="9" t="s">
        <v>0</v>
      </c>
      <c r="B110" s="2" t="s">
        <v>17</v>
      </c>
      <c r="C110" s="2" t="s">
        <v>17</v>
      </c>
      <c r="D110" s="2" t="s">
        <v>25</v>
      </c>
      <c r="E110" s="6">
        <v>2</v>
      </c>
      <c r="F110" s="29">
        <v>0.1</v>
      </c>
      <c r="G110" s="14">
        <v>0.86529999999999996</v>
      </c>
      <c r="H110" s="3">
        <v>2902.8449999999998</v>
      </c>
      <c r="I110" s="3">
        <f t="shared" si="7"/>
        <v>2511.8317784999999</v>
      </c>
      <c r="J110" s="2">
        <v>45895</v>
      </c>
      <c r="K110" s="2">
        <v>45902</v>
      </c>
      <c r="L110" s="2">
        <v>45965</v>
      </c>
      <c r="M110" s="2">
        <v>45967</v>
      </c>
      <c r="N110" s="7">
        <v>100000000</v>
      </c>
      <c r="O110" s="6">
        <f t="shared" si="8"/>
        <v>1666666.6666666667</v>
      </c>
      <c r="P110" s="6" t="str">
        <f t="shared" ca="1" si="9"/>
        <v>已到期</v>
      </c>
    </row>
    <row r="111" spans="1:16" s="1" customFormat="1" ht="13.15">
      <c r="A111" s="9" t="s">
        <v>0</v>
      </c>
      <c r="B111" s="2" t="s">
        <v>17</v>
      </c>
      <c r="C111" s="2" t="s">
        <v>17</v>
      </c>
      <c r="D111" s="2" t="s">
        <v>25</v>
      </c>
      <c r="E111" s="6">
        <v>2</v>
      </c>
      <c r="F111" s="29">
        <v>0.1</v>
      </c>
      <c r="G111" s="14">
        <v>0.88890000000000002</v>
      </c>
      <c r="H111" s="3">
        <v>4964.5429000000004</v>
      </c>
      <c r="I111" s="3">
        <f t="shared" si="7"/>
        <v>4412.9821838100006</v>
      </c>
      <c r="J111" s="2">
        <v>45896</v>
      </c>
      <c r="K111" s="2">
        <v>45903</v>
      </c>
      <c r="L111" s="2">
        <v>45965</v>
      </c>
      <c r="M111" s="2">
        <v>45967</v>
      </c>
      <c r="N111" s="7">
        <v>100000000</v>
      </c>
      <c r="O111" s="6">
        <f t="shared" si="8"/>
        <v>1666666.6666666667</v>
      </c>
      <c r="P111" s="6" t="str">
        <f t="shared" ca="1" si="9"/>
        <v>已到期</v>
      </c>
    </row>
    <row r="112" spans="1:16" s="1" customFormat="1" ht="13.15">
      <c r="A112" s="26" t="s">
        <v>2</v>
      </c>
      <c r="B112" s="2" t="s">
        <v>17</v>
      </c>
      <c r="C112" s="2" t="s">
        <v>17</v>
      </c>
      <c r="D112" s="2" t="s">
        <v>25</v>
      </c>
      <c r="E112" s="8">
        <v>2</v>
      </c>
      <c r="F112" s="27">
        <v>0.1</v>
      </c>
      <c r="G112" s="5">
        <v>0.89459999999999995</v>
      </c>
      <c r="H112" s="3">
        <v>2348</v>
      </c>
      <c r="I112" s="3">
        <f t="shared" si="7"/>
        <v>2100.5207999999998</v>
      </c>
      <c r="J112" s="4">
        <v>45896</v>
      </c>
      <c r="K112" s="4">
        <v>45903</v>
      </c>
      <c r="L112" s="4">
        <v>45965</v>
      </c>
      <c r="M112" s="4">
        <v>45967</v>
      </c>
      <c r="N112" s="28">
        <v>100000000</v>
      </c>
      <c r="O112" s="8">
        <f t="shared" si="8"/>
        <v>1666666.6666666667</v>
      </c>
      <c r="P112" s="6" t="str">
        <f t="shared" ca="1" si="9"/>
        <v>已到期</v>
      </c>
    </row>
    <row r="113" spans="1:16" s="1" customFormat="1" ht="13.15">
      <c r="A113" s="26" t="s">
        <v>2</v>
      </c>
      <c r="B113" s="2" t="s">
        <v>17</v>
      </c>
      <c r="C113" s="2" t="s">
        <v>17</v>
      </c>
      <c r="D113" s="2" t="s">
        <v>25</v>
      </c>
      <c r="E113" s="8">
        <v>2</v>
      </c>
      <c r="F113" s="27">
        <v>0.1</v>
      </c>
      <c r="G113" s="5">
        <v>0.89359999999999995</v>
      </c>
      <c r="H113" s="3">
        <v>2700.5</v>
      </c>
      <c r="I113" s="3">
        <f t="shared" si="7"/>
        <v>2413.1668</v>
      </c>
      <c r="J113" s="4">
        <v>45897</v>
      </c>
      <c r="K113" s="4">
        <v>45904</v>
      </c>
      <c r="L113" s="4">
        <v>45965</v>
      </c>
      <c r="M113" s="4">
        <v>45967</v>
      </c>
      <c r="N113" s="28">
        <v>100000000</v>
      </c>
      <c r="O113" s="8">
        <f t="shared" si="8"/>
        <v>1666666.6666666667</v>
      </c>
      <c r="P113" s="6" t="str">
        <f t="shared" ca="1" si="9"/>
        <v>已到期</v>
      </c>
    </row>
    <row r="114" spans="1:16" s="1" customFormat="1" ht="13.15">
      <c r="A114" s="26" t="s">
        <v>1</v>
      </c>
      <c r="B114" s="2" t="s">
        <v>17</v>
      </c>
      <c r="C114" s="2" t="s">
        <v>17</v>
      </c>
      <c r="D114" s="2" t="s">
        <v>25</v>
      </c>
      <c r="E114" s="8">
        <v>2</v>
      </c>
      <c r="F114" s="27">
        <v>0.1</v>
      </c>
      <c r="G114" s="5">
        <v>0.89359999999999995</v>
      </c>
      <c r="H114" s="3">
        <v>2700.5</v>
      </c>
      <c r="I114" s="3">
        <f t="shared" si="7"/>
        <v>2413.1668</v>
      </c>
      <c r="J114" s="4">
        <v>45897</v>
      </c>
      <c r="K114" s="4">
        <v>45904</v>
      </c>
      <c r="L114" s="4">
        <v>45965</v>
      </c>
      <c r="M114" s="4">
        <v>45967</v>
      </c>
      <c r="N114" s="28">
        <v>100000000</v>
      </c>
      <c r="O114" s="8">
        <f t="shared" si="8"/>
        <v>1666666.6666666667</v>
      </c>
      <c r="P114" s="6" t="str">
        <f t="shared" ca="1" si="9"/>
        <v>已到期</v>
      </c>
    </row>
    <row r="115" spans="1:16" s="1" customFormat="1" ht="13.15">
      <c r="A115" s="26" t="s">
        <v>2</v>
      </c>
      <c r="B115" s="2" t="s">
        <v>17</v>
      </c>
      <c r="C115" s="2" t="s">
        <v>17</v>
      </c>
      <c r="D115" s="2" t="s">
        <v>25</v>
      </c>
      <c r="E115" s="8">
        <v>2</v>
      </c>
      <c r="F115" s="27">
        <v>0.1</v>
      </c>
      <c r="G115" s="5">
        <v>0.91879999999999995</v>
      </c>
      <c r="H115" s="3">
        <v>2140.5</v>
      </c>
      <c r="I115" s="3">
        <f t="shared" si="7"/>
        <v>1966.6913999999999</v>
      </c>
      <c r="J115" s="4">
        <v>45898</v>
      </c>
      <c r="K115" s="4">
        <v>45905</v>
      </c>
      <c r="L115" s="4">
        <v>45966</v>
      </c>
      <c r="M115" s="4">
        <v>45968</v>
      </c>
      <c r="N115" s="28">
        <v>200000000</v>
      </c>
      <c r="O115" s="8">
        <f t="shared" si="8"/>
        <v>3333333.3333333335</v>
      </c>
      <c r="P115" s="6" t="str">
        <f t="shared" ca="1" si="9"/>
        <v>已到期</v>
      </c>
    </row>
    <row r="116" spans="1:16" s="1" customFormat="1" ht="13.15">
      <c r="A116" s="9" t="s">
        <v>1</v>
      </c>
      <c r="B116" s="2" t="s">
        <v>17</v>
      </c>
      <c r="C116" s="2" t="s">
        <v>17</v>
      </c>
      <c r="D116" s="2" t="s">
        <v>25</v>
      </c>
      <c r="E116" s="6">
        <v>2</v>
      </c>
      <c r="F116" s="29">
        <v>0.1</v>
      </c>
      <c r="G116" s="14">
        <v>0.91559999999999997</v>
      </c>
      <c r="H116" s="3">
        <v>1157.6786999999999</v>
      </c>
      <c r="I116" s="3">
        <f t="shared" si="7"/>
        <v>1059.9706177199998</v>
      </c>
      <c r="J116" s="2">
        <v>45898</v>
      </c>
      <c r="K116" s="2">
        <v>45905</v>
      </c>
      <c r="L116" s="2">
        <v>45966</v>
      </c>
      <c r="M116" s="2">
        <v>45968</v>
      </c>
      <c r="N116" s="7">
        <v>200000000</v>
      </c>
      <c r="O116" s="6">
        <f t="shared" si="8"/>
        <v>3333333.3333333335</v>
      </c>
      <c r="P116" s="6" t="str">
        <f t="shared" ca="1" si="9"/>
        <v>已到期</v>
      </c>
    </row>
    <row r="117" spans="1:16" s="1" customFormat="1" ht="13.15">
      <c r="A117" s="9" t="s">
        <v>0</v>
      </c>
      <c r="B117" s="2" t="s">
        <v>17</v>
      </c>
      <c r="C117" s="2" t="s">
        <v>17</v>
      </c>
      <c r="D117" s="2" t="s">
        <v>25</v>
      </c>
      <c r="E117" s="6">
        <v>2</v>
      </c>
      <c r="F117" s="29">
        <v>0.1</v>
      </c>
      <c r="G117" s="12">
        <v>0.87609999999999999</v>
      </c>
      <c r="H117" s="3">
        <v>2682.6487999999999</v>
      </c>
      <c r="I117" s="3">
        <f t="shared" si="7"/>
        <v>2350.2686136799998</v>
      </c>
      <c r="J117" s="32">
        <v>45898</v>
      </c>
      <c r="K117" s="32">
        <v>45905</v>
      </c>
      <c r="L117" s="32">
        <v>45966</v>
      </c>
      <c r="M117" s="32">
        <v>45968</v>
      </c>
      <c r="N117" s="6">
        <v>100000000</v>
      </c>
      <c r="O117" s="6">
        <f t="shared" si="8"/>
        <v>1666666.6666666667</v>
      </c>
      <c r="P117" s="6" t="str">
        <f t="shared" ca="1" si="9"/>
        <v>已到期</v>
      </c>
    </row>
    <row r="118" spans="1:16" s="1" customFormat="1" ht="13.15">
      <c r="A118" s="9" t="s">
        <v>2</v>
      </c>
      <c r="B118" s="2" t="s">
        <v>17</v>
      </c>
      <c r="C118" s="2" t="s">
        <v>17</v>
      </c>
      <c r="D118" s="2" t="s">
        <v>25</v>
      </c>
      <c r="E118" s="6">
        <v>3</v>
      </c>
      <c r="F118" s="29">
        <v>0.15</v>
      </c>
      <c r="G118" s="12">
        <v>0.93869999999999998</v>
      </c>
      <c r="H118" s="3">
        <f>15640/5</f>
        <v>3128</v>
      </c>
      <c r="I118" s="3">
        <f t="shared" si="7"/>
        <v>2936.2536</v>
      </c>
      <c r="J118" s="32">
        <v>45869</v>
      </c>
      <c r="K118" s="32">
        <v>45876</v>
      </c>
      <c r="L118" s="32">
        <v>45968</v>
      </c>
      <c r="M118" s="32">
        <v>45972</v>
      </c>
      <c r="N118" s="6">
        <v>100000000</v>
      </c>
      <c r="O118" s="6">
        <f t="shared" si="8"/>
        <v>3750000</v>
      </c>
      <c r="P118" s="6" t="str">
        <f t="shared" ca="1" si="9"/>
        <v>已到期</v>
      </c>
    </row>
    <row r="119" spans="1:16" s="1" customFormat="1" ht="13.15">
      <c r="A119" s="9" t="s">
        <v>1</v>
      </c>
      <c r="B119" s="2" t="s">
        <v>17</v>
      </c>
      <c r="C119" s="2" t="s">
        <v>17</v>
      </c>
      <c r="D119" s="2" t="s">
        <v>25</v>
      </c>
      <c r="E119" s="6">
        <v>3</v>
      </c>
      <c r="F119" s="29">
        <v>0.15</v>
      </c>
      <c r="G119" s="12">
        <v>0.93869999999999998</v>
      </c>
      <c r="H119" s="3">
        <f>15640/5</f>
        <v>3128</v>
      </c>
      <c r="I119" s="3">
        <f t="shared" si="7"/>
        <v>2936.2536</v>
      </c>
      <c r="J119" s="32">
        <v>45869</v>
      </c>
      <c r="K119" s="32">
        <v>45876</v>
      </c>
      <c r="L119" s="32">
        <v>45968</v>
      </c>
      <c r="M119" s="32">
        <v>45972</v>
      </c>
      <c r="N119" s="6">
        <v>100000000</v>
      </c>
      <c r="O119" s="6">
        <f t="shared" si="8"/>
        <v>3750000</v>
      </c>
      <c r="P119" s="6" t="str">
        <f t="shared" ca="1" si="9"/>
        <v>已到期</v>
      </c>
    </row>
    <row r="120" spans="1:16" s="1" customFormat="1" ht="13.15">
      <c r="A120" s="26" t="s">
        <v>2</v>
      </c>
      <c r="B120" s="2" t="s">
        <v>17</v>
      </c>
      <c r="C120" s="2" t="s">
        <v>17</v>
      </c>
      <c r="D120" s="2" t="s">
        <v>25</v>
      </c>
      <c r="E120" s="6">
        <v>2</v>
      </c>
      <c r="F120" s="29">
        <v>0.1</v>
      </c>
      <c r="G120" s="14">
        <v>0.88729999999999998</v>
      </c>
      <c r="H120" s="3">
        <v>4776.5613000000003</v>
      </c>
      <c r="I120" s="3">
        <f t="shared" si="7"/>
        <v>4238.2428414900005</v>
      </c>
      <c r="J120" s="2">
        <v>45901</v>
      </c>
      <c r="K120" s="2">
        <v>45908</v>
      </c>
      <c r="L120" s="2">
        <v>45971</v>
      </c>
      <c r="M120" s="2">
        <v>45973</v>
      </c>
      <c r="N120" s="7">
        <v>100000000</v>
      </c>
      <c r="O120" s="6">
        <f t="shared" si="8"/>
        <v>1666666.6666666667</v>
      </c>
      <c r="P120" s="6" t="str">
        <f t="shared" ca="1" si="9"/>
        <v>已到期</v>
      </c>
    </row>
    <row r="121" spans="1:16" s="1" customFormat="1" ht="13.15">
      <c r="A121" s="26" t="s">
        <v>1</v>
      </c>
      <c r="B121" s="2" t="s">
        <v>17</v>
      </c>
      <c r="C121" s="2" t="s">
        <v>17</v>
      </c>
      <c r="D121" s="2" t="s">
        <v>25</v>
      </c>
      <c r="E121" s="6">
        <v>2</v>
      </c>
      <c r="F121" s="29">
        <v>0.1</v>
      </c>
      <c r="G121" s="14">
        <v>0.88729999999999998</v>
      </c>
      <c r="H121" s="3">
        <v>4776.5613000000003</v>
      </c>
      <c r="I121" s="3">
        <f t="shared" si="7"/>
        <v>4238.2428414900005</v>
      </c>
      <c r="J121" s="2">
        <v>45901</v>
      </c>
      <c r="K121" s="2">
        <v>45908</v>
      </c>
      <c r="L121" s="2">
        <v>45971</v>
      </c>
      <c r="M121" s="2">
        <v>45973</v>
      </c>
      <c r="N121" s="7">
        <v>100000000</v>
      </c>
      <c r="O121" s="6">
        <f t="shared" si="8"/>
        <v>1666666.6666666667</v>
      </c>
      <c r="P121" s="6" t="str">
        <f t="shared" ca="1" si="9"/>
        <v>已到期</v>
      </c>
    </row>
    <row r="122" spans="1:16" s="13" customFormat="1" ht="15.4">
      <c r="A122" s="9" t="s">
        <v>2</v>
      </c>
      <c r="B122" s="2" t="s">
        <v>17</v>
      </c>
      <c r="C122" s="2" t="s">
        <v>17</v>
      </c>
      <c r="D122" s="2" t="s">
        <v>25</v>
      </c>
      <c r="E122" s="6">
        <v>3</v>
      </c>
      <c r="F122" s="29">
        <v>0.15</v>
      </c>
      <c r="G122" s="14">
        <v>0.91549999999999998</v>
      </c>
      <c r="H122" s="3">
        <v>4290</v>
      </c>
      <c r="I122" s="3">
        <f t="shared" si="7"/>
        <v>3927.4949999999999</v>
      </c>
      <c r="J122" s="2">
        <v>45873</v>
      </c>
      <c r="K122" s="2">
        <v>45881</v>
      </c>
      <c r="L122" s="2">
        <v>45973</v>
      </c>
      <c r="M122" s="2">
        <v>45975</v>
      </c>
      <c r="N122" s="7">
        <v>100000000</v>
      </c>
      <c r="O122" s="6">
        <f t="shared" si="8"/>
        <v>3750000</v>
      </c>
      <c r="P122" s="6" t="str">
        <f t="shared" ca="1" si="9"/>
        <v>已到期</v>
      </c>
    </row>
    <row r="123" spans="1:16" s="1" customFormat="1" ht="13.15">
      <c r="A123" s="9" t="s">
        <v>1</v>
      </c>
      <c r="B123" s="2" t="s">
        <v>17</v>
      </c>
      <c r="C123" s="2" t="s">
        <v>17</v>
      </c>
      <c r="D123" s="2" t="s">
        <v>25</v>
      </c>
      <c r="E123" s="6">
        <v>3</v>
      </c>
      <c r="F123" s="29">
        <v>0.15</v>
      </c>
      <c r="G123" s="14">
        <v>0.91549999999999998</v>
      </c>
      <c r="H123" s="3">
        <v>4290</v>
      </c>
      <c r="I123" s="3">
        <f t="shared" si="7"/>
        <v>3927.4949999999999</v>
      </c>
      <c r="J123" s="2">
        <v>45873</v>
      </c>
      <c r="K123" s="2">
        <v>45881</v>
      </c>
      <c r="L123" s="2">
        <v>45973</v>
      </c>
      <c r="M123" s="2">
        <v>45975</v>
      </c>
      <c r="N123" s="7">
        <v>100000000</v>
      </c>
      <c r="O123" s="6">
        <f t="shared" si="8"/>
        <v>3750000</v>
      </c>
      <c r="P123" s="6" t="str">
        <f t="shared" ca="1" si="9"/>
        <v>已到期</v>
      </c>
    </row>
    <row r="124" spans="1:16" s="1" customFormat="1" ht="13.15">
      <c r="A124" s="9" t="s">
        <v>18</v>
      </c>
      <c r="B124" s="2" t="s">
        <v>17</v>
      </c>
      <c r="C124" s="2" t="s">
        <v>17</v>
      </c>
      <c r="D124" s="10" t="s">
        <v>15</v>
      </c>
      <c r="E124" s="6">
        <v>3</v>
      </c>
      <c r="F124" s="29">
        <v>0.1</v>
      </c>
      <c r="G124" s="14">
        <v>0.89049999999999996</v>
      </c>
      <c r="H124" s="3">
        <v>2311.6275000000001</v>
      </c>
      <c r="I124" s="3">
        <f t="shared" ref="I124:I187" si="10">H124*G124</f>
        <v>2058.5042887499999</v>
      </c>
      <c r="J124" s="2">
        <v>45875</v>
      </c>
      <c r="K124" s="2">
        <v>45882</v>
      </c>
      <c r="L124" s="2">
        <v>45974</v>
      </c>
      <c r="M124" s="2">
        <v>45978</v>
      </c>
      <c r="N124" s="7">
        <v>200000000</v>
      </c>
      <c r="O124" s="6">
        <f t="shared" si="8"/>
        <v>5000000</v>
      </c>
      <c r="P124" s="6" t="str">
        <f t="shared" ca="1" si="9"/>
        <v>已到期</v>
      </c>
    </row>
    <row r="125" spans="1:16" s="1" customFormat="1" ht="13.15">
      <c r="A125" s="9" t="s">
        <v>2</v>
      </c>
      <c r="B125" s="2" t="s">
        <v>17</v>
      </c>
      <c r="C125" s="2" t="s">
        <v>17</v>
      </c>
      <c r="D125" s="2" t="s">
        <v>25</v>
      </c>
      <c r="E125" s="6">
        <v>3</v>
      </c>
      <c r="F125" s="29">
        <v>0.12</v>
      </c>
      <c r="G125" s="14">
        <v>0.88500000000000001</v>
      </c>
      <c r="H125" s="3">
        <v>5231</v>
      </c>
      <c r="I125" s="3">
        <f t="shared" si="10"/>
        <v>4629.4350000000004</v>
      </c>
      <c r="J125" s="2">
        <v>45883</v>
      </c>
      <c r="K125" s="2">
        <v>45890</v>
      </c>
      <c r="L125" s="2">
        <v>45982</v>
      </c>
      <c r="M125" s="2">
        <v>45986</v>
      </c>
      <c r="N125" s="7">
        <v>100000000</v>
      </c>
      <c r="O125" s="6">
        <f t="shared" si="8"/>
        <v>3000000</v>
      </c>
      <c r="P125" s="6" t="str">
        <f t="shared" ca="1" si="9"/>
        <v>已到期</v>
      </c>
    </row>
    <row r="126" spans="1:16" s="1" customFormat="1" ht="13.15">
      <c r="A126" s="9" t="s">
        <v>1</v>
      </c>
      <c r="B126" s="2" t="s">
        <v>17</v>
      </c>
      <c r="C126" s="2" t="s">
        <v>17</v>
      </c>
      <c r="D126" s="2" t="s">
        <v>25</v>
      </c>
      <c r="E126" s="6">
        <v>3</v>
      </c>
      <c r="F126" s="29">
        <v>0.12</v>
      </c>
      <c r="G126" s="14">
        <v>0.88500000000000001</v>
      </c>
      <c r="H126" s="3">
        <v>5231</v>
      </c>
      <c r="I126" s="3">
        <f t="shared" si="10"/>
        <v>4629.4350000000004</v>
      </c>
      <c r="J126" s="2">
        <v>45883</v>
      </c>
      <c r="K126" s="2">
        <v>45890</v>
      </c>
      <c r="L126" s="2">
        <v>45982</v>
      </c>
      <c r="M126" s="2">
        <v>45986</v>
      </c>
      <c r="N126" s="7">
        <v>100000000</v>
      </c>
      <c r="O126" s="6">
        <f t="shared" si="8"/>
        <v>3000000</v>
      </c>
      <c r="P126" s="6" t="str">
        <f t="shared" ca="1" si="9"/>
        <v>已到期</v>
      </c>
    </row>
    <row r="127" spans="1:16" s="1" customFormat="1" ht="13.15">
      <c r="A127" s="9" t="s">
        <v>2</v>
      </c>
      <c r="B127" s="2" t="s">
        <v>17</v>
      </c>
      <c r="C127" s="2" t="s">
        <v>17</v>
      </c>
      <c r="D127" s="2" t="s">
        <v>25</v>
      </c>
      <c r="E127" s="6">
        <v>3</v>
      </c>
      <c r="F127" s="29">
        <v>0.1</v>
      </c>
      <c r="G127" s="14">
        <v>0.9103</v>
      </c>
      <c r="H127" s="3">
        <v>4167</v>
      </c>
      <c r="I127" s="3">
        <f t="shared" si="10"/>
        <v>3793.2201</v>
      </c>
      <c r="J127" s="2">
        <v>45887</v>
      </c>
      <c r="K127" s="2">
        <f>J127+7</f>
        <v>45894</v>
      </c>
      <c r="L127" s="2">
        <v>45986</v>
      </c>
      <c r="M127" s="2">
        <v>45988</v>
      </c>
      <c r="N127" s="28">
        <v>100000000</v>
      </c>
      <c r="O127" s="30">
        <f t="shared" si="8"/>
        <v>2500000</v>
      </c>
      <c r="P127" s="6" t="str">
        <f t="shared" ca="1" si="9"/>
        <v>已到期</v>
      </c>
    </row>
    <row r="128" spans="1:16" s="1" customFormat="1" ht="13.15">
      <c r="A128" s="9" t="s">
        <v>1</v>
      </c>
      <c r="B128" s="2" t="s">
        <v>17</v>
      </c>
      <c r="C128" s="2" t="s">
        <v>17</v>
      </c>
      <c r="D128" s="2" t="s">
        <v>25</v>
      </c>
      <c r="E128" s="6">
        <v>3</v>
      </c>
      <c r="F128" s="29">
        <v>0.1</v>
      </c>
      <c r="G128" s="14">
        <v>0.9103</v>
      </c>
      <c r="H128" s="3">
        <v>4167</v>
      </c>
      <c r="I128" s="3">
        <f t="shared" si="10"/>
        <v>3793.2201</v>
      </c>
      <c r="J128" s="2">
        <v>45887</v>
      </c>
      <c r="K128" s="2">
        <f>J128+7</f>
        <v>45894</v>
      </c>
      <c r="L128" s="2">
        <v>45986</v>
      </c>
      <c r="M128" s="2">
        <v>45988</v>
      </c>
      <c r="N128" s="28">
        <v>100000000</v>
      </c>
      <c r="O128" s="30">
        <f t="shared" si="8"/>
        <v>2500000</v>
      </c>
      <c r="P128" s="6" t="str">
        <f t="shared" ca="1" si="9"/>
        <v>已到期</v>
      </c>
    </row>
    <row r="129" spans="1:16" s="1" customFormat="1" ht="13.15">
      <c r="A129" s="9" t="s">
        <v>2</v>
      </c>
      <c r="B129" s="2" t="s">
        <v>17</v>
      </c>
      <c r="C129" s="2" t="s">
        <v>17</v>
      </c>
      <c r="D129" s="2" t="s">
        <v>25</v>
      </c>
      <c r="E129" s="6">
        <v>3</v>
      </c>
      <c r="F129" s="29">
        <v>0.1</v>
      </c>
      <c r="G129" s="14">
        <v>0.90029999999999999</v>
      </c>
      <c r="H129" s="3">
        <v>4850</v>
      </c>
      <c r="I129" s="3">
        <f t="shared" si="10"/>
        <v>4366.4549999999999</v>
      </c>
      <c r="J129" s="2">
        <v>45887</v>
      </c>
      <c r="K129" s="2">
        <f>J129+7</f>
        <v>45894</v>
      </c>
      <c r="L129" s="2">
        <v>45986</v>
      </c>
      <c r="M129" s="2">
        <v>45988</v>
      </c>
      <c r="N129" s="7">
        <v>100000000</v>
      </c>
      <c r="O129" s="30">
        <f t="shared" si="8"/>
        <v>2500000</v>
      </c>
      <c r="P129" s="6" t="str">
        <f t="shared" ca="1" si="9"/>
        <v>已到期</v>
      </c>
    </row>
    <row r="130" spans="1:16" s="1" customFormat="1" ht="13.15">
      <c r="A130" s="9" t="s">
        <v>1</v>
      </c>
      <c r="B130" s="2" t="s">
        <v>17</v>
      </c>
      <c r="C130" s="2" t="s">
        <v>17</v>
      </c>
      <c r="D130" s="2" t="s">
        <v>25</v>
      </c>
      <c r="E130" s="6">
        <v>3</v>
      </c>
      <c r="F130" s="29">
        <v>0.1</v>
      </c>
      <c r="G130" s="14">
        <v>0.90029999999999999</v>
      </c>
      <c r="H130" s="3">
        <v>4850</v>
      </c>
      <c r="I130" s="3">
        <f t="shared" si="10"/>
        <v>4366.4549999999999</v>
      </c>
      <c r="J130" s="2">
        <v>45887</v>
      </c>
      <c r="K130" s="2">
        <f>J130+7</f>
        <v>45894</v>
      </c>
      <c r="L130" s="2">
        <v>45986</v>
      </c>
      <c r="M130" s="2">
        <v>45988</v>
      </c>
      <c r="N130" s="7">
        <v>100000000</v>
      </c>
      <c r="O130" s="30">
        <f t="shared" ref="O130:O193" si="11">N130*F130*E130/12</f>
        <v>2500000</v>
      </c>
      <c r="P130" s="6" t="str">
        <f t="shared" ref="P130:P193" ca="1" si="12">IF(TODAY()&gt;=L130, "已到期", "未到期")</f>
        <v>已到期</v>
      </c>
    </row>
    <row r="131" spans="1:16" s="1" customFormat="1" ht="13.15">
      <c r="A131" s="9" t="s">
        <v>2</v>
      </c>
      <c r="B131" s="2" t="s">
        <v>17</v>
      </c>
      <c r="C131" s="2" t="s">
        <v>17</v>
      </c>
      <c r="D131" s="2" t="s">
        <v>25</v>
      </c>
      <c r="E131" s="6">
        <v>3</v>
      </c>
      <c r="F131" s="29">
        <v>0.12</v>
      </c>
      <c r="G131" s="14">
        <v>0.88029999999999997</v>
      </c>
      <c r="H131" s="3">
        <v>2512.6302999999998</v>
      </c>
      <c r="I131" s="3">
        <f t="shared" si="10"/>
        <v>2211.8684530899995</v>
      </c>
      <c r="J131" s="2">
        <v>45888</v>
      </c>
      <c r="K131" s="2">
        <v>45895</v>
      </c>
      <c r="L131" s="2">
        <v>45987</v>
      </c>
      <c r="M131" s="2">
        <v>45989</v>
      </c>
      <c r="N131" s="7">
        <v>100000000</v>
      </c>
      <c r="O131" s="6">
        <f t="shared" si="11"/>
        <v>3000000</v>
      </c>
      <c r="P131" s="6" t="str">
        <f t="shared" ca="1" si="12"/>
        <v>已到期</v>
      </c>
    </row>
    <row r="132" spans="1:16" s="1" customFormat="1" ht="13.15">
      <c r="A132" s="9" t="s">
        <v>1</v>
      </c>
      <c r="B132" s="2" t="s">
        <v>17</v>
      </c>
      <c r="C132" s="2" t="s">
        <v>17</v>
      </c>
      <c r="D132" s="2" t="s">
        <v>25</v>
      </c>
      <c r="E132" s="6">
        <v>3</v>
      </c>
      <c r="F132" s="29">
        <v>0.12</v>
      </c>
      <c r="G132" s="14">
        <v>0.88029999999999997</v>
      </c>
      <c r="H132" s="3">
        <v>2512.6302999999998</v>
      </c>
      <c r="I132" s="3">
        <f t="shared" si="10"/>
        <v>2211.8684530899995</v>
      </c>
      <c r="J132" s="2">
        <v>45888</v>
      </c>
      <c r="K132" s="2">
        <v>45895</v>
      </c>
      <c r="L132" s="2">
        <v>45987</v>
      </c>
      <c r="M132" s="2">
        <v>45989</v>
      </c>
      <c r="N132" s="7">
        <v>100000000</v>
      </c>
      <c r="O132" s="6">
        <f t="shared" si="11"/>
        <v>3000000</v>
      </c>
      <c r="P132" s="6" t="str">
        <f t="shared" ca="1" si="12"/>
        <v>已到期</v>
      </c>
    </row>
    <row r="133" spans="1:16" s="1" customFormat="1" ht="13.15">
      <c r="A133" s="9" t="s">
        <v>2</v>
      </c>
      <c r="B133" s="2" t="s">
        <v>17</v>
      </c>
      <c r="C133" s="2" t="s">
        <v>17</v>
      </c>
      <c r="D133" s="2" t="s">
        <v>25</v>
      </c>
      <c r="E133" s="6">
        <v>1</v>
      </c>
      <c r="F133" s="29">
        <v>0.08</v>
      </c>
      <c r="G133" s="14">
        <v>0.88390000000000002</v>
      </c>
      <c r="H133" s="3">
        <v>5227</v>
      </c>
      <c r="I133" s="3">
        <f t="shared" si="10"/>
        <v>4620.1453000000001</v>
      </c>
      <c r="J133" s="2">
        <v>45961</v>
      </c>
      <c r="K133" s="2">
        <v>45968</v>
      </c>
      <c r="L133" s="2">
        <v>45999</v>
      </c>
      <c r="M133" s="2">
        <v>46001</v>
      </c>
      <c r="N133" s="7">
        <v>100000000</v>
      </c>
      <c r="O133" s="6">
        <f t="shared" si="11"/>
        <v>666666.66666666663</v>
      </c>
      <c r="P133" s="6" t="str">
        <f t="shared" ca="1" si="12"/>
        <v>已到期</v>
      </c>
    </row>
    <row r="134" spans="1:16" s="1" customFormat="1" ht="13.15">
      <c r="A134" s="9" t="s">
        <v>1</v>
      </c>
      <c r="B134" s="2" t="s">
        <v>17</v>
      </c>
      <c r="C134" s="2" t="s">
        <v>17</v>
      </c>
      <c r="D134" s="2" t="s">
        <v>25</v>
      </c>
      <c r="E134" s="6">
        <v>1</v>
      </c>
      <c r="F134" s="29">
        <v>0.08</v>
      </c>
      <c r="G134" s="14">
        <v>0.88390000000000002</v>
      </c>
      <c r="H134" s="3">
        <v>5227</v>
      </c>
      <c r="I134" s="3">
        <f t="shared" si="10"/>
        <v>4620.1453000000001</v>
      </c>
      <c r="J134" s="2">
        <v>45961</v>
      </c>
      <c r="K134" s="2">
        <v>45968</v>
      </c>
      <c r="L134" s="2">
        <v>45999</v>
      </c>
      <c r="M134" s="2">
        <v>46001</v>
      </c>
      <c r="N134" s="7">
        <v>100000000</v>
      </c>
      <c r="O134" s="6">
        <f t="shared" si="11"/>
        <v>666666.66666666663</v>
      </c>
      <c r="P134" s="6" t="str">
        <f t="shared" ca="1" si="12"/>
        <v>已到期</v>
      </c>
    </row>
    <row r="135" spans="1:16" s="1" customFormat="1" ht="13.15">
      <c r="A135" s="9" t="s">
        <v>2</v>
      </c>
      <c r="B135" s="2" t="s">
        <v>17</v>
      </c>
      <c r="C135" s="2" t="s">
        <v>17</v>
      </c>
      <c r="D135" s="2" t="s">
        <v>25</v>
      </c>
      <c r="E135" s="6">
        <v>3</v>
      </c>
      <c r="F135" s="29">
        <v>0.1</v>
      </c>
      <c r="G135" s="14">
        <v>0.89410000000000001</v>
      </c>
      <c r="H135" s="3">
        <v>2214.5</v>
      </c>
      <c r="I135" s="3">
        <f t="shared" si="10"/>
        <v>1979.9844499999999</v>
      </c>
      <c r="J135" s="2">
        <v>45903</v>
      </c>
      <c r="K135" s="2">
        <v>45910</v>
      </c>
      <c r="L135" s="2">
        <v>46001</v>
      </c>
      <c r="M135" s="2">
        <v>46003</v>
      </c>
      <c r="N135" s="7">
        <v>100000000</v>
      </c>
      <c r="O135" s="6">
        <f t="shared" si="11"/>
        <v>2500000</v>
      </c>
      <c r="P135" s="6" t="str">
        <f t="shared" ca="1" si="12"/>
        <v>已到期</v>
      </c>
    </row>
    <row r="136" spans="1:16" s="1" customFormat="1" ht="13.15">
      <c r="A136" s="9" t="s">
        <v>1</v>
      </c>
      <c r="B136" s="2" t="s">
        <v>17</v>
      </c>
      <c r="C136" s="2" t="s">
        <v>17</v>
      </c>
      <c r="D136" s="2" t="s">
        <v>25</v>
      </c>
      <c r="E136" s="6">
        <v>3</v>
      </c>
      <c r="F136" s="29">
        <v>0.1</v>
      </c>
      <c r="G136" s="14">
        <v>0.89229999999999998</v>
      </c>
      <c r="H136" s="3">
        <v>5444</v>
      </c>
      <c r="I136" s="3">
        <f t="shared" si="10"/>
        <v>4857.6812</v>
      </c>
      <c r="J136" s="2">
        <v>45903</v>
      </c>
      <c r="K136" s="2">
        <v>45910</v>
      </c>
      <c r="L136" s="2">
        <v>46001</v>
      </c>
      <c r="M136" s="2">
        <v>46003</v>
      </c>
      <c r="N136" s="28">
        <v>100000000</v>
      </c>
      <c r="O136" s="6">
        <f t="shared" si="11"/>
        <v>2500000</v>
      </c>
      <c r="P136" s="6" t="str">
        <f t="shared" ca="1" si="12"/>
        <v>已到期</v>
      </c>
    </row>
    <row r="137" spans="1:16" s="1" customFormat="1" ht="13.15">
      <c r="A137" s="9" t="s">
        <v>0</v>
      </c>
      <c r="B137" s="2" t="s">
        <v>17</v>
      </c>
      <c r="C137" s="2" t="s">
        <v>17</v>
      </c>
      <c r="D137" s="2" t="s">
        <v>25</v>
      </c>
      <c r="E137" s="6">
        <v>3</v>
      </c>
      <c r="F137" s="29">
        <v>0.1</v>
      </c>
      <c r="G137" s="14">
        <v>0.91459999999999997</v>
      </c>
      <c r="H137" s="3">
        <v>2220.81</v>
      </c>
      <c r="I137" s="3">
        <f t="shared" si="10"/>
        <v>2031.1528259999998</v>
      </c>
      <c r="J137" s="2">
        <v>45903</v>
      </c>
      <c r="K137" s="2">
        <v>45910</v>
      </c>
      <c r="L137" s="2">
        <v>46001</v>
      </c>
      <c r="M137" s="2">
        <v>46003</v>
      </c>
      <c r="N137" s="28">
        <v>100000000</v>
      </c>
      <c r="O137" s="6">
        <f t="shared" si="11"/>
        <v>2500000</v>
      </c>
      <c r="P137" s="6" t="str">
        <f t="shared" ca="1" si="12"/>
        <v>已到期</v>
      </c>
    </row>
    <row r="138" spans="1:16" s="1" customFormat="1" ht="13.15">
      <c r="A138" s="9" t="s">
        <v>18</v>
      </c>
      <c r="B138" s="2" t="s">
        <v>17</v>
      </c>
      <c r="C138" s="2" t="s">
        <v>17</v>
      </c>
      <c r="D138" s="10" t="s">
        <v>22</v>
      </c>
      <c r="E138" s="6">
        <v>3</v>
      </c>
      <c r="F138" s="29">
        <v>0.15</v>
      </c>
      <c r="G138" s="14">
        <v>0.85509999999999997</v>
      </c>
      <c r="H138" s="3">
        <v>3035.31</v>
      </c>
      <c r="I138" s="3">
        <f t="shared" si="10"/>
        <v>2595.4935809999997</v>
      </c>
      <c r="J138" s="2">
        <v>45903</v>
      </c>
      <c r="K138" s="2">
        <v>45910</v>
      </c>
      <c r="L138" s="2">
        <v>46001</v>
      </c>
      <c r="M138" s="2">
        <v>46003</v>
      </c>
      <c r="N138" s="28">
        <v>200000000</v>
      </c>
      <c r="O138" s="6">
        <f t="shared" si="11"/>
        <v>7500000</v>
      </c>
      <c r="P138" s="6" t="str">
        <f t="shared" ca="1" si="12"/>
        <v>已到期</v>
      </c>
    </row>
    <row r="139" spans="1:16" s="1" customFormat="1" ht="13.15">
      <c r="A139" s="9" t="s">
        <v>18</v>
      </c>
      <c r="B139" s="2" t="s">
        <v>17</v>
      </c>
      <c r="C139" s="2" t="s">
        <v>17</v>
      </c>
      <c r="D139" s="10" t="s">
        <v>22</v>
      </c>
      <c r="E139" s="6">
        <v>3</v>
      </c>
      <c r="F139" s="29">
        <v>0.15</v>
      </c>
      <c r="G139" s="14">
        <v>0.85509999999999997</v>
      </c>
      <c r="H139" s="3">
        <v>3034</v>
      </c>
      <c r="I139" s="3">
        <f t="shared" si="10"/>
        <v>2594.3733999999999</v>
      </c>
      <c r="J139" s="2">
        <v>45903</v>
      </c>
      <c r="K139" s="2">
        <v>45910</v>
      </c>
      <c r="L139" s="2">
        <v>46001</v>
      </c>
      <c r="M139" s="2">
        <v>46003</v>
      </c>
      <c r="N139" s="7">
        <v>200000000</v>
      </c>
      <c r="O139" s="6">
        <f t="shared" si="11"/>
        <v>7500000</v>
      </c>
      <c r="P139" s="6" t="str">
        <f t="shared" ca="1" si="12"/>
        <v>已到期</v>
      </c>
    </row>
    <row r="140" spans="1:16" s="1" customFormat="1" ht="13.15">
      <c r="A140" s="9" t="s">
        <v>2</v>
      </c>
      <c r="B140" s="2" t="s">
        <v>17</v>
      </c>
      <c r="C140" s="2" t="s">
        <v>17</v>
      </c>
      <c r="D140" s="2" t="s">
        <v>25</v>
      </c>
      <c r="E140" s="6">
        <v>1</v>
      </c>
      <c r="F140" s="29">
        <v>0.1</v>
      </c>
      <c r="G140" s="14">
        <v>0.86009999999999998</v>
      </c>
      <c r="H140" s="3">
        <v>5077</v>
      </c>
      <c r="I140" s="3">
        <f t="shared" si="10"/>
        <v>4366.7276999999995</v>
      </c>
      <c r="J140" s="2">
        <v>45965</v>
      </c>
      <c r="K140" s="2">
        <v>45972</v>
      </c>
      <c r="L140" s="2">
        <v>46002</v>
      </c>
      <c r="M140" s="2">
        <v>46006</v>
      </c>
      <c r="N140" s="7">
        <v>100000000</v>
      </c>
      <c r="O140" s="6">
        <f t="shared" si="11"/>
        <v>833333.33333333337</v>
      </c>
      <c r="P140" s="6" t="str">
        <f t="shared" ca="1" si="12"/>
        <v>已到期</v>
      </c>
    </row>
    <row r="141" spans="1:16" s="1" customFormat="1" ht="13.15">
      <c r="A141" s="9" t="s">
        <v>1</v>
      </c>
      <c r="B141" s="2" t="s">
        <v>17</v>
      </c>
      <c r="C141" s="2" t="s">
        <v>17</v>
      </c>
      <c r="D141" s="2" t="s">
        <v>25</v>
      </c>
      <c r="E141" s="6">
        <v>1</v>
      </c>
      <c r="F141" s="29">
        <v>0.1</v>
      </c>
      <c r="G141" s="14">
        <v>0.86770000000000003</v>
      </c>
      <c r="H141" s="3">
        <v>5153</v>
      </c>
      <c r="I141" s="3">
        <f t="shared" si="10"/>
        <v>4471.2581</v>
      </c>
      <c r="J141" s="2">
        <v>45965</v>
      </c>
      <c r="K141" s="2">
        <v>45972</v>
      </c>
      <c r="L141" s="2">
        <v>46002</v>
      </c>
      <c r="M141" s="2">
        <v>46006</v>
      </c>
      <c r="N141" s="7">
        <v>100000000</v>
      </c>
      <c r="O141" s="6">
        <f t="shared" si="11"/>
        <v>833333.33333333337</v>
      </c>
      <c r="P141" s="6" t="str">
        <f t="shared" ca="1" si="12"/>
        <v>已到期</v>
      </c>
    </row>
    <row r="142" spans="1:16" s="1" customFormat="1" ht="13.15">
      <c r="A142" s="9" t="s">
        <v>1</v>
      </c>
      <c r="B142" s="2" t="s">
        <v>17</v>
      </c>
      <c r="C142" s="2" t="s">
        <v>17</v>
      </c>
      <c r="D142" s="2" t="s">
        <v>25</v>
      </c>
      <c r="E142" s="6">
        <v>1</v>
      </c>
      <c r="F142" s="29">
        <v>0.1</v>
      </c>
      <c r="G142" s="14">
        <v>0.86939999999999995</v>
      </c>
      <c r="H142" s="3">
        <v>5091</v>
      </c>
      <c r="I142" s="3">
        <f t="shared" si="10"/>
        <v>4426.1153999999997</v>
      </c>
      <c r="J142" s="2">
        <v>45965</v>
      </c>
      <c r="K142" s="2">
        <v>45972</v>
      </c>
      <c r="L142" s="2">
        <v>46002</v>
      </c>
      <c r="M142" s="2">
        <v>46006</v>
      </c>
      <c r="N142" s="7">
        <v>100000000</v>
      </c>
      <c r="O142" s="6">
        <f t="shared" si="11"/>
        <v>833333.33333333337</v>
      </c>
      <c r="P142" s="6" t="str">
        <f t="shared" ca="1" si="12"/>
        <v>已到期</v>
      </c>
    </row>
    <row r="143" spans="1:16" s="1" customFormat="1" ht="13.15">
      <c r="A143" s="9" t="s">
        <v>0</v>
      </c>
      <c r="B143" s="2" t="s">
        <v>17</v>
      </c>
      <c r="C143" s="2" t="s">
        <v>17</v>
      </c>
      <c r="D143" s="2" t="s">
        <v>25</v>
      </c>
      <c r="E143" s="6">
        <v>1</v>
      </c>
      <c r="F143" s="29">
        <v>0.1</v>
      </c>
      <c r="G143" s="14">
        <v>0.86009999999999998</v>
      </c>
      <c r="H143" s="3">
        <v>5080</v>
      </c>
      <c r="I143" s="3">
        <f t="shared" si="10"/>
        <v>4369.308</v>
      </c>
      <c r="J143" s="2">
        <v>45965</v>
      </c>
      <c r="K143" s="2">
        <v>45972</v>
      </c>
      <c r="L143" s="2">
        <v>46002</v>
      </c>
      <c r="M143" s="2">
        <v>46006</v>
      </c>
      <c r="N143" s="7">
        <v>100000000</v>
      </c>
      <c r="O143" s="6">
        <f t="shared" si="11"/>
        <v>833333.33333333337</v>
      </c>
      <c r="P143" s="6" t="str">
        <f t="shared" ca="1" si="12"/>
        <v>已到期</v>
      </c>
    </row>
    <row r="144" spans="1:16" s="1" customFormat="1" ht="13.15">
      <c r="A144" s="9" t="s">
        <v>0</v>
      </c>
      <c r="B144" s="2" t="s">
        <v>17</v>
      </c>
      <c r="C144" s="2" t="s">
        <v>17</v>
      </c>
      <c r="D144" s="2" t="s">
        <v>25</v>
      </c>
      <c r="E144" s="6">
        <v>1</v>
      </c>
      <c r="F144" s="29">
        <v>0.1</v>
      </c>
      <c r="G144" s="14">
        <v>0.86770000000000003</v>
      </c>
      <c r="H144" s="3">
        <v>5147</v>
      </c>
      <c r="I144" s="3">
        <f t="shared" si="10"/>
        <v>4466.0519000000004</v>
      </c>
      <c r="J144" s="2">
        <v>45965</v>
      </c>
      <c r="K144" s="2">
        <v>45972</v>
      </c>
      <c r="L144" s="2">
        <v>46002</v>
      </c>
      <c r="M144" s="2">
        <v>46006</v>
      </c>
      <c r="N144" s="7">
        <v>100000000</v>
      </c>
      <c r="O144" s="6">
        <f t="shared" si="11"/>
        <v>833333.33333333337</v>
      </c>
      <c r="P144" s="6" t="str">
        <f t="shared" ca="1" si="12"/>
        <v>已到期</v>
      </c>
    </row>
    <row r="145" spans="1:16" s="1" customFormat="1" ht="13.15">
      <c r="A145" s="9" t="s">
        <v>18</v>
      </c>
      <c r="B145" s="2" t="s">
        <v>17</v>
      </c>
      <c r="C145" s="2" t="s">
        <v>17</v>
      </c>
      <c r="D145" s="10" t="s">
        <v>22</v>
      </c>
      <c r="E145" s="6">
        <v>3</v>
      </c>
      <c r="F145" s="29">
        <v>0.15</v>
      </c>
      <c r="G145" s="14">
        <v>0.85509999999999997</v>
      </c>
      <c r="H145" s="3">
        <v>3000</v>
      </c>
      <c r="I145" s="3">
        <f t="shared" si="10"/>
        <v>2565.2999999999997</v>
      </c>
      <c r="J145" s="2">
        <v>45904</v>
      </c>
      <c r="K145" s="2">
        <v>45911</v>
      </c>
      <c r="L145" s="2">
        <v>46002</v>
      </c>
      <c r="M145" s="2">
        <v>46006</v>
      </c>
      <c r="N145" s="7">
        <v>200000000</v>
      </c>
      <c r="O145" s="6">
        <f t="shared" si="11"/>
        <v>7500000</v>
      </c>
      <c r="P145" s="6" t="str">
        <f t="shared" ca="1" si="12"/>
        <v>已到期</v>
      </c>
    </row>
    <row r="146" spans="1:16" s="1" customFormat="1" ht="13.15">
      <c r="A146" s="9" t="s">
        <v>18</v>
      </c>
      <c r="B146" s="2" t="s">
        <v>17</v>
      </c>
      <c r="C146" s="2" t="s">
        <v>17</v>
      </c>
      <c r="D146" s="10" t="s">
        <v>22</v>
      </c>
      <c r="E146" s="6">
        <v>3</v>
      </c>
      <c r="F146" s="29">
        <v>0.15</v>
      </c>
      <c r="G146" s="14">
        <v>0.8679</v>
      </c>
      <c r="H146" s="3">
        <v>3048.71</v>
      </c>
      <c r="I146" s="3">
        <f t="shared" si="10"/>
        <v>2645.9754090000001</v>
      </c>
      <c r="J146" s="2">
        <v>45905</v>
      </c>
      <c r="K146" s="2">
        <v>45911</v>
      </c>
      <c r="L146" s="2">
        <v>46003</v>
      </c>
      <c r="M146" s="2">
        <v>46007</v>
      </c>
      <c r="N146" s="7">
        <v>200000000</v>
      </c>
      <c r="O146" s="6">
        <f t="shared" si="11"/>
        <v>7500000</v>
      </c>
      <c r="P146" s="6" t="str">
        <f t="shared" ca="1" si="12"/>
        <v>已到期</v>
      </c>
    </row>
    <row r="147" spans="1:16" s="1" customFormat="1" ht="13.15">
      <c r="A147" s="9" t="s">
        <v>2</v>
      </c>
      <c r="B147" s="2" t="s">
        <v>17</v>
      </c>
      <c r="C147" s="2" t="s">
        <v>17</v>
      </c>
      <c r="D147" s="2" t="s">
        <v>25</v>
      </c>
      <c r="E147" s="6">
        <v>1</v>
      </c>
      <c r="F147" s="29">
        <v>0.12</v>
      </c>
      <c r="G147" s="14">
        <v>0.86109999999999998</v>
      </c>
      <c r="H147" s="3">
        <v>3085</v>
      </c>
      <c r="I147" s="3">
        <f t="shared" si="10"/>
        <v>2656.4935</v>
      </c>
      <c r="J147" s="2">
        <v>45968</v>
      </c>
      <c r="K147" s="2">
        <v>45975</v>
      </c>
      <c r="L147" s="2">
        <v>46006</v>
      </c>
      <c r="M147" s="2">
        <v>46008</v>
      </c>
      <c r="N147" s="7">
        <v>100000000</v>
      </c>
      <c r="O147" s="6">
        <f t="shared" si="11"/>
        <v>1000000</v>
      </c>
      <c r="P147" s="6" t="str">
        <f t="shared" ca="1" si="12"/>
        <v>已到期</v>
      </c>
    </row>
    <row r="148" spans="1:16" s="1" customFormat="1" ht="13.15">
      <c r="A148" s="9" t="s">
        <v>0</v>
      </c>
      <c r="B148" s="2" t="s">
        <v>17</v>
      </c>
      <c r="C148" s="2" t="s">
        <v>17</v>
      </c>
      <c r="D148" s="2" t="s">
        <v>25</v>
      </c>
      <c r="E148" s="6">
        <v>2</v>
      </c>
      <c r="F148" s="29">
        <v>0.1</v>
      </c>
      <c r="G148" s="14">
        <v>0.88190000000000002</v>
      </c>
      <c r="H148" s="3">
        <v>2745.54</v>
      </c>
      <c r="I148" s="3">
        <f t="shared" si="10"/>
        <v>2421.2917259999999</v>
      </c>
      <c r="J148" s="2">
        <v>45938</v>
      </c>
      <c r="K148" s="2">
        <v>45945</v>
      </c>
      <c r="L148" s="2">
        <v>46006</v>
      </c>
      <c r="M148" s="2">
        <v>46008</v>
      </c>
      <c r="N148" s="7">
        <v>100000000</v>
      </c>
      <c r="O148" s="6">
        <f t="shared" si="11"/>
        <v>1666666.6666666667</v>
      </c>
      <c r="P148" s="6" t="str">
        <f t="shared" ca="1" si="12"/>
        <v>已到期</v>
      </c>
    </row>
    <row r="149" spans="1:16" s="1" customFormat="1" ht="13.15">
      <c r="A149" s="9" t="s">
        <v>18</v>
      </c>
      <c r="B149" s="2" t="s">
        <v>17</v>
      </c>
      <c r="C149" s="2" t="s">
        <v>17</v>
      </c>
      <c r="D149" s="10" t="s">
        <v>22</v>
      </c>
      <c r="E149" s="6">
        <v>3</v>
      </c>
      <c r="F149" s="29">
        <v>0.15</v>
      </c>
      <c r="G149" s="14">
        <v>0.8669</v>
      </c>
      <c r="H149" s="3">
        <v>3084</v>
      </c>
      <c r="I149" s="3">
        <f t="shared" si="10"/>
        <v>2673.5196000000001</v>
      </c>
      <c r="J149" s="2">
        <v>45908</v>
      </c>
      <c r="K149" s="2">
        <v>45915</v>
      </c>
      <c r="L149" s="2">
        <v>46006</v>
      </c>
      <c r="M149" s="2">
        <v>46008</v>
      </c>
      <c r="N149" s="7">
        <v>200000000</v>
      </c>
      <c r="O149" s="6">
        <f t="shared" si="11"/>
        <v>7500000</v>
      </c>
      <c r="P149" s="6" t="str">
        <f t="shared" ca="1" si="12"/>
        <v>已到期</v>
      </c>
    </row>
    <row r="150" spans="1:16" s="1" customFormat="1" ht="13.15">
      <c r="A150" s="9" t="s">
        <v>2</v>
      </c>
      <c r="B150" s="2" t="s">
        <v>17</v>
      </c>
      <c r="C150" s="2" t="s">
        <v>17</v>
      </c>
      <c r="D150" s="2" t="s">
        <v>25</v>
      </c>
      <c r="E150" s="6">
        <v>3</v>
      </c>
      <c r="F150" s="29">
        <v>0.1</v>
      </c>
      <c r="G150" s="14">
        <v>0.87460000000000004</v>
      </c>
      <c r="H150" s="3">
        <v>2688.4569000000001</v>
      </c>
      <c r="I150" s="3">
        <f t="shared" si="10"/>
        <v>2351.3244047400003</v>
      </c>
      <c r="J150" s="2">
        <v>45909</v>
      </c>
      <c r="K150" s="2">
        <v>45916</v>
      </c>
      <c r="L150" s="2">
        <v>46007</v>
      </c>
      <c r="M150" s="2">
        <v>46009</v>
      </c>
      <c r="N150" s="7">
        <v>100000000</v>
      </c>
      <c r="O150" s="6">
        <f t="shared" si="11"/>
        <v>2500000</v>
      </c>
      <c r="P150" s="6" t="str">
        <f t="shared" ca="1" si="12"/>
        <v>已到期</v>
      </c>
    </row>
    <row r="151" spans="1:16" s="13" customFormat="1" ht="15.4">
      <c r="A151" s="9" t="s">
        <v>1</v>
      </c>
      <c r="B151" s="2" t="s">
        <v>17</v>
      </c>
      <c r="C151" s="2" t="s">
        <v>17</v>
      </c>
      <c r="D151" s="2" t="s">
        <v>25</v>
      </c>
      <c r="E151" s="6">
        <v>3</v>
      </c>
      <c r="F151" s="29">
        <v>0.1</v>
      </c>
      <c r="G151" s="14">
        <v>0.87460000000000004</v>
      </c>
      <c r="H151" s="3">
        <v>2691</v>
      </c>
      <c r="I151" s="3">
        <f t="shared" si="10"/>
        <v>2353.5486000000001</v>
      </c>
      <c r="J151" s="2">
        <v>45909</v>
      </c>
      <c r="K151" s="2">
        <v>45916</v>
      </c>
      <c r="L151" s="2">
        <v>46007</v>
      </c>
      <c r="M151" s="2">
        <v>46009</v>
      </c>
      <c r="N151" s="7">
        <v>100000000</v>
      </c>
      <c r="O151" s="6">
        <f t="shared" si="11"/>
        <v>2500000</v>
      </c>
      <c r="P151" s="6" t="str">
        <f t="shared" ca="1" si="12"/>
        <v>已到期</v>
      </c>
    </row>
    <row r="152" spans="1:16" s="13" customFormat="1" ht="15.4">
      <c r="A152" s="9" t="s">
        <v>18</v>
      </c>
      <c r="B152" s="2" t="s">
        <v>17</v>
      </c>
      <c r="C152" s="2" t="s">
        <v>17</v>
      </c>
      <c r="D152" s="10" t="s">
        <v>22</v>
      </c>
      <c r="E152" s="6">
        <v>3</v>
      </c>
      <c r="F152" s="29">
        <v>0.15</v>
      </c>
      <c r="G152" s="14">
        <v>0.87</v>
      </c>
      <c r="H152" s="3">
        <v>3049.63</v>
      </c>
      <c r="I152" s="3">
        <f t="shared" si="10"/>
        <v>2653.1781000000001</v>
      </c>
      <c r="J152" s="2">
        <v>45909</v>
      </c>
      <c r="K152" s="2">
        <v>45916</v>
      </c>
      <c r="L152" s="2">
        <v>46007</v>
      </c>
      <c r="M152" s="2">
        <v>46009</v>
      </c>
      <c r="N152" s="7">
        <v>200000000</v>
      </c>
      <c r="O152" s="6">
        <f t="shared" si="11"/>
        <v>7500000</v>
      </c>
      <c r="P152" s="6" t="str">
        <f t="shared" ca="1" si="12"/>
        <v>已到期</v>
      </c>
    </row>
    <row r="153" spans="1:16" s="13" customFormat="1" ht="15.4">
      <c r="A153" s="9" t="s">
        <v>18</v>
      </c>
      <c r="B153" s="2" t="s">
        <v>17</v>
      </c>
      <c r="C153" s="2" t="s">
        <v>17</v>
      </c>
      <c r="D153" s="10" t="s">
        <v>22</v>
      </c>
      <c r="E153" s="6">
        <v>3</v>
      </c>
      <c r="F153" s="29">
        <v>0.15</v>
      </c>
      <c r="G153" s="14">
        <v>0.87</v>
      </c>
      <c r="H153" s="3">
        <v>3055.34</v>
      </c>
      <c r="I153" s="3">
        <f t="shared" si="10"/>
        <v>2658.1458000000002</v>
      </c>
      <c r="J153" s="2">
        <v>45909</v>
      </c>
      <c r="K153" s="2">
        <v>45916</v>
      </c>
      <c r="L153" s="2">
        <v>46007</v>
      </c>
      <c r="M153" s="2">
        <v>46009</v>
      </c>
      <c r="N153" s="7">
        <v>200000000</v>
      </c>
      <c r="O153" s="6">
        <f t="shared" si="11"/>
        <v>7500000</v>
      </c>
      <c r="P153" s="6" t="str">
        <f t="shared" ca="1" si="12"/>
        <v>已到期</v>
      </c>
    </row>
    <row r="154" spans="1:16" s="13" customFormat="1" ht="15.4">
      <c r="A154" s="9" t="s">
        <v>2</v>
      </c>
      <c r="B154" s="2" t="s">
        <v>17</v>
      </c>
      <c r="C154" s="2" t="s">
        <v>17</v>
      </c>
      <c r="D154" s="2" t="s">
        <v>25</v>
      </c>
      <c r="E154" s="6">
        <v>3</v>
      </c>
      <c r="F154" s="29">
        <v>0.1</v>
      </c>
      <c r="G154" s="14">
        <v>0.90249999999999997</v>
      </c>
      <c r="H154" s="3">
        <f>16500/5</f>
        <v>3300</v>
      </c>
      <c r="I154" s="3">
        <f t="shared" si="10"/>
        <v>2978.25</v>
      </c>
      <c r="J154" s="2">
        <v>45910</v>
      </c>
      <c r="K154" s="2">
        <v>45917</v>
      </c>
      <c r="L154" s="2">
        <v>46008</v>
      </c>
      <c r="M154" s="2">
        <v>46010</v>
      </c>
      <c r="N154" s="7">
        <v>100000000</v>
      </c>
      <c r="O154" s="6">
        <f t="shared" si="11"/>
        <v>2500000</v>
      </c>
      <c r="P154" s="6" t="str">
        <f t="shared" ca="1" si="12"/>
        <v>已到期</v>
      </c>
    </row>
    <row r="155" spans="1:16" s="13" customFormat="1" ht="15.4">
      <c r="A155" s="9" t="s">
        <v>1</v>
      </c>
      <c r="B155" s="2" t="s">
        <v>17</v>
      </c>
      <c r="C155" s="2" t="s">
        <v>17</v>
      </c>
      <c r="D155" s="2" t="s">
        <v>25</v>
      </c>
      <c r="E155" s="6">
        <v>3</v>
      </c>
      <c r="F155" s="29">
        <v>0.1</v>
      </c>
      <c r="G155" s="14">
        <v>0.90249999999999997</v>
      </c>
      <c r="H155" s="3">
        <f>16500/5</f>
        <v>3300</v>
      </c>
      <c r="I155" s="3">
        <f t="shared" si="10"/>
        <v>2978.25</v>
      </c>
      <c r="J155" s="2">
        <v>45910</v>
      </c>
      <c r="K155" s="2">
        <v>45917</v>
      </c>
      <c r="L155" s="2">
        <v>46008</v>
      </c>
      <c r="M155" s="2">
        <v>46010</v>
      </c>
      <c r="N155" s="7">
        <v>100000000</v>
      </c>
      <c r="O155" s="6">
        <f t="shared" si="11"/>
        <v>2500000</v>
      </c>
      <c r="P155" s="6" t="str">
        <f t="shared" ca="1" si="12"/>
        <v>已到期</v>
      </c>
    </row>
    <row r="156" spans="1:16" s="13" customFormat="1" ht="15.4">
      <c r="A156" s="9" t="s">
        <v>2</v>
      </c>
      <c r="B156" s="2" t="s">
        <v>17</v>
      </c>
      <c r="C156" s="2" t="s">
        <v>17</v>
      </c>
      <c r="D156" s="2" t="s">
        <v>25</v>
      </c>
      <c r="E156" s="6">
        <v>1</v>
      </c>
      <c r="F156" s="29">
        <v>0.1</v>
      </c>
      <c r="G156" s="14">
        <v>0.86719999999999997</v>
      </c>
      <c r="H156" s="3">
        <v>5155</v>
      </c>
      <c r="I156" s="3">
        <f t="shared" si="10"/>
        <v>4470.4160000000002</v>
      </c>
      <c r="J156" s="2">
        <v>45971</v>
      </c>
      <c r="K156" s="2">
        <v>45978</v>
      </c>
      <c r="L156" s="2">
        <v>46008</v>
      </c>
      <c r="M156" s="2">
        <v>46010</v>
      </c>
      <c r="N156" s="7">
        <v>100000000</v>
      </c>
      <c r="O156" s="6">
        <f t="shared" si="11"/>
        <v>833333.33333333337</v>
      </c>
      <c r="P156" s="6" t="str">
        <f t="shared" ca="1" si="12"/>
        <v>已到期</v>
      </c>
    </row>
    <row r="157" spans="1:16" s="13" customFormat="1" ht="15.4">
      <c r="A157" s="9" t="s">
        <v>1</v>
      </c>
      <c r="B157" s="2" t="s">
        <v>17</v>
      </c>
      <c r="C157" s="2" t="s">
        <v>17</v>
      </c>
      <c r="D157" s="2" t="s">
        <v>25</v>
      </c>
      <c r="E157" s="6">
        <v>1</v>
      </c>
      <c r="F157" s="29">
        <v>0.1</v>
      </c>
      <c r="G157" s="14">
        <v>0.86719999999999997</v>
      </c>
      <c r="H157" s="3">
        <v>5155</v>
      </c>
      <c r="I157" s="3">
        <f t="shared" si="10"/>
        <v>4470.4160000000002</v>
      </c>
      <c r="J157" s="2">
        <v>45971</v>
      </c>
      <c r="K157" s="2">
        <v>45978</v>
      </c>
      <c r="L157" s="2">
        <v>46008</v>
      </c>
      <c r="M157" s="2">
        <v>46010</v>
      </c>
      <c r="N157" s="7">
        <v>100000000</v>
      </c>
      <c r="O157" s="6">
        <f t="shared" si="11"/>
        <v>833333.33333333337</v>
      </c>
      <c r="P157" s="6" t="str">
        <f t="shared" ca="1" si="12"/>
        <v>已到期</v>
      </c>
    </row>
    <row r="158" spans="1:16" s="13" customFormat="1" ht="15.4">
      <c r="A158" s="9" t="s">
        <v>18</v>
      </c>
      <c r="B158" s="2" t="s">
        <v>17</v>
      </c>
      <c r="C158" s="2" t="s">
        <v>17</v>
      </c>
      <c r="D158" s="10" t="s">
        <v>22</v>
      </c>
      <c r="E158" s="6">
        <v>3</v>
      </c>
      <c r="F158" s="29">
        <v>0.15</v>
      </c>
      <c r="G158" s="14">
        <v>0.87380000000000002</v>
      </c>
      <c r="H158" s="3">
        <v>3023.9841000000001</v>
      </c>
      <c r="I158" s="3">
        <f t="shared" si="10"/>
        <v>2642.3573065800001</v>
      </c>
      <c r="J158" s="2">
        <v>45910</v>
      </c>
      <c r="K158" s="2">
        <v>45917</v>
      </c>
      <c r="L158" s="2">
        <v>46008</v>
      </c>
      <c r="M158" s="2">
        <v>46010</v>
      </c>
      <c r="N158" s="7">
        <v>200000000</v>
      </c>
      <c r="O158" s="6">
        <f t="shared" si="11"/>
        <v>7500000</v>
      </c>
      <c r="P158" s="6" t="str">
        <f t="shared" ca="1" si="12"/>
        <v>已到期</v>
      </c>
    </row>
    <row r="159" spans="1:16" s="13" customFormat="1" ht="15.4">
      <c r="A159" s="9" t="s">
        <v>18</v>
      </c>
      <c r="B159" s="2" t="s">
        <v>17</v>
      </c>
      <c r="C159" s="2" t="s">
        <v>17</v>
      </c>
      <c r="D159" s="10" t="s">
        <v>22</v>
      </c>
      <c r="E159" s="6">
        <v>3</v>
      </c>
      <c r="F159" s="29">
        <v>0.15</v>
      </c>
      <c r="G159" s="14">
        <v>0.87250000000000005</v>
      </c>
      <c r="H159" s="3">
        <v>3009.6</v>
      </c>
      <c r="I159" s="3">
        <f t="shared" si="10"/>
        <v>2625.8760000000002</v>
      </c>
      <c r="J159" s="2">
        <v>45911</v>
      </c>
      <c r="K159" s="2">
        <v>45918</v>
      </c>
      <c r="L159" s="2">
        <v>46009</v>
      </c>
      <c r="M159" s="2">
        <v>46013</v>
      </c>
      <c r="N159" s="7">
        <v>200000000</v>
      </c>
      <c r="O159" s="6">
        <f t="shared" si="11"/>
        <v>7500000</v>
      </c>
      <c r="P159" s="6" t="str">
        <f t="shared" ca="1" si="12"/>
        <v>已到期</v>
      </c>
    </row>
    <row r="160" spans="1:16" s="13" customFormat="1" ht="15.4">
      <c r="A160" s="9" t="s">
        <v>1</v>
      </c>
      <c r="B160" s="2" t="s">
        <v>17</v>
      </c>
      <c r="C160" s="2" t="s">
        <v>17</v>
      </c>
      <c r="D160" s="2" t="s">
        <v>25</v>
      </c>
      <c r="E160" s="6">
        <v>1</v>
      </c>
      <c r="F160" s="29">
        <v>0.08</v>
      </c>
      <c r="G160" s="14">
        <v>0.88080000000000003</v>
      </c>
      <c r="H160" s="3">
        <v>2822.7808</v>
      </c>
      <c r="I160" s="3">
        <f t="shared" si="10"/>
        <v>2486.30532864</v>
      </c>
      <c r="J160" s="2">
        <v>45973</v>
      </c>
      <c r="K160" s="2">
        <v>45980</v>
      </c>
      <c r="L160" s="2">
        <v>46010</v>
      </c>
      <c r="M160" s="2">
        <v>46014</v>
      </c>
      <c r="N160" s="7">
        <v>100000000</v>
      </c>
      <c r="O160" s="6">
        <f t="shared" si="11"/>
        <v>666666.66666666663</v>
      </c>
      <c r="P160" s="6" t="str">
        <f t="shared" ca="1" si="12"/>
        <v>已到期</v>
      </c>
    </row>
    <row r="161" spans="1:16" s="13" customFormat="1" ht="15.4">
      <c r="A161" s="9" t="s">
        <v>2</v>
      </c>
      <c r="B161" s="2" t="s">
        <v>17</v>
      </c>
      <c r="C161" s="2" t="s">
        <v>17</v>
      </c>
      <c r="D161" s="2" t="s">
        <v>25</v>
      </c>
      <c r="E161" s="6">
        <v>1</v>
      </c>
      <c r="F161" s="29">
        <v>0.08</v>
      </c>
      <c r="G161" s="14">
        <v>0.88080000000000003</v>
      </c>
      <c r="H161" s="3">
        <v>2822.7808</v>
      </c>
      <c r="I161" s="3">
        <f t="shared" si="10"/>
        <v>2486.30532864</v>
      </c>
      <c r="J161" s="2">
        <v>45973</v>
      </c>
      <c r="K161" s="2">
        <v>45980</v>
      </c>
      <c r="L161" s="2">
        <v>46010</v>
      </c>
      <c r="M161" s="2">
        <v>46014</v>
      </c>
      <c r="N161" s="7">
        <v>100000000</v>
      </c>
      <c r="O161" s="6">
        <f t="shared" si="11"/>
        <v>666666.66666666663</v>
      </c>
      <c r="P161" s="6" t="str">
        <f t="shared" ca="1" si="12"/>
        <v>已到期</v>
      </c>
    </row>
    <row r="162" spans="1:16" s="13" customFormat="1" ht="15.4">
      <c r="A162" s="9" t="s">
        <v>0</v>
      </c>
      <c r="B162" s="2" t="s">
        <v>17</v>
      </c>
      <c r="C162" s="2" t="s">
        <v>17</v>
      </c>
      <c r="D162" s="2" t="s">
        <v>25</v>
      </c>
      <c r="E162" s="6">
        <v>1</v>
      </c>
      <c r="F162" s="29">
        <v>0.08</v>
      </c>
      <c r="G162" s="14">
        <v>0.88080000000000003</v>
      </c>
      <c r="H162" s="3">
        <v>2830.4423000000002</v>
      </c>
      <c r="I162" s="3">
        <f t="shared" si="10"/>
        <v>2493.0535778400003</v>
      </c>
      <c r="J162" s="2">
        <v>45973</v>
      </c>
      <c r="K162" s="2">
        <v>45980</v>
      </c>
      <c r="L162" s="2">
        <v>46010</v>
      </c>
      <c r="M162" s="2">
        <v>46014</v>
      </c>
      <c r="N162" s="7">
        <v>100000000</v>
      </c>
      <c r="O162" s="6">
        <f t="shared" si="11"/>
        <v>666666.66666666663</v>
      </c>
      <c r="P162" s="6" t="str">
        <f t="shared" ca="1" si="12"/>
        <v>已到期</v>
      </c>
    </row>
    <row r="163" spans="1:16" s="13" customFormat="1" ht="15.4">
      <c r="A163" s="9" t="s">
        <v>18</v>
      </c>
      <c r="B163" s="2" t="s">
        <v>17</v>
      </c>
      <c r="C163" s="2" t="s">
        <v>17</v>
      </c>
      <c r="D163" s="10" t="s">
        <v>22</v>
      </c>
      <c r="E163" s="6">
        <v>3</v>
      </c>
      <c r="F163" s="29">
        <v>0.15</v>
      </c>
      <c r="G163" s="14">
        <v>0.87209999999999999</v>
      </c>
      <c r="H163" s="3">
        <v>3009.6</v>
      </c>
      <c r="I163" s="3">
        <f t="shared" si="10"/>
        <v>2624.6721600000001</v>
      </c>
      <c r="J163" s="2">
        <v>45912</v>
      </c>
      <c r="K163" s="2">
        <v>45919</v>
      </c>
      <c r="L163" s="2">
        <v>46010</v>
      </c>
      <c r="M163" s="2">
        <v>46014</v>
      </c>
      <c r="N163" s="7">
        <v>200000000</v>
      </c>
      <c r="O163" s="6">
        <f t="shared" si="11"/>
        <v>7500000</v>
      </c>
      <c r="P163" s="6" t="str">
        <f t="shared" ca="1" si="12"/>
        <v>已到期</v>
      </c>
    </row>
    <row r="164" spans="1:16" s="13" customFormat="1" ht="15.4">
      <c r="A164" s="9" t="s">
        <v>2</v>
      </c>
      <c r="B164" s="2" t="s">
        <v>17</v>
      </c>
      <c r="C164" s="2" t="s">
        <v>17</v>
      </c>
      <c r="D164" s="2" t="s">
        <v>25</v>
      </c>
      <c r="E164" s="6">
        <v>2</v>
      </c>
      <c r="F164" s="29">
        <v>0.1</v>
      </c>
      <c r="G164" s="14">
        <v>0.87250000000000005</v>
      </c>
      <c r="H164" s="3">
        <v>2871.7444</v>
      </c>
      <c r="I164" s="3">
        <f t="shared" si="10"/>
        <v>2505.5969890000001</v>
      </c>
      <c r="J164" s="2">
        <v>45944</v>
      </c>
      <c r="K164" s="2">
        <v>45951</v>
      </c>
      <c r="L164" s="2">
        <v>46013</v>
      </c>
      <c r="M164" s="2">
        <v>46015</v>
      </c>
      <c r="N164" s="7">
        <v>100000000</v>
      </c>
      <c r="O164" s="6">
        <f t="shared" si="11"/>
        <v>1666666.6666666667</v>
      </c>
      <c r="P164" s="6" t="str">
        <f t="shared" ca="1" si="12"/>
        <v>已到期</v>
      </c>
    </row>
    <row r="165" spans="1:16" s="13" customFormat="1" ht="15.4">
      <c r="A165" s="9" t="s">
        <v>1</v>
      </c>
      <c r="B165" s="2" t="s">
        <v>17</v>
      </c>
      <c r="C165" s="2" t="s">
        <v>17</v>
      </c>
      <c r="D165" s="2" t="s">
        <v>25</v>
      </c>
      <c r="E165" s="6">
        <v>2</v>
      </c>
      <c r="F165" s="29">
        <v>0.1</v>
      </c>
      <c r="G165" s="14">
        <v>0.87250000000000005</v>
      </c>
      <c r="H165" s="3">
        <v>2870.8566999999998</v>
      </c>
      <c r="I165" s="3">
        <f t="shared" si="10"/>
        <v>2504.8224707499999</v>
      </c>
      <c r="J165" s="2">
        <v>45944</v>
      </c>
      <c r="K165" s="2">
        <v>45951</v>
      </c>
      <c r="L165" s="2">
        <v>46013</v>
      </c>
      <c r="M165" s="2">
        <v>46015</v>
      </c>
      <c r="N165" s="7">
        <v>100000000</v>
      </c>
      <c r="O165" s="6">
        <f t="shared" si="11"/>
        <v>1666666.6666666667</v>
      </c>
      <c r="P165" s="6" t="str">
        <f t="shared" ca="1" si="12"/>
        <v>已到期</v>
      </c>
    </row>
    <row r="166" spans="1:16" s="13" customFormat="1" ht="15.4">
      <c r="A166" s="9" t="s">
        <v>1</v>
      </c>
      <c r="B166" s="2" t="s">
        <v>17</v>
      </c>
      <c r="C166" s="2" t="s">
        <v>17</v>
      </c>
      <c r="D166" s="2" t="s">
        <v>25</v>
      </c>
      <c r="E166" s="6">
        <v>1</v>
      </c>
      <c r="F166" s="29">
        <v>0.08</v>
      </c>
      <c r="G166" s="14">
        <v>0.91969999999999996</v>
      </c>
      <c r="H166" s="3">
        <v>1298</v>
      </c>
      <c r="I166" s="3">
        <f t="shared" si="10"/>
        <v>1193.7706000000001</v>
      </c>
      <c r="J166" s="2">
        <v>45975</v>
      </c>
      <c r="K166" s="2">
        <v>45982</v>
      </c>
      <c r="L166" s="2">
        <v>46013</v>
      </c>
      <c r="M166" s="2">
        <v>46015</v>
      </c>
      <c r="N166" s="7">
        <v>300000000</v>
      </c>
      <c r="O166" s="6">
        <f t="shared" si="11"/>
        <v>2000000</v>
      </c>
      <c r="P166" s="6" t="str">
        <f t="shared" ca="1" si="12"/>
        <v>已到期</v>
      </c>
    </row>
    <row r="167" spans="1:16" s="13" customFormat="1" ht="15.4">
      <c r="A167" s="9" t="s">
        <v>0</v>
      </c>
      <c r="B167" s="2" t="s">
        <v>17</v>
      </c>
      <c r="C167" s="2" t="s">
        <v>17</v>
      </c>
      <c r="D167" s="2" t="s">
        <v>25</v>
      </c>
      <c r="E167" s="6">
        <v>2</v>
      </c>
      <c r="F167" s="29">
        <v>0.1</v>
      </c>
      <c r="G167" s="14">
        <v>0.87250000000000005</v>
      </c>
      <c r="H167" s="3">
        <v>2863.2222000000002</v>
      </c>
      <c r="I167" s="3">
        <f t="shared" si="10"/>
        <v>2498.1613695000001</v>
      </c>
      <c r="J167" s="2">
        <v>45944</v>
      </c>
      <c r="K167" s="2">
        <v>45951</v>
      </c>
      <c r="L167" s="2">
        <v>46013</v>
      </c>
      <c r="M167" s="2">
        <v>46015</v>
      </c>
      <c r="N167" s="7">
        <v>100000000</v>
      </c>
      <c r="O167" s="6">
        <f t="shared" si="11"/>
        <v>1666666.6666666667</v>
      </c>
      <c r="P167" s="6" t="str">
        <f t="shared" ca="1" si="12"/>
        <v>已到期</v>
      </c>
    </row>
    <row r="168" spans="1:16" s="13" customFormat="1" ht="15.4">
      <c r="A168" s="9" t="s">
        <v>18</v>
      </c>
      <c r="B168" s="2" t="s">
        <v>17</v>
      </c>
      <c r="C168" s="2" t="s">
        <v>17</v>
      </c>
      <c r="D168" s="10" t="s">
        <v>22</v>
      </c>
      <c r="E168" s="6">
        <v>2</v>
      </c>
      <c r="F168" s="29">
        <v>0.15</v>
      </c>
      <c r="G168" s="14">
        <v>0.8589</v>
      </c>
      <c r="H168" s="3">
        <v>3463.2667000000001</v>
      </c>
      <c r="I168" s="3">
        <f t="shared" si="10"/>
        <v>2974.5997686300002</v>
      </c>
      <c r="J168" s="2">
        <v>45945</v>
      </c>
      <c r="K168" s="2">
        <f>J168+7</f>
        <v>45952</v>
      </c>
      <c r="L168" s="2">
        <v>46013</v>
      </c>
      <c r="M168" s="2">
        <v>46016</v>
      </c>
      <c r="N168" s="7">
        <v>200000000</v>
      </c>
      <c r="O168" s="6">
        <f t="shared" si="11"/>
        <v>5000000</v>
      </c>
      <c r="P168" s="6" t="str">
        <f t="shared" ca="1" si="12"/>
        <v>已到期</v>
      </c>
    </row>
    <row r="169" spans="1:16" s="13" customFormat="1" ht="15.4">
      <c r="A169" s="9" t="s">
        <v>1</v>
      </c>
      <c r="B169" s="2" t="s">
        <v>17</v>
      </c>
      <c r="C169" s="2" t="s">
        <v>17</v>
      </c>
      <c r="D169" s="2" t="s">
        <v>25</v>
      </c>
      <c r="E169" s="6">
        <v>2</v>
      </c>
      <c r="F169" s="29">
        <v>0.1</v>
      </c>
      <c r="G169" s="14">
        <v>0.86499999999999999</v>
      </c>
      <c r="H169" s="3">
        <v>5354.24</v>
      </c>
      <c r="I169" s="3">
        <f t="shared" si="10"/>
        <v>4631.4175999999998</v>
      </c>
      <c r="J169" s="2">
        <v>45947</v>
      </c>
      <c r="K169" s="2">
        <v>45954</v>
      </c>
      <c r="L169" s="2">
        <v>46015</v>
      </c>
      <c r="M169" s="2">
        <v>46017</v>
      </c>
      <c r="N169" s="7">
        <v>100000000</v>
      </c>
      <c r="O169" s="6">
        <f t="shared" si="11"/>
        <v>1666666.6666666667</v>
      </c>
      <c r="P169" s="6" t="str">
        <f t="shared" ca="1" si="12"/>
        <v>已到期</v>
      </c>
    </row>
    <row r="170" spans="1:16" s="13" customFormat="1" ht="15.4">
      <c r="A170" s="9" t="s">
        <v>2</v>
      </c>
      <c r="B170" s="2" t="s">
        <v>17</v>
      </c>
      <c r="C170" s="2" t="s">
        <v>17</v>
      </c>
      <c r="D170" s="2" t="s">
        <v>25</v>
      </c>
      <c r="E170" s="6">
        <v>1</v>
      </c>
      <c r="F170" s="29">
        <v>0.08</v>
      </c>
      <c r="G170" s="14">
        <v>0.91300000000000003</v>
      </c>
      <c r="H170" s="3">
        <v>1219</v>
      </c>
      <c r="I170" s="3">
        <f t="shared" si="10"/>
        <v>1112.9470000000001</v>
      </c>
      <c r="J170" s="2">
        <v>45978</v>
      </c>
      <c r="K170" s="2">
        <v>45986</v>
      </c>
      <c r="L170" s="2">
        <v>46016</v>
      </c>
      <c r="M170" s="2">
        <v>46020</v>
      </c>
      <c r="N170" s="7">
        <v>200000000</v>
      </c>
      <c r="O170" s="6">
        <f t="shared" si="11"/>
        <v>1333333.3333333333</v>
      </c>
      <c r="P170" s="6" t="str">
        <f t="shared" ca="1" si="12"/>
        <v>已到期</v>
      </c>
    </row>
    <row r="171" spans="1:16" s="13" customFormat="1" ht="15.4">
      <c r="A171" s="9" t="s">
        <v>2</v>
      </c>
      <c r="B171" s="2" t="s">
        <v>17</v>
      </c>
      <c r="C171" s="2" t="s">
        <v>17</v>
      </c>
      <c r="D171" s="2" t="s">
        <v>25</v>
      </c>
      <c r="E171" s="6">
        <v>1</v>
      </c>
      <c r="F171" s="29">
        <v>0.08</v>
      </c>
      <c r="G171" s="14">
        <v>0.88460000000000005</v>
      </c>
      <c r="H171" s="3">
        <v>4385</v>
      </c>
      <c r="I171" s="3">
        <f t="shared" si="10"/>
        <v>3878.9710000000005</v>
      </c>
      <c r="J171" s="2">
        <v>45979</v>
      </c>
      <c r="K171" s="2">
        <v>45986</v>
      </c>
      <c r="L171" s="2">
        <v>46016</v>
      </c>
      <c r="M171" s="2">
        <v>46020</v>
      </c>
      <c r="N171" s="7">
        <v>100000000</v>
      </c>
      <c r="O171" s="6">
        <f t="shared" si="11"/>
        <v>666666.66666666663</v>
      </c>
      <c r="P171" s="6" t="str">
        <f t="shared" ca="1" si="12"/>
        <v>已到期</v>
      </c>
    </row>
    <row r="172" spans="1:16" s="13" customFormat="1" ht="15.4">
      <c r="A172" s="9" t="s">
        <v>0</v>
      </c>
      <c r="B172" s="2" t="s">
        <v>17</v>
      </c>
      <c r="C172" s="2" t="s">
        <v>17</v>
      </c>
      <c r="D172" s="2" t="s">
        <v>25</v>
      </c>
      <c r="E172" s="6">
        <v>1</v>
      </c>
      <c r="F172" s="29">
        <v>0.08</v>
      </c>
      <c r="G172" s="14">
        <v>0.88870000000000005</v>
      </c>
      <c r="H172" s="3">
        <v>4379.88</v>
      </c>
      <c r="I172" s="3">
        <f t="shared" si="10"/>
        <v>3892.3993560000004</v>
      </c>
      <c r="J172" s="2">
        <v>45979</v>
      </c>
      <c r="K172" s="2">
        <v>45986</v>
      </c>
      <c r="L172" s="2">
        <v>46016</v>
      </c>
      <c r="M172" s="2">
        <v>46020</v>
      </c>
      <c r="N172" s="7">
        <v>100000000</v>
      </c>
      <c r="O172" s="6">
        <f t="shared" si="11"/>
        <v>666666.66666666663</v>
      </c>
      <c r="P172" s="6" t="str">
        <f t="shared" ca="1" si="12"/>
        <v>已到期</v>
      </c>
    </row>
    <row r="173" spans="1:16" s="13" customFormat="1" ht="15.4">
      <c r="A173" s="9" t="s">
        <v>2</v>
      </c>
      <c r="B173" s="2" t="s">
        <v>17</v>
      </c>
      <c r="C173" s="2" t="s">
        <v>17</v>
      </c>
      <c r="D173" s="2" t="s">
        <v>25</v>
      </c>
      <c r="E173" s="6">
        <v>1</v>
      </c>
      <c r="F173" s="29">
        <v>0.08</v>
      </c>
      <c r="G173" s="14">
        <v>0.84409999999999996</v>
      </c>
      <c r="H173" s="3">
        <v>4340.91</v>
      </c>
      <c r="I173" s="3">
        <f t="shared" si="10"/>
        <v>3664.1621309999996</v>
      </c>
      <c r="J173" s="2">
        <v>45980</v>
      </c>
      <c r="K173" s="2">
        <v>45987</v>
      </c>
      <c r="L173" s="2">
        <v>46017</v>
      </c>
      <c r="M173" s="2">
        <v>46021</v>
      </c>
      <c r="N173" s="7">
        <v>100000000</v>
      </c>
      <c r="O173" s="6">
        <f t="shared" si="11"/>
        <v>666666.66666666663</v>
      </c>
      <c r="P173" s="6" t="str">
        <f t="shared" ca="1" si="12"/>
        <v>已到期</v>
      </c>
    </row>
    <row r="174" spans="1:16" s="13" customFormat="1" ht="15.4">
      <c r="A174" s="9" t="s">
        <v>1</v>
      </c>
      <c r="B174" s="2" t="s">
        <v>17</v>
      </c>
      <c r="C174" s="2" t="s">
        <v>17</v>
      </c>
      <c r="D174" s="2" t="s">
        <v>25</v>
      </c>
      <c r="E174" s="6">
        <v>1</v>
      </c>
      <c r="F174" s="29">
        <v>0.08</v>
      </c>
      <c r="G174" s="14">
        <v>0.84699999999999998</v>
      </c>
      <c r="H174" s="3">
        <v>4343.2700000000004</v>
      </c>
      <c r="I174" s="3">
        <f t="shared" si="10"/>
        <v>3678.7496900000001</v>
      </c>
      <c r="J174" s="2">
        <v>45980</v>
      </c>
      <c r="K174" s="2">
        <v>45987</v>
      </c>
      <c r="L174" s="2">
        <v>46017</v>
      </c>
      <c r="M174" s="2">
        <v>46021</v>
      </c>
      <c r="N174" s="7">
        <v>100000000</v>
      </c>
      <c r="O174" s="6">
        <f t="shared" si="11"/>
        <v>666666.66666666663</v>
      </c>
      <c r="P174" s="6" t="str">
        <f t="shared" ca="1" si="12"/>
        <v>已到期</v>
      </c>
    </row>
    <row r="175" spans="1:16" s="13" customFormat="1" ht="15.4">
      <c r="A175" s="9" t="s">
        <v>1</v>
      </c>
      <c r="B175" s="2" t="s">
        <v>17</v>
      </c>
      <c r="C175" s="2" t="s">
        <v>17</v>
      </c>
      <c r="D175" s="2" t="s">
        <v>25</v>
      </c>
      <c r="E175" s="6">
        <v>1</v>
      </c>
      <c r="F175" s="29">
        <v>0.1</v>
      </c>
      <c r="G175" s="14">
        <v>0.86250000000000004</v>
      </c>
      <c r="H175" s="3">
        <v>1247.5</v>
      </c>
      <c r="I175" s="3">
        <f t="shared" si="10"/>
        <v>1075.96875</v>
      </c>
      <c r="J175" s="2">
        <v>45982</v>
      </c>
      <c r="K175" s="2">
        <v>45989</v>
      </c>
      <c r="L175" s="2">
        <v>46020</v>
      </c>
      <c r="M175" s="2">
        <v>46027</v>
      </c>
      <c r="N175" s="7">
        <v>200000000</v>
      </c>
      <c r="O175" s="6">
        <f t="shared" si="11"/>
        <v>1666666.6666666667</v>
      </c>
      <c r="P175" s="6" t="str">
        <f t="shared" ca="1" si="12"/>
        <v>已到期</v>
      </c>
    </row>
    <row r="176" spans="1:16" s="13" customFormat="1" ht="15.4">
      <c r="A176" s="9" t="s">
        <v>2</v>
      </c>
      <c r="B176" s="2" t="s">
        <v>17</v>
      </c>
      <c r="C176" s="2" t="s">
        <v>17</v>
      </c>
      <c r="D176" s="2" t="s">
        <v>25</v>
      </c>
      <c r="E176" s="6">
        <v>2</v>
      </c>
      <c r="F176" s="29">
        <v>0.1</v>
      </c>
      <c r="G176" s="14">
        <v>0.87319999999999998</v>
      </c>
      <c r="H176" s="3">
        <v>5620</v>
      </c>
      <c r="I176" s="3">
        <f t="shared" si="10"/>
        <v>4907.384</v>
      </c>
      <c r="J176" s="2">
        <v>45953</v>
      </c>
      <c r="K176" s="2">
        <v>45960</v>
      </c>
      <c r="L176" s="2">
        <v>46021</v>
      </c>
      <c r="M176" s="2">
        <v>46028</v>
      </c>
      <c r="N176" s="7">
        <v>100000000</v>
      </c>
      <c r="O176" s="6">
        <f t="shared" si="11"/>
        <v>1666666.6666666667</v>
      </c>
      <c r="P176" s="6" t="str">
        <f t="shared" ca="1" si="12"/>
        <v>已到期</v>
      </c>
    </row>
    <row r="177" spans="1:16" s="13" customFormat="1" ht="15.4">
      <c r="A177" s="9" t="s">
        <v>1</v>
      </c>
      <c r="B177" s="2" t="s">
        <v>17</v>
      </c>
      <c r="C177" s="2" t="s">
        <v>17</v>
      </c>
      <c r="D177" s="2" t="s">
        <v>25</v>
      </c>
      <c r="E177" s="6">
        <v>2</v>
      </c>
      <c r="F177" s="29">
        <v>0.1</v>
      </c>
      <c r="G177" s="14">
        <v>0.87319999999999998</v>
      </c>
      <c r="H177" s="3">
        <v>5620</v>
      </c>
      <c r="I177" s="3">
        <f t="shared" si="10"/>
        <v>4907.384</v>
      </c>
      <c r="J177" s="2">
        <v>45953</v>
      </c>
      <c r="K177" s="2">
        <v>45960</v>
      </c>
      <c r="L177" s="2">
        <v>46021</v>
      </c>
      <c r="M177" s="2">
        <v>46028</v>
      </c>
      <c r="N177" s="7">
        <v>100000000</v>
      </c>
      <c r="O177" s="6">
        <f t="shared" si="11"/>
        <v>1666666.6666666667</v>
      </c>
      <c r="P177" s="6" t="str">
        <f t="shared" ca="1" si="12"/>
        <v>已到期</v>
      </c>
    </row>
    <row r="178" spans="1:16" s="13" customFormat="1" ht="15.4">
      <c r="A178" s="9" t="s">
        <v>0</v>
      </c>
      <c r="B178" s="2" t="s">
        <v>17</v>
      </c>
      <c r="C178" s="2" t="s">
        <v>17</v>
      </c>
      <c r="D178" s="2" t="s">
        <v>25</v>
      </c>
      <c r="E178" s="6">
        <v>2</v>
      </c>
      <c r="F178" s="29">
        <v>0.1</v>
      </c>
      <c r="G178" s="14">
        <v>0.87319999999999998</v>
      </c>
      <c r="H178" s="3">
        <v>5537</v>
      </c>
      <c r="I178" s="3">
        <f t="shared" si="10"/>
        <v>4834.9084000000003</v>
      </c>
      <c r="J178" s="2">
        <v>45953</v>
      </c>
      <c r="K178" s="2">
        <v>45960</v>
      </c>
      <c r="L178" s="2">
        <v>46021</v>
      </c>
      <c r="M178" s="2">
        <v>46028</v>
      </c>
      <c r="N178" s="7">
        <v>100000000</v>
      </c>
      <c r="O178" s="6">
        <f t="shared" si="11"/>
        <v>1666666.6666666667</v>
      </c>
      <c r="P178" s="6" t="str">
        <f t="shared" ca="1" si="12"/>
        <v>已到期</v>
      </c>
    </row>
    <row r="179" spans="1:16" s="13" customFormat="1" ht="15.4">
      <c r="A179" s="9" t="s">
        <v>18</v>
      </c>
      <c r="B179" s="2" t="s">
        <v>17</v>
      </c>
      <c r="C179" s="2" t="s">
        <v>17</v>
      </c>
      <c r="D179" s="10" t="s">
        <v>16</v>
      </c>
      <c r="E179" s="6">
        <v>2</v>
      </c>
      <c r="F179" s="29">
        <v>0.12</v>
      </c>
      <c r="G179" s="14">
        <v>0.95350000000000001</v>
      </c>
      <c r="H179" s="3">
        <v>1771.28</v>
      </c>
      <c r="I179" s="3">
        <f t="shared" si="10"/>
        <v>1688.9154799999999</v>
      </c>
      <c r="J179" s="2">
        <v>45995</v>
      </c>
      <c r="K179" s="2">
        <v>46002</v>
      </c>
      <c r="L179" s="2">
        <v>46065</v>
      </c>
      <c r="M179" s="2">
        <v>46067</v>
      </c>
      <c r="N179" s="7">
        <v>200000000</v>
      </c>
      <c r="O179" s="6">
        <f t="shared" si="11"/>
        <v>4000000</v>
      </c>
      <c r="P179" s="6" t="str">
        <f t="shared" ca="1" si="12"/>
        <v>已到期</v>
      </c>
    </row>
    <row r="180" spans="1:16" s="13" customFormat="1" ht="15.4">
      <c r="A180" s="9" t="s">
        <v>18</v>
      </c>
      <c r="B180" s="2" t="s">
        <v>17</v>
      </c>
      <c r="C180" s="2" t="s">
        <v>17</v>
      </c>
      <c r="D180" s="10" t="s">
        <v>16</v>
      </c>
      <c r="E180" s="6">
        <v>2</v>
      </c>
      <c r="F180" s="29">
        <v>0.12</v>
      </c>
      <c r="G180" s="14">
        <v>0.95299999999999996</v>
      </c>
      <c r="H180" s="3">
        <v>1735.8</v>
      </c>
      <c r="I180" s="3">
        <f t="shared" si="10"/>
        <v>1654.2174</v>
      </c>
      <c r="J180" s="2">
        <v>45996</v>
      </c>
      <c r="K180" s="2">
        <v>46003</v>
      </c>
      <c r="L180" s="2">
        <v>46065</v>
      </c>
      <c r="M180" s="2">
        <v>46067</v>
      </c>
      <c r="N180" s="7">
        <v>200000000</v>
      </c>
      <c r="O180" s="6">
        <f t="shared" si="11"/>
        <v>4000000</v>
      </c>
      <c r="P180" s="6" t="str">
        <f t="shared" ca="1" si="12"/>
        <v>已到期</v>
      </c>
    </row>
    <row r="181" spans="1:16" s="13" customFormat="1" ht="15.4">
      <c r="A181" s="9" t="s">
        <v>2</v>
      </c>
      <c r="B181" s="2" t="s">
        <v>17</v>
      </c>
      <c r="C181" s="2" t="s">
        <v>17</v>
      </c>
      <c r="D181" s="2" t="s">
        <v>25</v>
      </c>
      <c r="E181" s="6">
        <v>2</v>
      </c>
      <c r="F181" s="11">
        <v>0.12</v>
      </c>
      <c r="G181" s="14">
        <v>0.89659999999999995</v>
      </c>
      <c r="H181" s="3">
        <v>2867</v>
      </c>
      <c r="I181" s="3">
        <f t="shared" si="10"/>
        <v>2570.5522000000001</v>
      </c>
      <c r="J181" s="2">
        <v>46007</v>
      </c>
      <c r="K181" s="2">
        <f t="shared" ref="K181:K188" si="13">J181+7</f>
        <v>46014</v>
      </c>
      <c r="L181" s="2">
        <v>46077</v>
      </c>
      <c r="M181" s="2">
        <v>46079</v>
      </c>
      <c r="N181" s="7">
        <v>100000000</v>
      </c>
      <c r="O181" s="6">
        <f t="shared" si="11"/>
        <v>2000000</v>
      </c>
      <c r="P181" s="6" t="str">
        <f t="shared" ca="1" si="12"/>
        <v>已到期</v>
      </c>
    </row>
    <row r="182" spans="1:16" s="13" customFormat="1" ht="15.4">
      <c r="A182" s="9" t="s">
        <v>1</v>
      </c>
      <c r="B182" s="2" t="s">
        <v>17</v>
      </c>
      <c r="C182" s="2" t="s">
        <v>17</v>
      </c>
      <c r="D182" s="2" t="s">
        <v>25</v>
      </c>
      <c r="E182" s="6">
        <v>2</v>
      </c>
      <c r="F182" s="11">
        <v>0.12</v>
      </c>
      <c r="G182" s="14">
        <v>0.89659999999999995</v>
      </c>
      <c r="H182" s="3">
        <v>2867</v>
      </c>
      <c r="I182" s="3">
        <f t="shared" si="10"/>
        <v>2570.5522000000001</v>
      </c>
      <c r="J182" s="2">
        <v>46007</v>
      </c>
      <c r="K182" s="2">
        <f t="shared" si="13"/>
        <v>46014</v>
      </c>
      <c r="L182" s="2">
        <v>46077</v>
      </c>
      <c r="M182" s="2">
        <v>46079</v>
      </c>
      <c r="N182" s="7">
        <v>100000000</v>
      </c>
      <c r="O182" s="6">
        <f t="shared" si="11"/>
        <v>2000000</v>
      </c>
      <c r="P182" s="6" t="str">
        <f t="shared" ca="1" si="12"/>
        <v>已到期</v>
      </c>
    </row>
    <row r="183" spans="1:16" s="13" customFormat="1" ht="15.4">
      <c r="A183" s="9" t="s">
        <v>0</v>
      </c>
      <c r="B183" s="2" t="s">
        <v>17</v>
      </c>
      <c r="C183" s="2" t="s">
        <v>17</v>
      </c>
      <c r="D183" s="2" t="s">
        <v>25</v>
      </c>
      <c r="E183" s="6">
        <v>2</v>
      </c>
      <c r="F183" s="11">
        <v>0.12</v>
      </c>
      <c r="G183" s="12">
        <v>0.89400000000000002</v>
      </c>
      <c r="H183" s="3">
        <v>4861</v>
      </c>
      <c r="I183" s="3">
        <f t="shared" si="10"/>
        <v>4345.7340000000004</v>
      </c>
      <c r="J183" s="2">
        <v>46007</v>
      </c>
      <c r="K183" s="2">
        <f t="shared" si="13"/>
        <v>46014</v>
      </c>
      <c r="L183" s="2">
        <v>46077</v>
      </c>
      <c r="M183" s="2">
        <v>46079</v>
      </c>
      <c r="N183" s="7">
        <v>200000000</v>
      </c>
      <c r="O183" s="6">
        <f t="shared" si="11"/>
        <v>4000000</v>
      </c>
      <c r="P183" s="6" t="str">
        <f t="shared" ca="1" si="12"/>
        <v>已到期</v>
      </c>
    </row>
    <row r="184" spans="1:16" s="13" customFormat="1" ht="15.4">
      <c r="A184" s="9" t="s">
        <v>2</v>
      </c>
      <c r="B184" s="2" t="s">
        <v>17</v>
      </c>
      <c r="C184" s="2" t="s">
        <v>17</v>
      </c>
      <c r="D184" s="2" t="s">
        <v>25</v>
      </c>
      <c r="E184" s="6">
        <v>2</v>
      </c>
      <c r="F184" s="11">
        <v>0.12</v>
      </c>
      <c r="G184" s="14">
        <v>0.92949999999999999</v>
      </c>
      <c r="H184" s="3">
        <v>1274</v>
      </c>
      <c r="I184" s="3">
        <f t="shared" si="10"/>
        <v>1184.183</v>
      </c>
      <c r="J184" s="2">
        <v>46008</v>
      </c>
      <c r="K184" s="2">
        <f t="shared" si="13"/>
        <v>46015</v>
      </c>
      <c r="L184" s="2">
        <v>46077</v>
      </c>
      <c r="M184" s="2">
        <v>46079</v>
      </c>
      <c r="N184" s="7">
        <v>200000000</v>
      </c>
      <c r="O184" s="6">
        <f t="shared" si="11"/>
        <v>4000000</v>
      </c>
      <c r="P184" s="6" t="str">
        <f t="shared" ca="1" si="12"/>
        <v>已到期</v>
      </c>
    </row>
    <row r="185" spans="1:16" s="13" customFormat="1" ht="15.4">
      <c r="A185" s="9" t="s">
        <v>1</v>
      </c>
      <c r="B185" s="2" t="s">
        <v>17</v>
      </c>
      <c r="C185" s="2" t="s">
        <v>17</v>
      </c>
      <c r="D185" s="2" t="s">
        <v>25</v>
      </c>
      <c r="E185" s="6">
        <v>2</v>
      </c>
      <c r="F185" s="11">
        <v>0.12</v>
      </c>
      <c r="G185" s="14">
        <v>0.92610000000000003</v>
      </c>
      <c r="H185" s="3">
        <v>1330.5</v>
      </c>
      <c r="I185" s="3">
        <f t="shared" si="10"/>
        <v>1232.17605</v>
      </c>
      <c r="J185" s="2">
        <v>46008</v>
      </c>
      <c r="K185" s="2">
        <f t="shared" si="13"/>
        <v>46015</v>
      </c>
      <c r="L185" s="2">
        <v>46077</v>
      </c>
      <c r="M185" s="2">
        <v>46079</v>
      </c>
      <c r="N185" s="7">
        <v>200000000</v>
      </c>
      <c r="O185" s="6">
        <f t="shared" si="11"/>
        <v>4000000</v>
      </c>
      <c r="P185" s="6" t="str">
        <f t="shared" ca="1" si="12"/>
        <v>已到期</v>
      </c>
    </row>
    <row r="186" spans="1:16" s="13" customFormat="1" ht="15.4">
      <c r="A186" s="9" t="s">
        <v>18</v>
      </c>
      <c r="B186" s="2" t="s">
        <v>17</v>
      </c>
      <c r="C186" s="2" t="s">
        <v>17</v>
      </c>
      <c r="D186" s="10" t="s">
        <v>22</v>
      </c>
      <c r="E186" s="6">
        <v>2</v>
      </c>
      <c r="F186" s="29">
        <v>0.15</v>
      </c>
      <c r="G186" s="14">
        <v>0.84289999999999998</v>
      </c>
      <c r="H186" s="3">
        <v>3504.6860000000001</v>
      </c>
      <c r="I186" s="3">
        <f t="shared" si="10"/>
        <v>2954.0998294000001</v>
      </c>
      <c r="J186" s="2">
        <v>46006</v>
      </c>
      <c r="K186" s="2">
        <f t="shared" si="13"/>
        <v>46013</v>
      </c>
      <c r="L186" s="2">
        <v>46077</v>
      </c>
      <c r="M186" s="2">
        <v>46079</v>
      </c>
      <c r="N186" s="7">
        <v>200000000</v>
      </c>
      <c r="O186" s="6">
        <f t="shared" si="11"/>
        <v>5000000</v>
      </c>
      <c r="P186" s="6" t="str">
        <f t="shared" ca="1" si="12"/>
        <v>已到期</v>
      </c>
    </row>
    <row r="187" spans="1:16" s="13" customFormat="1" ht="15.4">
      <c r="A187" s="9" t="s">
        <v>18</v>
      </c>
      <c r="B187" s="2" t="s">
        <v>17</v>
      </c>
      <c r="C187" s="2" t="s">
        <v>17</v>
      </c>
      <c r="D187" s="10" t="s">
        <v>22</v>
      </c>
      <c r="E187" s="6">
        <v>2</v>
      </c>
      <c r="F187" s="29">
        <v>0.18</v>
      </c>
      <c r="G187" s="14">
        <v>0.87319999999999998</v>
      </c>
      <c r="H187" s="3">
        <v>3418.8881000000001</v>
      </c>
      <c r="I187" s="3">
        <f t="shared" si="10"/>
        <v>2985.3730889200001</v>
      </c>
      <c r="J187" s="2">
        <v>46007</v>
      </c>
      <c r="K187" s="2">
        <f t="shared" si="13"/>
        <v>46014</v>
      </c>
      <c r="L187" s="2">
        <v>46077</v>
      </c>
      <c r="M187" s="2">
        <v>46079</v>
      </c>
      <c r="N187" s="7">
        <v>200000000</v>
      </c>
      <c r="O187" s="6">
        <f t="shared" si="11"/>
        <v>6000000</v>
      </c>
      <c r="P187" s="6" t="str">
        <f t="shared" ca="1" si="12"/>
        <v>已到期</v>
      </c>
    </row>
    <row r="188" spans="1:16" s="13" customFormat="1" ht="15.4">
      <c r="A188" s="9" t="s">
        <v>18</v>
      </c>
      <c r="B188" s="2" t="s">
        <v>17</v>
      </c>
      <c r="C188" s="2" t="s">
        <v>17</v>
      </c>
      <c r="D188" s="10" t="s">
        <v>22</v>
      </c>
      <c r="E188" s="6">
        <v>2</v>
      </c>
      <c r="F188" s="29">
        <v>0.18</v>
      </c>
      <c r="G188" s="14">
        <v>0.86960000000000004</v>
      </c>
      <c r="H188" s="3">
        <v>3443.971</v>
      </c>
      <c r="I188" s="3">
        <f t="shared" ref="I188:I251" si="14">H188*G188</f>
        <v>2994.8771816000003</v>
      </c>
      <c r="J188" s="2">
        <v>46008</v>
      </c>
      <c r="K188" s="2">
        <f t="shared" si="13"/>
        <v>46015</v>
      </c>
      <c r="L188" s="2">
        <v>46077</v>
      </c>
      <c r="M188" s="2">
        <v>46079</v>
      </c>
      <c r="N188" s="7">
        <v>200000000</v>
      </c>
      <c r="O188" s="6">
        <f t="shared" si="11"/>
        <v>6000000</v>
      </c>
      <c r="P188" s="6" t="str">
        <f t="shared" ca="1" si="12"/>
        <v>已到期</v>
      </c>
    </row>
    <row r="189" spans="1:16" s="13" customFormat="1" ht="15.4">
      <c r="A189" s="9" t="s">
        <v>18</v>
      </c>
      <c r="B189" s="2" t="s">
        <v>17</v>
      </c>
      <c r="C189" s="2" t="s">
        <v>17</v>
      </c>
      <c r="D189" s="10" t="s">
        <v>22</v>
      </c>
      <c r="E189" s="6">
        <v>1</v>
      </c>
      <c r="F189" s="29">
        <v>0.2</v>
      </c>
      <c r="G189" s="14">
        <v>0.85629999999999995</v>
      </c>
      <c r="H189" s="3">
        <v>3575.2224000000001</v>
      </c>
      <c r="I189" s="3">
        <f t="shared" si="14"/>
        <v>3061.4629411199999</v>
      </c>
      <c r="J189" s="2">
        <v>46042</v>
      </c>
      <c r="K189" s="2">
        <v>46049</v>
      </c>
      <c r="L189" s="2">
        <v>46080</v>
      </c>
      <c r="M189" s="2">
        <v>46084</v>
      </c>
      <c r="N189" s="7">
        <v>300000000</v>
      </c>
      <c r="O189" s="6">
        <f t="shared" si="11"/>
        <v>5000000</v>
      </c>
      <c r="P189" s="6" t="str">
        <f t="shared" ca="1" si="12"/>
        <v>已到期</v>
      </c>
    </row>
    <row r="190" spans="1:16" s="13" customFormat="1" ht="15.4">
      <c r="A190" s="9" t="s">
        <v>2</v>
      </c>
      <c r="B190" s="2" t="s">
        <v>17</v>
      </c>
      <c r="C190" s="2" t="s">
        <v>17</v>
      </c>
      <c r="D190" s="2" t="s">
        <v>25</v>
      </c>
      <c r="E190" s="6">
        <v>3</v>
      </c>
      <c r="F190" s="11">
        <v>0.1</v>
      </c>
      <c r="G190" s="14">
        <v>0.87250000000000005</v>
      </c>
      <c r="H190" s="3">
        <v>5061.12</v>
      </c>
      <c r="I190" s="3">
        <f t="shared" si="14"/>
        <v>4415.8271999999997</v>
      </c>
      <c r="J190" s="2">
        <v>45992</v>
      </c>
      <c r="K190" s="2">
        <v>45999</v>
      </c>
      <c r="L190" s="2">
        <v>46090</v>
      </c>
      <c r="M190" s="2">
        <v>46092</v>
      </c>
      <c r="N190" s="7">
        <v>100000000</v>
      </c>
      <c r="O190" s="6">
        <f t="shared" si="11"/>
        <v>2500000</v>
      </c>
      <c r="P190" s="6" t="str">
        <f t="shared" ca="1" si="12"/>
        <v>已到期</v>
      </c>
    </row>
    <row r="191" spans="1:16" s="13" customFormat="1" ht="15.4">
      <c r="A191" s="9" t="s">
        <v>1</v>
      </c>
      <c r="B191" s="2" t="s">
        <v>17</v>
      </c>
      <c r="C191" s="2" t="s">
        <v>17</v>
      </c>
      <c r="D191" s="2" t="s">
        <v>25</v>
      </c>
      <c r="E191" s="6">
        <v>3</v>
      </c>
      <c r="F191" s="11">
        <v>0.1</v>
      </c>
      <c r="G191" s="14">
        <v>0.87570000000000003</v>
      </c>
      <c r="H191" s="3">
        <v>2675</v>
      </c>
      <c r="I191" s="3">
        <f t="shared" si="14"/>
        <v>2342.4974999999999</v>
      </c>
      <c r="J191" s="2">
        <v>45992</v>
      </c>
      <c r="K191" s="2">
        <v>45999</v>
      </c>
      <c r="L191" s="2">
        <v>46090</v>
      </c>
      <c r="M191" s="2">
        <v>46092</v>
      </c>
      <c r="N191" s="7">
        <v>100000000</v>
      </c>
      <c r="O191" s="6">
        <f t="shared" si="11"/>
        <v>2500000</v>
      </c>
      <c r="P191" s="6" t="str">
        <f t="shared" ca="1" si="12"/>
        <v>已到期</v>
      </c>
    </row>
    <row r="192" spans="1:16" s="13" customFormat="1" ht="15.4">
      <c r="A192" s="9" t="s">
        <v>2</v>
      </c>
      <c r="B192" s="2" t="s">
        <v>17</v>
      </c>
      <c r="C192" s="2" t="s">
        <v>17</v>
      </c>
      <c r="D192" s="2" t="s">
        <v>25</v>
      </c>
      <c r="E192" s="6">
        <v>3</v>
      </c>
      <c r="F192" s="11">
        <v>0.12</v>
      </c>
      <c r="G192" s="14">
        <v>0.87660000000000005</v>
      </c>
      <c r="H192" s="3">
        <v>4594</v>
      </c>
      <c r="I192" s="3">
        <f t="shared" si="14"/>
        <v>4027.1004000000003</v>
      </c>
      <c r="J192" s="2">
        <v>45993</v>
      </c>
      <c r="K192" s="2">
        <v>46000</v>
      </c>
      <c r="L192" s="2">
        <v>46090</v>
      </c>
      <c r="M192" s="2">
        <v>46092</v>
      </c>
      <c r="N192" s="7">
        <v>100000000</v>
      </c>
      <c r="O192" s="6">
        <f t="shared" si="11"/>
        <v>3000000</v>
      </c>
      <c r="P192" s="6" t="str">
        <f t="shared" ca="1" si="12"/>
        <v>已到期</v>
      </c>
    </row>
    <row r="193" spans="1:16" s="13" customFormat="1" ht="15.4">
      <c r="A193" s="9" t="s">
        <v>1</v>
      </c>
      <c r="B193" s="2" t="s">
        <v>17</v>
      </c>
      <c r="C193" s="2" t="s">
        <v>17</v>
      </c>
      <c r="D193" s="2" t="s">
        <v>25</v>
      </c>
      <c r="E193" s="6">
        <v>3</v>
      </c>
      <c r="F193" s="11">
        <v>0.12</v>
      </c>
      <c r="G193" s="14">
        <v>0.87660000000000005</v>
      </c>
      <c r="H193" s="3">
        <v>4594</v>
      </c>
      <c r="I193" s="3">
        <f t="shared" si="14"/>
        <v>4027.1004000000003</v>
      </c>
      <c r="J193" s="2">
        <v>45993</v>
      </c>
      <c r="K193" s="2">
        <v>46000</v>
      </c>
      <c r="L193" s="2">
        <v>46090</v>
      </c>
      <c r="M193" s="2">
        <v>46092</v>
      </c>
      <c r="N193" s="7">
        <v>100000000</v>
      </c>
      <c r="O193" s="6">
        <f t="shared" si="11"/>
        <v>3000000</v>
      </c>
      <c r="P193" s="6" t="str">
        <f t="shared" ca="1" si="12"/>
        <v>已到期</v>
      </c>
    </row>
    <row r="194" spans="1:16" s="13" customFormat="1" ht="15.4">
      <c r="A194" s="9" t="s">
        <v>2</v>
      </c>
      <c r="B194" s="2" t="s">
        <v>17</v>
      </c>
      <c r="C194" s="2" t="s">
        <v>17</v>
      </c>
      <c r="D194" s="2" t="s">
        <v>25</v>
      </c>
      <c r="E194" s="6">
        <v>3</v>
      </c>
      <c r="F194" s="11">
        <v>0.12</v>
      </c>
      <c r="G194" s="14">
        <v>0.90680000000000005</v>
      </c>
      <c r="H194" s="3">
        <v>3105.2919000000002</v>
      </c>
      <c r="I194" s="3">
        <f t="shared" si="14"/>
        <v>2815.8786949200003</v>
      </c>
      <c r="J194" s="2">
        <v>45994</v>
      </c>
      <c r="K194" s="2">
        <v>46001</v>
      </c>
      <c r="L194" s="2">
        <v>46091</v>
      </c>
      <c r="M194" s="2">
        <v>46093</v>
      </c>
      <c r="N194" s="7">
        <v>100000000</v>
      </c>
      <c r="O194" s="6">
        <f t="shared" ref="O194:O257" si="15">N194*F194*E194/12</f>
        <v>3000000</v>
      </c>
      <c r="P194" s="6" t="str">
        <f t="shared" ref="P194:P257" ca="1" si="16">IF(TODAY()&gt;=L194, "已到期", "未到期")</f>
        <v>已到期</v>
      </c>
    </row>
    <row r="195" spans="1:16" s="13" customFormat="1" ht="15.4">
      <c r="A195" s="9" t="s">
        <v>1</v>
      </c>
      <c r="B195" s="2" t="s">
        <v>17</v>
      </c>
      <c r="C195" s="2" t="s">
        <v>17</v>
      </c>
      <c r="D195" s="2" t="s">
        <v>25</v>
      </c>
      <c r="E195" s="6">
        <v>3</v>
      </c>
      <c r="F195" s="11">
        <v>0.12</v>
      </c>
      <c r="G195" s="14">
        <v>0.90790000000000004</v>
      </c>
      <c r="H195" s="3">
        <v>4825.9537</v>
      </c>
      <c r="I195" s="3">
        <f t="shared" si="14"/>
        <v>4381.48336423</v>
      </c>
      <c r="J195" s="2">
        <v>45994</v>
      </c>
      <c r="K195" s="2">
        <v>46001</v>
      </c>
      <c r="L195" s="2">
        <v>46091</v>
      </c>
      <c r="M195" s="2">
        <v>46093</v>
      </c>
      <c r="N195" s="7">
        <v>100000000</v>
      </c>
      <c r="O195" s="6">
        <f t="shared" si="15"/>
        <v>3000000</v>
      </c>
      <c r="P195" s="6" t="str">
        <f t="shared" ca="1" si="16"/>
        <v>已到期</v>
      </c>
    </row>
    <row r="196" spans="1:16" s="13" customFormat="1" ht="15.4">
      <c r="A196" s="9" t="s">
        <v>0</v>
      </c>
      <c r="B196" s="2" t="s">
        <v>17</v>
      </c>
      <c r="C196" s="2" t="s">
        <v>17</v>
      </c>
      <c r="D196" s="2" t="s">
        <v>25</v>
      </c>
      <c r="E196" s="6">
        <v>3</v>
      </c>
      <c r="F196" s="11">
        <v>0.12</v>
      </c>
      <c r="G196" s="14">
        <v>0.90790000000000004</v>
      </c>
      <c r="H196" s="3">
        <v>4825.9537</v>
      </c>
      <c r="I196" s="3">
        <f t="shared" si="14"/>
        <v>4381.48336423</v>
      </c>
      <c r="J196" s="2">
        <v>45994</v>
      </c>
      <c r="K196" s="2">
        <v>46001</v>
      </c>
      <c r="L196" s="2">
        <v>46091</v>
      </c>
      <c r="M196" s="2">
        <v>46093</v>
      </c>
      <c r="N196" s="7">
        <v>100000000</v>
      </c>
      <c r="O196" s="6">
        <f t="shared" si="15"/>
        <v>3000000</v>
      </c>
      <c r="P196" s="6" t="str">
        <f t="shared" ca="1" si="16"/>
        <v>已到期</v>
      </c>
    </row>
    <row r="197" spans="1:16" s="13" customFormat="1" ht="15.4">
      <c r="A197" s="9" t="s">
        <v>2</v>
      </c>
      <c r="B197" s="2" t="s">
        <v>17</v>
      </c>
      <c r="C197" s="2" t="s">
        <v>17</v>
      </c>
      <c r="D197" s="2" t="s">
        <v>25</v>
      </c>
      <c r="E197" s="6">
        <v>3</v>
      </c>
      <c r="F197" s="11">
        <v>0.12</v>
      </c>
      <c r="G197" s="14">
        <v>0.88300000000000001</v>
      </c>
      <c r="H197" s="3">
        <v>5029.6000000000004</v>
      </c>
      <c r="I197" s="3">
        <f t="shared" si="14"/>
        <v>4441.1368000000002</v>
      </c>
      <c r="J197" s="2">
        <v>45999</v>
      </c>
      <c r="K197" s="2">
        <v>46006</v>
      </c>
      <c r="L197" s="2">
        <v>46097</v>
      </c>
      <c r="M197" s="2">
        <v>46099</v>
      </c>
      <c r="N197" s="7">
        <v>100000000</v>
      </c>
      <c r="O197" s="6">
        <f t="shared" si="15"/>
        <v>3000000</v>
      </c>
      <c r="P197" s="6" t="str">
        <f t="shared" ca="1" si="16"/>
        <v>已到期</v>
      </c>
    </row>
    <row r="198" spans="1:16" s="13" customFormat="1" ht="15.4">
      <c r="A198" s="9" t="s">
        <v>1</v>
      </c>
      <c r="B198" s="2" t="s">
        <v>17</v>
      </c>
      <c r="C198" s="2" t="s">
        <v>17</v>
      </c>
      <c r="D198" s="2" t="s">
        <v>25</v>
      </c>
      <c r="E198" s="6">
        <v>3</v>
      </c>
      <c r="F198" s="11">
        <v>0.12</v>
      </c>
      <c r="G198" s="14">
        <v>0.89</v>
      </c>
      <c r="H198" s="3">
        <v>2712.7773000000002</v>
      </c>
      <c r="I198" s="3">
        <f t="shared" si="14"/>
        <v>2414.3717970000002</v>
      </c>
      <c r="J198" s="2">
        <v>45999</v>
      </c>
      <c r="K198" s="2">
        <v>46006</v>
      </c>
      <c r="L198" s="2">
        <v>46097</v>
      </c>
      <c r="M198" s="2">
        <v>46099</v>
      </c>
      <c r="N198" s="7">
        <v>100000000</v>
      </c>
      <c r="O198" s="6">
        <f t="shared" si="15"/>
        <v>3000000</v>
      </c>
      <c r="P198" s="6" t="str">
        <f t="shared" ca="1" si="16"/>
        <v>已到期</v>
      </c>
    </row>
    <row r="199" spans="1:16" s="13" customFormat="1" ht="15.4">
      <c r="A199" s="9" t="s">
        <v>2</v>
      </c>
      <c r="B199" s="2" t="s">
        <v>17</v>
      </c>
      <c r="C199" s="2" t="s">
        <v>17</v>
      </c>
      <c r="D199" s="2" t="s">
        <v>25</v>
      </c>
      <c r="E199" s="6">
        <v>3</v>
      </c>
      <c r="F199" s="11">
        <v>0.12</v>
      </c>
      <c r="G199" s="14">
        <v>0.87390000000000001</v>
      </c>
      <c r="H199" s="3">
        <v>4620</v>
      </c>
      <c r="I199" s="3">
        <f t="shared" si="14"/>
        <v>4037.4180000000001</v>
      </c>
      <c r="J199" s="2">
        <v>46000</v>
      </c>
      <c r="K199" s="2">
        <v>46007</v>
      </c>
      <c r="L199" s="2">
        <v>46097</v>
      </c>
      <c r="M199" s="2">
        <v>46099</v>
      </c>
      <c r="N199" s="7">
        <v>100000000</v>
      </c>
      <c r="O199" s="6">
        <f t="shared" si="15"/>
        <v>3000000</v>
      </c>
      <c r="P199" s="6" t="str">
        <f t="shared" ca="1" si="16"/>
        <v>已到期</v>
      </c>
    </row>
    <row r="200" spans="1:16" s="13" customFormat="1" ht="15.4">
      <c r="A200" s="9" t="s">
        <v>1</v>
      </c>
      <c r="B200" s="2" t="s">
        <v>17</v>
      </c>
      <c r="C200" s="2" t="s">
        <v>17</v>
      </c>
      <c r="D200" s="2" t="s">
        <v>25</v>
      </c>
      <c r="E200" s="6">
        <v>3</v>
      </c>
      <c r="F200" s="11">
        <v>0.12</v>
      </c>
      <c r="G200" s="14">
        <v>0.87390000000000001</v>
      </c>
      <c r="H200" s="3">
        <v>4626</v>
      </c>
      <c r="I200" s="3">
        <f t="shared" si="14"/>
        <v>4042.6614</v>
      </c>
      <c r="J200" s="2">
        <v>46000</v>
      </c>
      <c r="K200" s="2">
        <v>46007</v>
      </c>
      <c r="L200" s="2">
        <v>46097</v>
      </c>
      <c r="M200" s="2">
        <v>46099</v>
      </c>
      <c r="N200" s="7">
        <v>100000000</v>
      </c>
      <c r="O200" s="6">
        <f t="shared" si="15"/>
        <v>3000000</v>
      </c>
      <c r="P200" s="6" t="str">
        <f t="shared" ca="1" si="16"/>
        <v>已到期</v>
      </c>
    </row>
    <row r="201" spans="1:16" s="13" customFormat="1" ht="15.4">
      <c r="A201" s="9" t="s">
        <v>0</v>
      </c>
      <c r="B201" s="2" t="s">
        <v>17</v>
      </c>
      <c r="C201" s="2" t="s">
        <v>17</v>
      </c>
      <c r="D201" s="2" t="s">
        <v>25</v>
      </c>
      <c r="E201" s="6">
        <v>3</v>
      </c>
      <c r="F201" s="11">
        <v>0.12</v>
      </c>
      <c r="G201" s="14">
        <v>0.87390000000000001</v>
      </c>
      <c r="H201" s="3">
        <v>4628</v>
      </c>
      <c r="I201" s="3">
        <f t="shared" si="14"/>
        <v>4044.4092000000001</v>
      </c>
      <c r="J201" s="2">
        <v>46000</v>
      </c>
      <c r="K201" s="2">
        <v>46007</v>
      </c>
      <c r="L201" s="2">
        <v>46097</v>
      </c>
      <c r="M201" s="2">
        <v>46099</v>
      </c>
      <c r="N201" s="7">
        <v>100000000</v>
      </c>
      <c r="O201" s="6">
        <f t="shared" si="15"/>
        <v>3000000</v>
      </c>
      <c r="P201" s="6" t="str">
        <f t="shared" ca="1" si="16"/>
        <v>已到期</v>
      </c>
    </row>
    <row r="202" spans="1:16" s="13" customFormat="1" ht="15.4">
      <c r="A202" s="9" t="s">
        <v>18</v>
      </c>
      <c r="B202" s="2" t="s">
        <v>17</v>
      </c>
      <c r="C202" s="2" t="s">
        <v>17</v>
      </c>
      <c r="D202" s="10" t="s">
        <v>16</v>
      </c>
      <c r="E202" s="6">
        <v>3</v>
      </c>
      <c r="F202" s="29">
        <v>0.12</v>
      </c>
      <c r="G202" s="14">
        <v>0.96089999999999998</v>
      </c>
      <c r="H202" s="3">
        <v>1750.86</v>
      </c>
      <c r="I202" s="3">
        <f t="shared" si="14"/>
        <v>1682.4013739999998</v>
      </c>
      <c r="J202" s="2">
        <v>45999</v>
      </c>
      <c r="K202" s="2">
        <v>46006</v>
      </c>
      <c r="L202" s="2">
        <v>46097</v>
      </c>
      <c r="M202" s="2">
        <v>46099</v>
      </c>
      <c r="N202" s="7">
        <v>200000000</v>
      </c>
      <c r="O202" s="6">
        <f t="shared" si="15"/>
        <v>6000000</v>
      </c>
      <c r="P202" s="6" t="str">
        <f t="shared" ca="1" si="16"/>
        <v>已到期</v>
      </c>
    </row>
    <row r="203" spans="1:16" s="13" customFormat="1" ht="15.4">
      <c r="A203" s="9" t="s">
        <v>18</v>
      </c>
      <c r="B203" s="2" t="s">
        <v>17</v>
      </c>
      <c r="C203" s="2" t="s">
        <v>17</v>
      </c>
      <c r="D203" s="10" t="s">
        <v>16</v>
      </c>
      <c r="E203" s="6">
        <v>3</v>
      </c>
      <c r="F203" s="29">
        <v>0.12</v>
      </c>
      <c r="G203" s="14">
        <v>0.96209999999999996</v>
      </c>
      <c r="H203" s="3">
        <v>1744.62</v>
      </c>
      <c r="I203" s="3">
        <f t="shared" si="14"/>
        <v>1678.4989019999998</v>
      </c>
      <c r="J203" s="2">
        <v>46000</v>
      </c>
      <c r="K203" s="2">
        <v>46007</v>
      </c>
      <c r="L203" s="2">
        <v>46097</v>
      </c>
      <c r="M203" s="2">
        <v>46099</v>
      </c>
      <c r="N203" s="7">
        <v>200000000</v>
      </c>
      <c r="O203" s="6">
        <f t="shared" si="15"/>
        <v>6000000</v>
      </c>
      <c r="P203" s="6" t="str">
        <f t="shared" ca="1" si="16"/>
        <v>已到期</v>
      </c>
    </row>
    <row r="204" spans="1:16" s="13" customFormat="1" ht="15.4">
      <c r="A204" s="9" t="s">
        <v>1</v>
      </c>
      <c r="B204" s="2" t="s">
        <v>17</v>
      </c>
      <c r="C204" s="2" t="s">
        <v>17</v>
      </c>
      <c r="D204" s="2" t="s">
        <v>25</v>
      </c>
      <c r="E204" s="6">
        <v>3</v>
      </c>
      <c r="F204" s="11">
        <v>0.12</v>
      </c>
      <c r="G204" s="14">
        <v>0.88470000000000004</v>
      </c>
      <c r="H204" s="3">
        <v>5032</v>
      </c>
      <c r="I204" s="3">
        <f t="shared" si="14"/>
        <v>4451.8104000000003</v>
      </c>
      <c r="J204" s="2">
        <v>46001</v>
      </c>
      <c r="K204" s="2">
        <v>46008</v>
      </c>
      <c r="L204" s="2">
        <v>46098</v>
      </c>
      <c r="M204" s="2">
        <v>46100</v>
      </c>
      <c r="N204" s="7">
        <v>100000000</v>
      </c>
      <c r="O204" s="6">
        <f t="shared" si="15"/>
        <v>3000000</v>
      </c>
      <c r="P204" s="6" t="str">
        <f t="shared" ca="1" si="16"/>
        <v>已到期</v>
      </c>
    </row>
    <row r="205" spans="1:16" s="13" customFormat="1" ht="15.4">
      <c r="A205" s="9" t="s">
        <v>18</v>
      </c>
      <c r="B205" s="2" t="s">
        <v>17</v>
      </c>
      <c r="C205" s="2" t="s">
        <v>17</v>
      </c>
      <c r="D205" s="10" t="s">
        <v>16</v>
      </c>
      <c r="E205" s="6">
        <v>3</v>
      </c>
      <c r="F205" s="29">
        <v>0.12</v>
      </c>
      <c r="G205" s="14">
        <v>0.96209999999999996</v>
      </c>
      <c r="H205" s="3">
        <v>1754.9558</v>
      </c>
      <c r="I205" s="3">
        <f t="shared" si="14"/>
        <v>1688.4429751799998</v>
      </c>
      <c r="J205" s="2">
        <v>46001</v>
      </c>
      <c r="K205" s="2">
        <v>46008</v>
      </c>
      <c r="L205" s="2">
        <v>46098</v>
      </c>
      <c r="M205" s="2">
        <v>46100</v>
      </c>
      <c r="N205" s="7">
        <v>200000000</v>
      </c>
      <c r="O205" s="6">
        <f t="shared" si="15"/>
        <v>6000000</v>
      </c>
      <c r="P205" s="6" t="str">
        <f t="shared" ca="1" si="16"/>
        <v>已到期</v>
      </c>
    </row>
    <row r="206" spans="1:16" s="13" customFormat="1" ht="15.4">
      <c r="A206" s="9" t="s">
        <v>2</v>
      </c>
      <c r="B206" s="2" t="s">
        <v>17</v>
      </c>
      <c r="C206" s="2" t="s">
        <v>17</v>
      </c>
      <c r="D206" s="2" t="s">
        <v>25</v>
      </c>
      <c r="E206" s="6">
        <v>3</v>
      </c>
      <c r="F206" s="11">
        <v>0.12</v>
      </c>
      <c r="G206" s="14">
        <v>0.90710000000000002</v>
      </c>
      <c r="H206" s="3">
        <v>4969.2439000000004</v>
      </c>
      <c r="I206" s="3">
        <f t="shared" si="14"/>
        <v>4507.6011416900001</v>
      </c>
      <c r="J206" s="2">
        <v>46002</v>
      </c>
      <c r="K206" s="2">
        <v>46009</v>
      </c>
      <c r="L206" s="2">
        <v>46099</v>
      </c>
      <c r="M206" s="2">
        <v>46104</v>
      </c>
      <c r="N206" s="7">
        <v>100000000</v>
      </c>
      <c r="O206" s="6">
        <f t="shared" si="15"/>
        <v>3000000</v>
      </c>
      <c r="P206" s="6" t="str">
        <f t="shared" ca="1" si="16"/>
        <v>已到期</v>
      </c>
    </row>
    <row r="207" spans="1:16" s="13" customFormat="1" ht="15.4">
      <c r="A207" s="9" t="s">
        <v>1</v>
      </c>
      <c r="B207" s="2" t="s">
        <v>17</v>
      </c>
      <c r="C207" s="2" t="s">
        <v>17</v>
      </c>
      <c r="D207" s="2" t="s">
        <v>25</v>
      </c>
      <c r="E207" s="6">
        <v>3</v>
      </c>
      <c r="F207" s="11">
        <v>0.12</v>
      </c>
      <c r="G207" s="14">
        <v>0.90710000000000002</v>
      </c>
      <c r="H207" s="3">
        <v>4969.2439000000004</v>
      </c>
      <c r="I207" s="3">
        <f t="shared" si="14"/>
        <v>4507.6011416900001</v>
      </c>
      <c r="J207" s="2">
        <v>46002</v>
      </c>
      <c r="K207" s="2">
        <v>46009</v>
      </c>
      <c r="L207" s="2">
        <v>46099</v>
      </c>
      <c r="M207" s="2">
        <v>46104</v>
      </c>
      <c r="N207" s="7">
        <v>100000000</v>
      </c>
      <c r="O207" s="6">
        <f t="shared" si="15"/>
        <v>3000000</v>
      </c>
      <c r="P207" s="6" t="str">
        <f t="shared" ca="1" si="16"/>
        <v>已到期</v>
      </c>
    </row>
    <row r="208" spans="1:16" s="13" customFormat="1" ht="15.4">
      <c r="A208" s="9" t="s">
        <v>18</v>
      </c>
      <c r="B208" s="2" t="s">
        <v>17</v>
      </c>
      <c r="C208" s="2" t="s">
        <v>17</v>
      </c>
      <c r="D208" s="10" t="s">
        <v>22</v>
      </c>
      <c r="E208" s="6">
        <v>3</v>
      </c>
      <c r="F208" s="29">
        <v>0.12</v>
      </c>
      <c r="G208" s="14">
        <v>0.82030000000000003</v>
      </c>
      <c r="H208" s="3">
        <v>3686.0884999999998</v>
      </c>
      <c r="I208" s="3">
        <f t="shared" si="14"/>
        <v>3023.6983965499999</v>
      </c>
      <c r="J208" s="2">
        <v>46002</v>
      </c>
      <c r="K208" s="2">
        <f>J208+7</f>
        <v>46009</v>
      </c>
      <c r="L208" s="2">
        <v>46099</v>
      </c>
      <c r="M208" s="2">
        <v>46104</v>
      </c>
      <c r="N208" s="7">
        <v>200000000</v>
      </c>
      <c r="O208" s="6">
        <f t="shared" si="15"/>
        <v>6000000</v>
      </c>
      <c r="P208" s="6" t="str">
        <f t="shared" ca="1" si="16"/>
        <v>已到期</v>
      </c>
    </row>
    <row r="209" spans="1:16" s="13" customFormat="1" ht="15.4">
      <c r="A209" s="9" t="s">
        <v>18</v>
      </c>
      <c r="B209" s="2" t="s">
        <v>17</v>
      </c>
      <c r="C209" s="2" t="s">
        <v>17</v>
      </c>
      <c r="D209" s="10" t="s">
        <v>22</v>
      </c>
      <c r="E209" s="6">
        <v>3</v>
      </c>
      <c r="F209" s="29">
        <v>0.12</v>
      </c>
      <c r="G209" s="14">
        <v>0.82030000000000003</v>
      </c>
      <c r="H209" s="3">
        <v>3649.4553999999998</v>
      </c>
      <c r="I209" s="3">
        <f t="shared" si="14"/>
        <v>2993.6482646200002</v>
      </c>
      <c r="J209" s="2">
        <v>46002</v>
      </c>
      <c r="K209" s="2">
        <f>J209+7</f>
        <v>46009</v>
      </c>
      <c r="L209" s="2">
        <v>46099</v>
      </c>
      <c r="M209" s="2">
        <v>46104</v>
      </c>
      <c r="N209" s="7">
        <v>200000000</v>
      </c>
      <c r="O209" s="6">
        <f t="shared" si="15"/>
        <v>6000000</v>
      </c>
      <c r="P209" s="6" t="str">
        <f t="shared" ca="1" si="16"/>
        <v>已到期</v>
      </c>
    </row>
    <row r="210" spans="1:16" s="13" customFormat="1" ht="15.4">
      <c r="A210" s="9" t="s">
        <v>18</v>
      </c>
      <c r="B210" s="2" t="s">
        <v>17</v>
      </c>
      <c r="C210" s="2" t="s">
        <v>17</v>
      </c>
      <c r="D210" s="10" t="s">
        <v>22</v>
      </c>
      <c r="E210" s="6">
        <v>3</v>
      </c>
      <c r="F210" s="29">
        <v>0.12</v>
      </c>
      <c r="G210" s="14">
        <v>0.82030000000000003</v>
      </c>
      <c r="H210" s="3">
        <v>3637</v>
      </c>
      <c r="I210" s="3">
        <f t="shared" si="14"/>
        <v>2983.4311000000002</v>
      </c>
      <c r="J210" s="2">
        <v>46003</v>
      </c>
      <c r="K210" s="2">
        <f>J210+7</f>
        <v>46010</v>
      </c>
      <c r="L210" s="2">
        <v>46100</v>
      </c>
      <c r="M210" s="2">
        <v>46105</v>
      </c>
      <c r="N210" s="7">
        <v>200000000</v>
      </c>
      <c r="O210" s="6">
        <f t="shared" si="15"/>
        <v>6000000</v>
      </c>
      <c r="P210" s="6" t="str">
        <f t="shared" ca="1" si="16"/>
        <v>已到期</v>
      </c>
    </row>
    <row r="211" spans="1:16" s="13" customFormat="1" ht="15.4">
      <c r="A211" s="9" t="s">
        <v>2</v>
      </c>
      <c r="B211" s="2" t="s">
        <v>17</v>
      </c>
      <c r="C211" s="2" t="s">
        <v>17</v>
      </c>
      <c r="D211" s="2" t="s">
        <v>25</v>
      </c>
      <c r="E211" s="6">
        <v>3</v>
      </c>
      <c r="F211" s="11">
        <v>0.12</v>
      </c>
      <c r="G211" s="14">
        <v>0.89749999999999996</v>
      </c>
      <c r="H211" s="3">
        <v>2880.6131</v>
      </c>
      <c r="I211" s="3">
        <f t="shared" si="14"/>
        <v>2585.3502572500001</v>
      </c>
      <c r="J211" s="2">
        <v>46006</v>
      </c>
      <c r="K211" s="2">
        <f>J211+7</f>
        <v>46013</v>
      </c>
      <c r="L211" s="2">
        <v>46104</v>
      </c>
      <c r="M211" s="2">
        <v>46106</v>
      </c>
      <c r="N211" s="7">
        <v>100000000</v>
      </c>
      <c r="O211" s="6">
        <f t="shared" si="15"/>
        <v>3000000</v>
      </c>
      <c r="P211" s="6" t="str">
        <f t="shared" ca="1" si="16"/>
        <v>已到期</v>
      </c>
    </row>
    <row r="212" spans="1:16" s="13" customFormat="1" ht="15.4">
      <c r="A212" s="9" t="s">
        <v>1</v>
      </c>
      <c r="B212" s="2" t="s">
        <v>17</v>
      </c>
      <c r="C212" s="2" t="s">
        <v>17</v>
      </c>
      <c r="D212" s="2" t="s">
        <v>25</v>
      </c>
      <c r="E212" s="6">
        <v>3</v>
      </c>
      <c r="F212" s="11">
        <v>0.12</v>
      </c>
      <c r="G212" s="14">
        <v>0.89749999999999996</v>
      </c>
      <c r="H212" s="3">
        <v>2867</v>
      </c>
      <c r="I212" s="3">
        <f t="shared" si="14"/>
        <v>2573.1324999999997</v>
      </c>
      <c r="J212" s="2">
        <v>46006</v>
      </c>
      <c r="K212" s="2">
        <f>J212+7</f>
        <v>46013</v>
      </c>
      <c r="L212" s="2">
        <v>46104</v>
      </c>
      <c r="M212" s="2">
        <v>46106</v>
      </c>
      <c r="N212" s="7">
        <v>100000000</v>
      </c>
      <c r="O212" s="6">
        <f t="shared" si="15"/>
        <v>3000000</v>
      </c>
      <c r="P212" s="6" t="str">
        <f t="shared" ca="1" si="16"/>
        <v>已到期</v>
      </c>
    </row>
    <row r="213" spans="1:16" s="13" customFormat="1" ht="15.4">
      <c r="A213" s="9" t="s">
        <v>2</v>
      </c>
      <c r="B213" s="2" t="s">
        <v>17</v>
      </c>
      <c r="C213" s="2" t="s">
        <v>17</v>
      </c>
      <c r="D213" s="2" t="s">
        <v>25</v>
      </c>
      <c r="E213" s="6">
        <v>3</v>
      </c>
      <c r="F213" s="11">
        <v>0.12</v>
      </c>
      <c r="G213" s="14">
        <v>0.89390000000000003</v>
      </c>
      <c r="H213" s="3">
        <v>2368</v>
      </c>
      <c r="I213" s="3">
        <f t="shared" si="14"/>
        <v>2116.7552000000001</v>
      </c>
      <c r="J213" s="2">
        <v>46013</v>
      </c>
      <c r="K213" s="2">
        <v>46020</v>
      </c>
      <c r="L213" s="2">
        <v>46111</v>
      </c>
      <c r="M213" s="2">
        <v>46113</v>
      </c>
      <c r="N213" s="7">
        <v>100000000</v>
      </c>
      <c r="O213" s="6">
        <f t="shared" si="15"/>
        <v>3000000</v>
      </c>
      <c r="P213" s="6" t="str">
        <f t="shared" ca="1" si="16"/>
        <v>已到期</v>
      </c>
    </row>
    <row r="214" spans="1:16" s="13" customFormat="1" ht="15.4">
      <c r="A214" s="9" t="s">
        <v>2</v>
      </c>
      <c r="B214" s="2" t="s">
        <v>17</v>
      </c>
      <c r="C214" s="2" t="s">
        <v>17</v>
      </c>
      <c r="D214" s="2" t="s">
        <v>25</v>
      </c>
      <c r="E214" s="6">
        <v>3</v>
      </c>
      <c r="F214" s="11">
        <v>0.12</v>
      </c>
      <c r="G214" s="14">
        <v>0.88800000000000001</v>
      </c>
      <c r="H214" s="3">
        <v>1360.1748</v>
      </c>
      <c r="I214" s="3">
        <f t="shared" si="14"/>
        <v>1207.8352224</v>
      </c>
      <c r="J214" s="2">
        <v>46013</v>
      </c>
      <c r="K214" s="2">
        <v>46020</v>
      </c>
      <c r="L214" s="2">
        <v>46111</v>
      </c>
      <c r="M214" s="2">
        <v>46113</v>
      </c>
      <c r="N214" s="7">
        <v>200000000</v>
      </c>
      <c r="O214" s="6">
        <f t="shared" si="15"/>
        <v>6000000</v>
      </c>
      <c r="P214" s="6" t="str">
        <f t="shared" ca="1" si="16"/>
        <v>已到期</v>
      </c>
    </row>
    <row r="215" spans="1:16" s="13" customFormat="1" ht="15.4">
      <c r="A215" s="9" t="s">
        <v>1</v>
      </c>
      <c r="B215" s="2" t="s">
        <v>17</v>
      </c>
      <c r="C215" s="2" t="s">
        <v>17</v>
      </c>
      <c r="D215" s="2" t="s">
        <v>25</v>
      </c>
      <c r="E215" s="6">
        <v>3</v>
      </c>
      <c r="F215" s="11">
        <v>0.12</v>
      </c>
      <c r="G215" s="14">
        <v>0.88849999999999996</v>
      </c>
      <c r="H215" s="3">
        <v>2473.6442999999999</v>
      </c>
      <c r="I215" s="3">
        <f t="shared" si="14"/>
        <v>2197.8329605499998</v>
      </c>
      <c r="J215" s="2">
        <v>46013</v>
      </c>
      <c r="K215" s="2">
        <v>46020</v>
      </c>
      <c r="L215" s="2">
        <v>46111</v>
      </c>
      <c r="M215" s="2">
        <v>46113</v>
      </c>
      <c r="N215" s="7">
        <v>100000000</v>
      </c>
      <c r="O215" s="6">
        <f t="shared" si="15"/>
        <v>3000000</v>
      </c>
      <c r="P215" s="6" t="str">
        <f t="shared" ca="1" si="16"/>
        <v>已到期</v>
      </c>
    </row>
    <row r="216" spans="1:16" s="13" customFormat="1" ht="15.4">
      <c r="A216" s="9" t="s">
        <v>1</v>
      </c>
      <c r="B216" s="2" t="s">
        <v>17</v>
      </c>
      <c r="C216" s="2" t="s">
        <v>17</v>
      </c>
      <c r="D216" s="2" t="s">
        <v>25</v>
      </c>
      <c r="E216" s="6">
        <v>3</v>
      </c>
      <c r="F216" s="11">
        <v>0.12</v>
      </c>
      <c r="G216" s="14">
        <v>0.88880000000000003</v>
      </c>
      <c r="H216" s="3">
        <v>2974.98</v>
      </c>
      <c r="I216" s="3">
        <f t="shared" si="14"/>
        <v>2644.1622240000002</v>
      </c>
      <c r="J216" s="2">
        <v>46013</v>
      </c>
      <c r="K216" s="2">
        <v>46020</v>
      </c>
      <c r="L216" s="2">
        <v>46111</v>
      </c>
      <c r="M216" s="2">
        <v>46113</v>
      </c>
      <c r="N216" s="7">
        <v>100000000</v>
      </c>
      <c r="O216" s="6">
        <f t="shared" si="15"/>
        <v>3000000</v>
      </c>
      <c r="P216" s="6" t="str">
        <f t="shared" ca="1" si="16"/>
        <v>已到期</v>
      </c>
    </row>
    <row r="217" spans="1:16" s="13" customFormat="1" ht="15.4">
      <c r="A217" s="9" t="s">
        <v>1</v>
      </c>
      <c r="B217" s="2" t="s">
        <v>17</v>
      </c>
      <c r="C217" s="2" t="s">
        <v>17</v>
      </c>
      <c r="D217" s="2" t="s">
        <v>25</v>
      </c>
      <c r="E217" s="6">
        <v>3</v>
      </c>
      <c r="F217" s="11">
        <v>0.12</v>
      </c>
      <c r="G217" s="14">
        <v>0.89429999999999998</v>
      </c>
      <c r="H217" s="3">
        <v>5446.4166999999998</v>
      </c>
      <c r="I217" s="3">
        <f t="shared" si="14"/>
        <v>4870.7304548100001</v>
      </c>
      <c r="J217" s="2">
        <v>46013</v>
      </c>
      <c r="K217" s="2">
        <v>46020</v>
      </c>
      <c r="L217" s="2">
        <v>46111</v>
      </c>
      <c r="M217" s="2">
        <v>46113</v>
      </c>
      <c r="N217" s="7">
        <v>100000000</v>
      </c>
      <c r="O217" s="6">
        <f t="shared" si="15"/>
        <v>3000000</v>
      </c>
      <c r="P217" s="6" t="str">
        <f t="shared" ca="1" si="16"/>
        <v>已到期</v>
      </c>
    </row>
    <row r="218" spans="1:16" s="13" customFormat="1" ht="15.4">
      <c r="A218" s="9" t="s">
        <v>0</v>
      </c>
      <c r="B218" s="2" t="s">
        <v>17</v>
      </c>
      <c r="C218" s="2" t="s">
        <v>17</v>
      </c>
      <c r="D218" s="2" t="s">
        <v>25</v>
      </c>
      <c r="E218" s="6">
        <v>3</v>
      </c>
      <c r="F218" s="11">
        <v>0.12</v>
      </c>
      <c r="G218" s="14">
        <v>0.88700000000000001</v>
      </c>
      <c r="H218" s="3">
        <v>3185.15</v>
      </c>
      <c r="I218" s="3">
        <f t="shared" si="14"/>
        <v>2825.2280500000002</v>
      </c>
      <c r="J218" s="2">
        <v>46013</v>
      </c>
      <c r="K218" s="2">
        <v>46020</v>
      </c>
      <c r="L218" s="2">
        <v>46111</v>
      </c>
      <c r="M218" s="2">
        <v>46113</v>
      </c>
      <c r="N218" s="7">
        <v>100000000</v>
      </c>
      <c r="O218" s="6">
        <f t="shared" si="15"/>
        <v>3000000</v>
      </c>
      <c r="P218" s="6" t="str">
        <f t="shared" ca="1" si="16"/>
        <v>已到期</v>
      </c>
    </row>
    <row r="219" spans="1:16" s="13" customFormat="1" ht="15.4">
      <c r="A219" s="9" t="s">
        <v>2</v>
      </c>
      <c r="B219" s="2" t="s">
        <v>17</v>
      </c>
      <c r="C219" s="2" t="s">
        <v>17</v>
      </c>
      <c r="D219" s="2" t="s">
        <v>25</v>
      </c>
      <c r="E219" s="6">
        <v>3</v>
      </c>
      <c r="F219" s="11">
        <v>0.12</v>
      </c>
      <c r="G219" s="14">
        <v>0.86680000000000001</v>
      </c>
      <c r="H219" s="3">
        <v>4639.68</v>
      </c>
      <c r="I219" s="3">
        <f t="shared" si="14"/>
        <v>4021.6746240000002</v>
      </c>
      <c r="J219" s="2">
        <v>46014</v>
      </c>
      <c r="K219" s="2">
        <v>46021</v>
      </c>
      <c r="L219" s="2">
        <v>46111</v>
      </c>
      <c r="M219" s="2">
        <v>46113</v>
      </c>
      <c r="N219" s="7">
        <v>100000000</v>
      </c>
      <c r="O219" s="6">
        <f t="shared" si="15"/>
        <v>3000000</v>
      </c>
      <c r="P219" s="6" t="str">
        <f t="shared" ca="1" si="16"/>
        <v>已到期</v>
      </c>
    </row>
    <row r="220" spans="1:16" s="13" customFormat="1" ht="15.4">
      <c r="A220" s="9" t="s">
        <v>2</v>
      </c>
      <c r="B220" s="2" t="s">
        <v>17</v>
      </c>
      <c r="C220" s="2" t="s">
        <v>17</v>
      </c>
      <c r="D220" s="2" t="s">
        <v>25</v>
      </c>
      <c r="E220" s="6">
        <v>3</v>
      </c>
      <c r="F220" s="11">
        <v>0.12</v>
      </c>
      <c r="G220" s="14">
        <v>0.87729999999999997</v>
      </c>
      <c r="H220" s="3">
        <v>4977.63</v>
      </c>
      <c r="I220" s="3">
        <f t="shared" si="14"/>
        <v>4366.8747990000002</v>
      </c>
      <c r="J220" s="2">
        <v>46014</v>
      </c>
      <c r="K220" s="2">
        <v>46021</v>
      </c>
      <c r="L220" s="2">
        <v>46111</v>
      </c>
      <c r="M220" s="2">
        <v>46113</v>
      </c>
      <c r="N220" s="7">
        <v>100000000</v>
      </c>
      <c r="O220" s="6">
        <f t="shared" si="15"/>
        <v>3000000</v>
      </c>
      <c r="P220" s="6" t="str">
        <f t="shared" ca="1" si="16"/>
        <v>已到期</v>
      </c>
    </row>
    <row r="221" spans="1:16" s="13" customFormat="1" ht="15.4">
      <c r="A221" s="9" t="s">
        <v>1</v>
      </c>
      <c r="B221" s="2" t="s">
        <v>17</v>
      </c>
      <c r="C221" s="2" t="s">
        <v>17</v>
      </c>
      <c r="D221" s="2" t="s">
        <v>25</v>
      </c>
      <c r="E221" s="6">
        <v>3</v>
      </c>
      <c r="F221" s="11">
        <v>0.12</v>
      </c>
      <c r="G221" s="14">
        <v>0.86680000000000001</v>
      </c>
      <c r="H221" s="3">
        <v>4650.66</v>
      </c>
      <c r="I221" s="3">
        <f t="shared" si="14"/>
        <v>4031.1920879999998</v>
      </c>
      <c r="J221" s="2">
        <v>46014</v>
      </c>
      <c r="K221" s="2">
        <v>46021</v>
      </c>
      <c r="L221" s="2">
        <v>46111</v>
      </c>
      <c r="M221" s="2">
        <v>46113</v>
      </c>
      <c r="N221" s="7">
        <v>100000000</v>
      </c>
      <c r="O221" s="6">
        <f t="shared" si="15"/>
        <v>3000000</v>
      </c>
      <c r="P221" s="6" t="str">
        <f t="shared" ca="1" si="16"/>
        <v>已到期</v>
      </c>
    </row>
    <row r="222" spans="1:16" s="13" customFormat="1" ht="15.4">
      <c r="A222" s="9" t="s">
        <v>1</v>
      </c>
      <c r="B222" s="2" t="s">
        <v>17</v>
      </c>
      <c r="C222" s="2" t="s">
        <v>17</v>
      </c>
      <c r="D222" s="2" t="s">
        <v>25</v>
      </c>
      <c r="E222" s="6">
        <v>3</v>
      </c>
      <c r="F222" s="11">
        <v>0.12</v>
      </c>
      <c r="G222" s="14">
        <v>0.87729999999999997</v>
      </c>
      <c r="H222" s="3">
        <v>4966.5200000000004</v>
      </c>
      <c r="I222" s="3">
        <f t="shared" si="14"/>
        <v>4357.1279960000002</v>
      </c>
      <c r="J222" s="2">
        <v>46014</v>
      </c>
      <c r="K222" s="2">
        <v>46021</v>
      </c>
      <c r="L222" s="2">
        <v>46111</v>
      </c>
      <c r="M222" s="2">
        <v>46113</v>
      </c>
      <c r="N222" s="7">
        <v>100000000</v>
      </c>
      <c r="O222" s="6">
        <f t="shared" si="15"/>
        <v>3000000</v>
      </c>
      <c r="P222" s="6" t="str">
        <f t="shared" ca="1" si="16"/>
        <v>已到期</v>
      </c>
    </row>
    <row r="223" spans="1:16" s="13" customFormat="1" ht="15.4">
      <c r="A223" s="9" t="s">
        <v>0</v>
      </c>
      <c r="B223" s="2" t="s">
        <v>17</v>
      </c>
      <c r="C223" s="2" t="s">
        <v>17</v>
      </c>
      <c r="D223" s="2" t="s">
        <v>25</v>
      </c>
      <c r="E223" s="6">
        <v>3</v>
      </c>
      <c r="F223" s="11">
        <v>0.12</v>
      </c>
      <c r="G223" s="14">
        <v>0.86680000000000001</v>
      </c>
      <c r="H223" s="3">
        <v>4641.97</v>
      </c>
      <c r="I223" s="3">
        <f t="shared" si="14"/>
        <v>4023.6595960000004</v>
      </c>
      <c r="J223" s="2">
        <v>46014</v>
      </c>
      <c r="K223" s="2">
        <v>46021</v>
      </c>
      <c r="L223" s="2">
        <v>46111</v>
      </c>
      <c r="M223" s="2">
        <v>46113</v>
      </c>
      <c r="N223" s="7">
        <v>100000000</v>
      </c>
      <c r="O223" s="6">
        <f t="shared" si="15"/>
        <v>3000000</v>
      </c>
      <c r="P223" s="6" t="str">
        <f t="shared" ca="1" si="16"/>
        <v>已到期</v>
      </c>
    </row>
    <row r="224" spans="1:16" s="13" customFormat="1" ht="15.4">
      <c r="A224" s="9" t="s">
        <v>0</v>
      </c>
      <c r="B224" s="2" t="s">
        <v>17</v>
      </c>
      <c r="C224" s="2" t="s">
        <v>17</v>
      </c>
      <c r="D224" s="2" t="s">
        <v>25</v>
      </c>
      <c r="E224" s="6">
        <v>3</v>
      </c>
      <c r="F224" s="11">
        <v>0.12</v>
      </c>
      <c r="G224" s="14">
        <v>0.87729999999999997</v>
      </c>
      <c r="H224" s="3">
        <v>4976.54</v>
      </c>
      <c r="I224" s="3">
        <f t="shared" si="14"/>
        <v>4365.9185419999994</v>
      </c>
      <c r="J224" s="2">
        <v>46014</v>
      </c>
      <c r="K224" s="2">
        <v>46021</v>
      </c>
      <c r="L224" s="2">
        <v>46111</v>
      </c>
      <c r="M224" s="2">
        <v>46113</v>
      </c>
      <c r="N224" s="7">
        <v>100000000</v>
      </c>
      <c r="O224" s="6">
        <f t="shared" si="15"/>
        <v>3000000</v>
      </c>
      <c r="P224" s="6" t="str">
        <f t="shared" ca="1" si="16"/>
        <v>已到期</v>
      </c>
    </row>
    <row r="225" spans="1:16" s="13" customFormat="1" ht="15.4">
      <c r="A225" s="9" t="s">
        <v>18</v>
      </c>
      <c r="B225" s="2" t="s">
        <v>17</v>
      </c>
      <c r="C225" s="2" t="s">
        <v>17</v>
      </c>
      <c r="D225" s="10" t="s">
        <v>22</v>
      </c>
      <c r="E225" s="6">
        <v>2</v>
      </c>
      <c r="F225" s="29">
        <v>0.2</v>
      </c>
      <c r="G225" s="14">
        <v>0.85560000000000003</v>
      </c>
      <c r="H225" s="3">
        <v>3546.8501999999999</v>
      </c>
      <c r="I225" s="3">
        <f t="shared" si="14"/>
        <v>3034.6850311200001</v>
      </c>
      <c r="J225" s="2">
        <v>46043</v>
      </c>
      <c r="K225" s="2">
        <f>J225+7</f>
        <v>46050</v>
      </c>
      <c r="L225" s="2">
        <v>46111</v>
      </c>
      <c r="M225" s="2">
        <v>46113</v>
      </c>
      <c r="N225" s="7">
        <v>300000000</v>
      </c>
      <c r="O225" s="6">
        <f t="shared" si="15"/>
        <v>10000000</v>
      </c>
      <c r="P225" s="6" t="str">
        <f t="shared" ca="1" si="16"/>
        <v>已到期</v>
      </c>
    </row>
    <row r="226" spans="1:16" s="13" customFormat="1" ht="15.4">
      <c r="A226" s="9" t="s">
        <v>18</v>
      </c>
      <c r="B226" s="2" t="s">
        <v>17</v>
      </c>
      <c r="C226" s="2" t="s">
        <v>17</v>
      </c>
      <c r="D226" s="10" t="s">
        <v>22</v>
      </c>
      <c r="E226" s="6">
        <v>2</v>
      </c>
      <c r="F226" s="29">
        <v>0.18</v>
      </c>
      <c r="G226" s="14">
        <v>0.84619999999999995</v>
      </c>
      <c r="H226" s="3">
        <v>3547.8501999999999</v>
      </c>
      <c r="I226" s="3">
        <f t="shared" si="14"/>
        <v>3002.1908392399996</v>
      </c>
      <c r="J226" s="2">
        <v>46044</v>
      </c>
      <c r="K226" s="2">
        <f>J226+7</f>
        <v>46051</v>
      </c>
      <c r="L226" s="2">
        <v>46111</v>
      </c>
      <c r="M226" s="2">
        <v>46113</v>
      </c>
      <c r="N226" s="7">
        <v>300000000</v>
      </c>
      <c r="O226" s="6">
        <f t="shared" si="15"/>
        <v>9000000</v>
      </c>
      <c r="P226" s="6" t="str">
        <f t="shared" ca="1" si="16"/>
        <v>已到期</v>
      </c>
    </row>
    <row r="227" spans="1:16" s="13" customFormat="1" ht="15.4">
      <c r="A227" s="9" t="s">
        <v>1</v>
      </c>
      <c r="B227" s="2" t="s">
        <v>17</v>
      </c>
      <c r="C227" s="2" t="s">
        <v>17</v>
      </c>
      <c r="D227" s="2" t="s">
        <v>25</v>
      </c>
      <c r="E227" s="6">
        <v>3</v>
      </c>
      <c r="F227" s="11">
        <v>0.12</v>
      </c>
      <c r="G227" s="14">
        <v>0.89710000000000001</v>
      </c>
      <c r="H227" s="3">
        <v>5462.9286000000002</v>
      </c>
      <c r="I227" s="3">
        <f t="shared" si="14"/>
        <v>4900.7932470599999</v>
      </c>
      <c r="J227" s="2">
        <v>46015</v>
      </c>
      <c r="K227" s="2">
        <v>46027</v>
      </c>
      <c r="L227" s="2">
        <v>46118</v>
      </c>
      <c r="M227" s="2">
        <v>46120</v>
      </c>
      <c r="N227" s="7">
        <v>100000000</v>
      </c>
      <c r="O227" s="6">
        <f t="shared" si="15"/>
        <v>3000000</v>
      </c>
      <c r="P227" s="6" t="str">
        <f t="shared" ca="1" si="16"/>
        <v>已到期</v>
      </c>
    </row>
    <row r="228" spans="1:16" s="13" customFormat="1" ht="15.4">
      <c r="A228" s="9" t="s">
        <v>2</v>
      </c>
      <c r="B228" s="2" t="s">
        <v>17</v>
      </c>
      <c r="C228" s="2" t="s">
        <v>17</v>
      </c>
      <c r="D228" s="2" t="s">
        <v>25</v>
      </c>
      <c r="E228" s="6">
        <v>3</v>
      </c>
      <c r="F228" s="11">
        <v>0.12</v>
      </c>
      <c r="G228" s="14">
        <v>0.8851</v>
      </c>
      <c r="H228" s="3">
        <v>4627.2700000000004</v>
      </c>
      <c r="I228" s="3">
        <f t="shared" si="14"/>
        <v>4095.5966770000005</v>
      </c>
      <c r="J228" s="2">
        <v>46017</v>
      </c>
      <c r="K228" s="2">
        <v>46027</v>
      </c>
      <c r="L228" s="2">
        <v>46118</v>
      </c>
      <c r="M228" s="2">
        <v>46120</v>
      </c>
      <c r="N228" s="7">
        <v>100000000</v>
      </c>
      <c r="O228" s="6">
        <f t="shared" si="15"/>
        <v>3000000</v>
      </c>
      <c r="P228" s="6" t="str">
        <f t="shared" ca="1" si="16"/>
        <v>已到期</v>
      </c>
    </row>
    <row r="229" spans="1:16" s="13" customFormat="1" ht="15.4">
      <c r="A229" s="9" t="s">
        <v>1</v>
      </c>
      <c r="B229" s="2" t="s">
        <v>17</v>
      </c>
      <c r="C229" s="2" t="s">
        <v>17</v>
      </c>
      <c r="D229" s="2" t="s">
        <v>25</v>
      </c>
      <c r="E229" s="6">
        <v>3</v>
      </c>
      <c r="F229" s="11">
        <v>0.12</v>
      </c>
      <c r="G229" s="14">
        <v>0.8851</v>
      </c>
      <c r="H229" s="3">
        <v>4627.2700000000004</v>
      </c>
      <c r="I229" s="3">
        <f t="shared" si="14"/>
        <v>4095.5966770000005</v>
      </c>
      <c r="J229" s="2">
        <v>46017</v>
      </c>
      <c r="K229" s="2">
        <v>46027</v>
      </c>
      <c r="L229" s="2">
        <v>46118</v>
      </c>
      <c r="M229" s="2">
        <v>46120</v>
      </c>
      <c r="N229" s="7">
        <v>100000000</v>
      </c>
      <c r="O229" s="6">
        <f t="shared" si="15"/>
        <v>3000000</v>
      </c>
      <c r="P229" s="6" t="str">
        <f t="shared" ca="1" si="16"/>
        <v>已到期</v>
      </c>
    </row>
    <row r="230" spans="1:16" s="13" customFormat="1" ht="15.4">
      <c r="A230" s="9" t="s">
        <v>0</v>
      </c>
      <c r="B230" s="2" t="s">
        <v>17</v>
      </c>
      <c r="C230" s="2" t="s">
        <v>17</v>
      </c>
      <c r="D230" s="2" t="s">
        <v>25</v>
      </c>
      <c r="E230" s="6">
        <v>3</v>
      </c>
      <c r="F230" s="11">
        <v>0.12</v>
      </c>
      <c r="G230" s="14">
        <v>0.8851</v>
      </c>
      <c r="H230" s="3">
        <v>4617.5</v>
      </c>
      <c r="I230" s="3">
        <f t="shared" si="14"/>
        <v>4086.9492500000001</v>
      </c>
      <c r="J230" s="2">
        <v>46017</v>
      </c>
      <c r="K230" s="2">
        <v>46027</v>
      </c>
      <c r="L230" s="2">
        <v>46118</v>
      </c>
      <c r="M230" s="2">
        <v>46120</v>
      </c>
      <c r="N230" s="7">
        <v>100000000</v>
      </c>
      <c r="O230" s="6">
        <f t="shared" si="15"/>
        <v>3000000</v>
      </c>
      <c r="P230" s="6" t="str">
        <f t="shared" ca="1" si="16"/>
        <v>已到期</v>
      </c>
    </row>
    <row r="231" spans="1:16" s="13" customFormat="1" ht="15.4">
      <c r="A231" s="9" t="s">
        <v>2</v>
      </c>
      <c r="B231" s="2" t="s">
        <v>17</v>
      </c>
      <c r="C231" s="2" t="s">
        <v>17</v>
      </c>
      <c r="D231" s="2" t="s">
        <v>25</v>
      </c>
      <c r="E231" s="6">
        <v>3</v>
      </c>
      <c r="F231" s="11">
        <v>0.12</v>
      </c>
      <c r="G231" s="14">
        <v>0.89290000000000003</v>
      </c>
      <c r="H231" s="3">
        <v>3359</v>
      </c>
      <c r="I231" s="3">
        <f t="shared" si="14"/>
        <v>2999.2511</v>
      </c>
      <c r="J231" s="2">
        <v>46021</v>
      </c>
      <c r="K231" s="2">
        <v>46028</v>
      </c>
      <c r="L231" s="2">
        <v>46118</v>
      </c>
      <c r="M231" s="2">
        <v>46120</v>
      </c>
      <c r="N231" s="7">
        <v>100000000</v>
      </c>
      <c r="O231" s="6">
        <f t="shared" si="15"/>
        <v>3000000</v>
      </c>
      <c r="P231" s="6" t="str">
        <f t="shared" ca="1" si="16"/>
        <v>已到期</v>
      </c>
    </row>
    <row r="232" spans="1:16" s="13" customFormat="1" ht="15.4">
      <c r="A232" s="9" t="s">
        <v>1</v>
      </c>
      <c r="B232" s="2" t="s">
        <v>17</v>
      </c>
      <c r="C232" s="2" t="s">
        <v>17</v>
      </c>
      <c r="D232" s="2" t="s">
        <v>25</v>
      </c>
      <c r="E232" s="6">
        <v>3</v>
      </c>
      <c r="F232" s="11">
        <v>0.12</v>
      </c>
      <c r="G232" s="14">
        <v>0.89290000000000003</v>
      </c>
      <c r="H232" s="3">
        <v>3359</v>
      </c>
      <c r="I232" s="3">
        <f t="shared" si="14"/>
        <v>2999.2511</v>
      </c>
      <c r="J232" s="2">
        <v>46021</v>
      </c>
      <c r="K232" s="2">
        <v>46028</v>
      </c>
      <c r="L232" s="2">
        <v>46118</v>
      </c>
      <c r="M232" s="2">
        <v>46120</v>
      </c>
      <c r="N232" s="7">
        <v>100000000</v>
      </c>
      <c r="O232" s="6">
        <f t="shared" si="15"/>
        <v>3000000</v>
      </c>
      <c r="P232" s="6" t="str">
        <f t="shared" ca="1" si="16"/>
        <v>已到期</v>
      </c>
    </row>
    <row r="233" spans="1:16" s="13" customFormat="1" ht="15.4">
      <c r="A233" s="9" t="s">
        <v>0</v>
      </c>
      <c r="B233" s="2" t="s">
        <v>17</v>
      </c>
      <c r="C233" s="2" t="s">
        <v>17</v>
      </c>
      <c r="D233" s="2" t="s">
        <v>25</v>
      </c>
      <c r="E233" s="6">
        <v>3</v>
      </c>
      <c r="F233" s="11">
        <v>0.12</v>
      </c>
      <c r="G233" s="14">
        <v>0.89290000000000003</v>
      </c>
      <c r="H233" s="3">
        <v>3355</v>
      </c>
      <c r="I233" s="3">
        <f t="shared" si="14"/>
        <v>2995.6795000000002</v>
      </c>
      <c r="J233" s="2">
        <v>46021</v>
      </c>
      <c r="K233" s="2">
        <v>46028</v>
      </c>
      <c r="L233" s="2">
        <v>46118</v>
      </c>
      <c r="M233" s="2">
        <v>46120</v>
      </c>
      <c r="N233" s="7">
        <v>100000000</v>
      </c>
      <c r="O233" s="6">
        <f t="shared" si="15"/>
        <v>3000000</v>
      </c>
      <c r="P233" s="6" t="str">
        <f t="shared" ca="1" si="16"/>
        <v>已到期</v>
      </c>
    </row>
    <row r="234" spans="1:16" s="13" customFormat="1" ht="15.4">
      <c r="A234" s="9" t="s">
        <v>2</v>
      </c>
      <c r="B234" s="2" t="s">
        <v>17</v>
      </c>
      <c r="C234" s="2" t="s">
        <v>17</v>
      </c>
      <c r="D234" s="2" t="s">
        <v>25</v>
      </c>
      <c r="E234" s="6">
        <v>3</v>
      </c>
      <c r="F234" s="11">
        <v>0.12</v>
      </c>
      <c r="G234" s="14">
        <v>0.89590000000000003</v>
      </c>
      <c r="H234" s="3">
        <v>5389.6908999999996</v>
      </c>
      <c r="I234" s="3">
        <f t="shared" si="14"/>
        <v>4828.6240773099998</v>
      </c>
      <c r="J234" s="2">
        <v>46021</v>
      </c>
      <c r="K234" s="2">
        <v>46028</v>
      </c>
      <c r="L234" s="2">
        <v>46118</v>
      </c>
      <c r="M234" s="2">
        <v>46120</v>
      </c>
      <c r="N234" s="7">
        <v>100000000</v>
      </c>
      <c r="O234" s="6">
        <f t="shared" si="15"/>
        <v>3000000</v>
      </c>
      <c r="P234" s="6" t="str">
        <f t="shared" ca="1" si="16"/>
        <v>已到期</v>
      </c>
    </row>
    <row r="235" spans="1:16" s="13" customFormat="1" ht="15.4">
      <c r="A235" s="9" t="s">
        <v>1</v>
      </c>
      <c r="B235" s="2" t="s">
        <v>17</v>
      </c>
      <c r="C235" s="2" t="s">
        <v>17</v>
      </c>
      <c r="D235" s="2" t="s">
        <v>25</v>
      </c>
      <c r="E235" s="6">
        <v>3</v>
      </c>
      <c r="F235" s="11">
        <v>0.12</v>
      </c>
      <c r="G235" s="14">
        <v>0.89590000000000003</v>
      </c>
      <c r="H235" s="3">
        <v>5389.6908999999996</v>
      </c>
      <c r="I235" s="3">
        <f t="shared" si="14"/>
        <v>4828.6240773099998</v>
      </c>
      <c r="J235" s="2">
        <v>46021</v>
      </c>
      <c r="K235" s="2">
        <v>46028</v>
      </c>
      <c r="L235" s="2">
        <v>46118</v>
      </c>
      <c r="M235" s="2">
        <v>46120</v>
      </c>
      <c r="N235" s="7">
        <v>100000000</v>
      </c>
      <c r="O235" s="6">
        <f t="shared" si="15"/>
        <v>3000000</v>
      </c>
      <c r="P235" s="6" t="str">
        <f t="shared" ca="1" si="16"/>
        <v>已到期</v>
      </c>
    </row>
    <row r="236" spans="1:16" s="13" customFormat="1" ht="15.4">
      <c r="A236" s="9" t="s">
        <v>18</v>
      </c>
      <c r="B236" s="2" t="s">
        <v>17</v>
      </c>
      <c r="C236" s="2" t="s">
        <v>17</v>
      </c>
      <c r="D236" s="10" t="s">
        <v>22</v>
      </c>
      <c r="E236" s="6">
        <v>3</v>
      </c>
      <c r="F236" s="29">
        <v>0.15</v>
      </c>
      <c r="G236" s="14">
        <v>0.82240000000000002</v>
      </c>
      <c r="H236" s="3">
        <v>3619.9360000000001</v>
      </c>
      <c r="I236" s="3">
        <f t="shared" si="14"/>
        <v>2977.0353664000004</v>
      </c>
      <c r="J236" s="2">
        <v>46037</v>
      </c>
      <c r="K236" s="2">
        <f>J236+7</f>
        <v>46044</v>
      </c>
      <c r="L236" s="41">
        <v>46134</v>
      </c>
      <c r="M236" s="2">
        <v>46136</v>
      </c>
      <c r="N236" s="7">
        <v>200000000</v>
      </c>
      <c r="O236" s="6">
        <f t="shared" si="15"/>
        <v>7500000</v>
      </c>
      <c r="P236" s="6" t="str">
        <f t="shared" ca="1" si="16"/>
        <v>未到期</v>
      </c>
    </row>
    <row r="237" spans="1:16" s="13" customFormat="1" ht="15.4">
      <c r="A237" s="9" t="s">
        <v>18</v>
      </c>
      <c r="B237" s="2" t="s">
        <v>17</v>
      </c>
      <c r="C237" s="2" t="s">
        <v>17</v>
      </c>
      <c r="D237" s="10" t="s">
        <v>22</v>
      </c>
      <c r="E237" s="6">
        <v>3</v>
      </c>
      <c r="F237" s="29">
        <v>0.18</v>
      </c>
      <c r="G237" s="14">
        <v>0.84950000000000003</v>
      </c>
      <c r="H237" s="3">
        <v>3623.5958999999998</v>
      </c>
      <c r="I237" s="3">
        <f t="shared" si="14"/>
        <v>3078.24471705</v>
      </c>
      <c r="J237" s="2">
        <v>46038</v>
      </c>
      <c r="K237" s="2">
        <f>J237+7</f>
        <v>46045</v>
      </c>
      <c r="L237" s="41">
        <v>46135</v>
      </c>
      <c r="M237" s="2">
        <v>46139</v>
      </c>
      <c r="N237" s="7">
        <v>300000000</v>
      </c>
      <c r="O237" s="6">
        <f t="shared" si="15"/>
        <v>13500000</v>
      </c>
      <c r="P237" s="6" t="str">
        <f t="shared" ca="1" si="16"/>
        <v>未到期</v>
      </c>
    </row>
    <row r="238" spans="1:16" s="13" customFormat="1" ht="15.4">
      <c r="A238" s="9" t="s">
        <v>18</v>
      </c>
      <c r="B238" s="2" t="s">
        <v>17</v>
      </c>
      <c r="C238" s="2" t="s">
        <v>17</v>
      </c>
      <c r="D238" s="10" t="s">
        <v>22</v>
      </c>
      <c r="E238" s="6">
        <v>3</v>
      </c>
      <c r="F238" s="29">
        <v>0.18</v>
      </c>
      <c r="G238" s="14">
        <v>0.85370000000000001</v>
      </c>
      <c r="H238" s="3">
        <v>3587.7593000000002</v>
      </c>
      <c r="I238" s="3">
        <f t="shared" si="14"/>
        <v>3062.87011441</v>
      </c>
      <c r="J238" s="2">
        <v>46041</v>
      </c>
      <c r="K238" s="2">
        <f>J238+7</f>
        <v>46048</v>
      </c>
      <c r="L238" s="41">
        <v>46138</v>
      </c>
      <c r="M238" s="2">
        <v>46142</v>
      </c>
      <c r="N238" s="7">
        <v>300000000</v>
      </c>
      <c r="O238" s="6">
        <f t="shared" si="15"/>
        <v>13500000</v>
      </c>
      <c r="P238" s="6" t="str">
        <f t="shared" ca="1" si="16"/>
        <v>未到期</v>
      </c>
    </row>
    <row r="239" spans="1:16" s="13" customFormat="1" ht="15.4">
      <c r="A239" s="9" t="s">
        <v>18</v>
      </c>
      <c r="B239" s="2" t="s">
        <v>17</v>
      </c>
      <c r="C239" s="2" t="s">
        <v>17</v>
      </c>
      <c r="D239" s="10" t="s">
        <v>16</v>
      </c>
      <c r="E239" s="6">
        <v>3</v>
      </c>
      <c r="F239" s="29">
        <v>0.12</v>
      </c>
      <c r="G239" s="14">
        <v>0.96060000000000001</v>
      </c>
      <c r="H239" s="3">
        <v>1689</v>
      </c>
      <c r="I239" s="3">
        <f t="shared" si="14"/>
        <v>1622.4534000000001</v>
      </c>
      <c r="J239" s="2">
        <v>46066</v>
      </c>
      <c r="K239" s="2">
        <v>46073</v>
      </c>
      <c r="L239" s="41">
        <v>46162</v>
      </c>
      <c r="M239" s="2">
        <v>46164</v>
      </c>
      <c r="N239" s="7">
        <v>200000000</v>
      </c>
      <c r="O239" s="6">
        <f t="shared" si="15"/>
        <v>6000000</v>
      </c>
      <c r="P239" s="6" t="str">
        <f t="shared" ca="1" si="16"/>
        <v>未到期</v>
      </c>
    </row>
    <row r="240" spans="1:16" s="13" customFormat="1" ht="15.4">
      <c r="A240" s="9" t="s">
        <v>18</v>
      </c>
      <c r="B240" s="2" t="s">
        <v>17</v>
      </c>
      <c r="C240" s="2" t="s">
        <v>17</v>
      </c>
      <c r="D240" s="10" t="s">
        <v>16</v>
      </c>
      <c r="E240" s="6">
        <v>3</v>
      </c>
      <c r="F240" s="29">
        <v>0.12</v>
      </c>
      <c r="G240" s="14">
        <v>0.96630000000000005</v>
      </c>
      <c r="H240" s="3">
        <v>1705</v>
      </c>
      <c r="I240" s="3">
        <f t="shared" si="14"/>
        <v>1647.5415</v>
      </c>
      <c r="J240" s="2">
        <v>46072</v>
      </c>
      <c r="K240" s="2">
        <v>46079</v>
      </c>
      <c r="L240" s="41">
        <v>46168</v>
      </c>
      <c r="M240" s="2">
        <v>46170</v>
      </c>
      <c r="N240" s="7">
        <v>200000000</v>
      </c>
      <c r="O240" s="6">
        <f t="shared" si="15"/>
        <v>6000000</v>
      </c>
      <c r="P240" s="6" t="str">
        <f t="shared" ca="1" si="16"/>
        <v>未到期</v>
      </c>
    </row>
    <row r="241" spans="1:16" s="13" customFormat="1" ht="15.4">
      <c r="A241" s="9" t="s">
        <v>2</v>
      </c>
      <c r="B241" s="2" t="s">
        <v>17</v>
      </c>
      <c r="C241" s="2" t="s">
        <v>17</v>
      </c>
      <c r="D241" s="2" t="s">
        <v>25</v>
      </c>
      <c r="E241" s="6">
        <v>3</v>
      </c>
      <c r="F241" s="11">
        <v>0.12</v>
      </c>
      <c r="G241" s="14">
        <v>0.86209999999999998</v>
      </c>
      <c r="H241" s="3">
        <v>1386.0078000000001</v>
      </c>
      <c r="I241" s="3">
        <f t="shared" si="14"/>
        <v>1194.8773243800001</v>
      </c>
      <c r="J241" s="2">
        <v>46077</v>
      </c>
      <c r="K241" s="2">
        <v>46084</v>
      </c>
      <c r="L241" s="41">
        <v>46176</v>
      </c>
      <c r="M241" s="2">
        <v>46178</v>
      </c>
      <c r="N241" s="7">
        <v>200000000</v>
      </c>
      <c r="O241" s="6">
        <f t="shared" si="15"/>
        <v>6000000</v>
      </c>
      <c r="P241" s="6" t="str">
        <f t="shared" ca="1" si="16"/>
        <v>未到期</v>
      </c>
    </row>
    <row r="242" spans="1:16" s="13" customFormat="1" ht="15.4">
      <c r="A242" s="9" t="s">
        <v>2</v>
      </c>
      <c r="B242" s="2" t="s">
        <v>17</v>
      </c>
      <c r="C242" s="2" t="s">
        <v>17</v>
      </c>
      <c r="D242" s="2" t="s">
        <v>25</v>
      </c>
      <c r="E242" s="6">
        <v>3</v>
      </c>
      <c r="F242" s="11">
        <v>0.12</v>
      </c>
      <c r="G242" s="14">
        <v>0.86439999999999995</v>
      </c>
      <c r="H242" s="3">
        <v>1576.4817</v>
      </c>
      <c r="I242" s="3">
        <f t="shared" si="14"/>
        <v>1362.7107814799999</v>
      </c>
      <c r="J242" s="2">
        <v>46077</v>
      </c>
      <c r="K242" s="2">
        <v>46084</v>
      </c>
      <c r="L242" s="41">
        <v>46176</v>
      </c>
      <c r="M242" s="2">
        <v>46178</v>
      </c>
      <c r="N242" s="7">
        <v>100000000</v>
      </c>
      <c r="O242" s="6">
        <f t="shared" si="15"/>
        <v>3000000</v>
      </c>
      <c r="P242" s="6" t="str">
        <f t="shared" ca="1" si="16"/>
        <v>未到期</v>
      </c>
    </row>
    <row r="243" spans="1:16" s="13" customFormat="1" ht="15.4">
      <c r="A243" s="9" t="s">
        <v>1</v>
      </c>
      <c r="B243" s="2" t="s">
        <v>17</v>
      </c>
      <c r="C243" s="2" t="s">
        <v>17</v>
      </c>
      <c r="D243" s="2" t="s">
        <v>25</v>
      </c>
      <c r="E243" s="6">
        <v>3</v>
      </c>
      <c r="F243" s="11">
        <v>0.12</v>
      </c>
      <c r="G243" s="14">
        <v>0.85389999999999999</v>
      </c>
      <c r="H243" s="3">
        <v>1386.3268</v>
      </c>
      <c r="I243" s="3">
        <f t="shared" si="14"/>
        <v>1183.7844545200001</v>
      </c>
      <c r="J243" s="2">
        <v>46077</v>
      </c>
      <c r="K243" s="2">
        <v>46084</v>
      </c>
      <c r="L243" s="41">
        <v>46176</v>
      </c>
      <c r="M243" s="2">
        <v>46178</v>
      </c>
      <c r="N243" s="7">
        <v>200000000</v>
      </c>
      <c r="O243" s="6">
        <f t="shared" si="15"/>
        <v>6000000</v>
      </c>
      <c r="P243" s="6" t="str">
        <f t="shared" ca="1" si="16"/>
        <v>未到期</v>
      </c>
    </row>
    <row r="244" spans="1:16" s="13" customFormat="1" ht="15.4">
      <c r="A244" s="9" t="s">
        <v>1</v>
      </c>
      <c r="B244" s="2" t="s">
        <v>17</v>
      </c>
      <c r="C244" s="2" t="s">
        <v>17</v>
      </c>
      <c r="D244" s="2" t="s">
        <v>25</v>
      </c>
      <c r="E244" s="6">
        <v>3</v>
      </c>
      <c r="F244" s="11">
        <v>0.12</v>
      </c>
      <c r="G244" s="14">
        <v>0.86250000000000004</v>
      </c>
      <c r="H244" s="3">
        <v>5383.8571000000002</v>
      </c>
      <c r="I244" s="3">
        <f t="shared" si="14"/>
        <v>4643.5767487500007</v>
      </c>
      <c r="J244" s="2">
        <v>46077</v>
      </c>
      <c r="K244" s="2">
        <v>46084</v>
      </c>
      <c r="L244" s="41">
        <v>46176</v>
      </c>
      <c r="M244" s="2">
        <v>46178</v>
      </c>
      <c r="N244" s="7">
        <v>100000000</v>
      </c>
      <c r="O244" s="6">
        <f t="shared" si="15"/>
        <v>3000000</v>
      </c>
      <c r="P244" s="6" t="str">
        <f t="shared" ca="1" si="16"/>
        <v>未到期</v>
      </c>
    </row>
    <row r="245" spans="1:16" s="13" customFormat="1" ht="15.4">
      <c r="A245" s="9" t="s">
        <v>0</v>
      </c>
      <c r="B245" s="2" t="s">
        <v>17</v>
      </c>
      <c r="C245" s="2" t="s">
        <v>17</v>
      </c>
      <c r="D245" s="2" t="s">
        <v>25</v>
      </c>
      <c r="E245" s="6">
        <v>3</v>
      </c>
      <c r="F245" s="11">
        <v>0.12</v>
      </c>
      <c r="G245" s="14">
        <v>0.85719999999999996</v>
      </c>
      <c r="H245" s="3">
        <v>1586.2869000000001</v>
      </c>
      <c r="I245" s="3">
        <f t="shared" si="14"/>
        <v>1359.7651306800001</v>
      </c>
      <c r="J245" s="2">
        <v>46077</v>
      </c>
      <c r="K245" s="2">
        <v>46084</v>
      </c>
      <c r="L245" s="41">
        <v>46176</v>
      </c>
      <c r="M245" s="2">
        <v>46178</v>
      </c>
      <c r="N245" s="7">
        <v>200000000</v>
      </c>
      <c r="O245" s="6">
        <f t="shared" si="15"/>
        <v>6000000</v>
      </c>
      <c r="P245" s="6" t="str">
        <f t="shared" ca="1" si="16"/>
        <v>未到期</v>
      </c>
    </row>
    <row r="246" spans="1:16" s="13" customFormat="1" ht="15.4">
      <c r="A246" s="9" t="s">
        <v>2</v>
      </c>
      <c r="B246" s="2" t="s">
        <v>17</v>
      </c>
      <c r="C246" s="2" t="s">
        <v>17</v>
      </c>
      <c r="D246" s="2" t="s">
        <v>25</v>
      </c>
      <c r="E246" s="6">
        <v>2</v>
      </c>
      <c r="F246" s="11">
        <v>0.12</v>
      </c>
      <c r="G246" s="14">
        <v>0.78949999999999998</v>
      </c>
      <c r="H246" s="3">
        <v>6424.7111000000004</v>
      </c>
      <c r="I246" s="3">
        <f t="shared" si="14"/>
        <v>5072.3094134500006</v>
      </c>
      <c r="J246" s="2">
        <v>46108</v>
      </c>
      <c r="K246" s="2">
        <f t="shared" ref="K246:K263" si="17">J246+7</f>
        <v>46115</v>
      </c>
      <c r="L246" s="41">
        <v>46176</v>
      </c>
      <c r="M246" s="2">
        <v>46178</v>
      </c>
      <c r="N246" s="7">
        <v>100000000</v>
      </c>
      <c r="O246" s="6">
        <f t="shared" si="15"/>
        <v>2000000</v>
      </c>
      <c r="P246" s="6" t="str">
        <f t="shared" ca="1" si="16"/>
        <v>未到期</v>
      </c>
    </row>
    <row r="247" spans="1:16" s="13" customFormat="1" ht="15.4">
      <c r="A247" s="9" t="s">
        <v>1</v>
      </c>
      <c r="B247" s="2" t="s">
        <v>17</v>
      </c>
      <c r="C247" s="2" t="s">
        <v>17</v>
      </c>
      <c r="D247" s="2" t="s">
        <v>25</v>
      </c>
      <c r="E247" s="6">
        <v>2</v>
      </c>
      <c r="F247" s="11">
        <v>0.12</v>
      </c>
      <c r="G247" s="14">
        <v>0.78949999999999998</v>
      </c>
      <c r="H247" s="3">
        <v>6458.9556000000002</v>
      </c>
      <c r="I247" s="3">
        <f t="shared" si="14"/>
        <v>5099.3454462</v>
      </c>
      <c r="J247" s="2">
        <v>46108</v>
      </c>
      <c r="K247" s="2">
        <f t="shared" si="17"/>
        <v>46115</v>
      </c>
      <c r="L247" s="41">
        <v>46176</v>
      </c>
      <c r="M247" s="2">
        <v>46178</v>
      </c>
      <c r="N247" s="7">
        <v>100000000</v>
      </c>
      <c r="O247" s="6">
        <f t="shared" si="15"/>
        <v>2000000</v>
      </c>
      <c r="P247" s="6" t="str">
        <f t="shared" ca="1" si="16"/>
        <v>未到期</v>
      </c>
    </row>
    <row r="248" spans="1:16" s="13" customFormat="1" ht="15.4">
      <c r="A248" s="9" t="s">
        <v>0</v>
      </c>
      <c r="B248" s="2" t="s">
        <v>17</v>
      </c>
      <c r="C248" s="2" t="s">
        <v>17</v>
      </c>
      <c r="D248" s="2" t="s">
        <v>25</v>
      </c>
      <c r="E248" s="6">
        <v>2</v>
      </c>
      <c r="F248" s="11">
        <v>0.12</v>
      </c>
      <c r="G248" s="14">
        <v>0.78949999999999998</v>
      </c>
      <c r="H248" s="3">
        <v>6433.5565999999999</v>
      </c>
      <c r="I248" s="3">
        <f t="shared" si="14"/>
        <v>5079.2929356999994</v>
      </c>
      <c r="J248" s="2">
        <v>46108</v>
      </c>
      <c r="K248" s="2">
        <f t="shared" si="17"/>
        <v>46115</v>
      </c>
      <c r="L248" s="41">
        <v>46176</v>
      </c>
      <c r="M248" s="2">
        <v>46178</v>
      </c>
      <c r="N248" s="7">
        <v>100000000</v>
      </c>
      <c r="O248" s="6">
        <f t="shared" si="15"/>
        <v>2000000</v>
      </c>
      <c r="P248" s="6" t="str">
        <f t="shared" ca="1" si="16"/>
        <v>未到期</v>
      </c>
    </row>
    <row r="249" spans="1:16" s="13" customFormat="1" ht="15.4">
      <c r="A249" s="9" t="s">
        <v>18</v>
      </c>
      <c r="B249" s="2" t="s">
        <v>17</v>
      </c>
      <c r="C249" s="2" t="s">
        <v>17</v>
      </c>
      <c r="D249" s="10" t="s">
        <v>22</v>
      </c>
      <c r="E249" s="6">
        <v>3</v>
      </c>
      <c r="F249" s="29">
        <v>0.12</v>
      </c>
      <c r="G249" s="14">
        <v>0.75919999999999999</v>
      </c>
      <c r="H249" s="3">
        <v>4367</v>
      </c>
      <c r="I249" s="3">
        <f t="shared" si="14"/>
        <v>3315.4263999999998</v>
      </c>
      <c r="J249" s="2">
        <v>46086</v>
      </c>
      <c r="K249" s="2">
        <f t="shared" si="17"/>
        <v>46093</v>
      </c>
      <c r="L249" s="41">
        <v>46185</v>
      </c>
      <c r="M249" s="2">
        <v>46189</v>
      </c>
      <c r="N249" s="7">
        <v>200000000</v>
      </c>
      <c r="O249" s="6">
        <f t="shared" si="15"/>
        <v>6000000</v>
      </c>
      <c r="P249" s="6" t="str">
        <f t="shared" ca="1" si="16"/>
        <v>未到期</v>
      </c>
    </row>
    <row r="250" spans="1:16" s="13" customFormat="1" ht="15.4">
      <c r="A250" s="9" t="s">
        <v>18</v>
      </c>
      <c r="B250" s="2" t="s">
        <v>17</v>
      </c>
      <c r="C250" s="2" t="s">
        <v>17</v>
      </c>
      <c r="D250" s="10" t="s">
        <v>22</v>
      </c>
      <c r="E250" s="6">
        <v>3</v>
      </c>
      <c r="F250" s="29">
        <v>0.12</v>
      </c>
      <c r="G250" s="14">
        <v>0.75009999999999999</v>
      </c>
      <c r="H250" s="3">
        <v>4269.2146000000002</v>
      </c>
      <c r="I250" s="3">
        <f t="shared" si="14"/>
        <v>3202.3378714600003</v>
      </c>
      <c r="J250" s="2">
        <v>46087</v>
      </c>
      <c r="K250" s="2">
        <f t="shared" si="17"/>
        <v>46094</v>
      </c>
      <c r="L250" s="41">
        <v>46188</v>
      </c>
      <c r="M250" s="2">
        <v>46190</v>
      </c>
      <c r="N250" s="7">
        <v>200000000</v>
      </c>
      <c r="O250" s="6">
        <f t="shared" si="15"/>
        <v>6000000</v>
      </c>
      <c r="P250" s="6" t="str">
        <f t="shared" ca="1" si="16"/>
        <v>未到期</v>
      </c>
    </row>
    <row r="251" spans="1:16" s="13" customFormat="1" ht="15.4">
      <c r="A251" s="9" t="s">
        <v>2</v>
      </c>
      <c r="B251" s="2" t="s">
        <v>17</v>
      </c>
      <c r="C251" s="2" t="s">
        <v>17</v>
      </c>
      <c r="D251" s="2" t="s">
        <v>25</v>
      </c>
      <c r="E251" s="6">
        <v>3</v>
      </c>
      <c r="F251" s="11">
        <v>0.12</v>
      </c>
      <c r="G251" s="14">
        <v>0.85150000000000003</v>
      </c>
      <c r="H251" s="3">
        <v>3155</v>
      </c>
      <c r="I251" s="3">
        <f t="shared" si="14"/>
        <v>2686.4825000000001</v>
      </c>
      <c r="J251" s="2">
        <v>46090</v>
      </c>
      <c r="K251" s="2">
        <f t="shared" si="17"/>
        <v>46097</v>
      </c>
      <c r="L251" s="41">
        <v>46190</v>
      </c>
      <c r="M251" s="2">
        <v>46192</v>
      </c>
      <c r="N251" s="7">
        <v>100000000</v>
      </c>
      <c r="O251" s="6">
        <f t="shared" si="15"/>
        <v>3000000</v>
      </c>
      <c r="P251" s="6" t="str">
        <f t="shared" ca="1" si="16"/>
        <v>未到期</v>
      </c>
    </row>
    <row r="252" spans="1:16" s="13" customFormat="1" ht="15.4">
      <c r="A252" s="9" t="s">
        <v>2</v>
      </c>
      <c r="B252" s="2" t="s">
        <v>17</v>
      </c>
      <c r="C252" s="2" t="s">
        <v>17</v>
      </c>
      <c r="D252" s="2" t="s">
        <v>25</v>
      </c>
      <c r="E252" s="6">
        <v>3</v>
      </c>
      <c r="F252" s="11">
        <v>0.12</v>
      </c>
      <c r="G252" s="14">
        <v>0.84509999999999996</v>
      </c>
      <c r="H252" s="3">
        <v>3155</v>
      </c>
      <c r="I252" s="3">
        <f t="shared" ref="I252:I315" si="18">H252*G252</f>
        <v>2666.2905000000001</v>
      </c>
      <c r="J252" s="2">
        <v>46090</v>
      </c>
      <c r="K252" s="2">
        <f t="shared" si="17"/>
        <v>46097</v>
      </c>
      <c r="L252" s="41">
        <v>46190</v>
      </c>
      <c r="M252" s="2">
        <v>46192</v>
      </c>
      <c r="N252" s="7">
        <v>100000000</v>
      </c>
      <c r="O252" s="6">
        <f t="shared" si="15"/>
        <v>3000000</v>
      </c>
      <c r="P252" s="6" t="str">
        <f t="shared" ca="1" si="16"/>
        <v>未到期</v>
      </c>
    </row>
    <row r="253" spans="1:16" s="13" customFormat="1" ht="15.4">
      <c r="A253" s="9" t="s">
        <v>1</v>
      </c>
      <c r="B253" s="2" t="s">
        <v>17</v>
      </c>
      <c r="C253" s="2" t="s">
        <v>17</v>
      </c>
      <c r="D253" s="2" t="s">
        <v>25</v>
      </c>
      <c r="E253" s="6">
        <v>3</v>
      </c>
      <c r="F253" s="11">
        <v>0.12</v>
      </c>
      <c r="G253" s="14">
        <v>0.85150000000000003</v>
      </c>
      <c r="H253" s="3">
        <v>3155</v>
      </c>
      <c r="I253" s="3">
        <f t="shared" si="18"/>
        <v>2686.4825000000001</v>
      </c>
      <c r="J253" s="2">
        <v>46090</v>
      </c>
      <c r="K253" s="2">
        <f t="shared" si="17"/>
        <v>46097</v>
      </c>
      <c r="L253" s="41">
        <v>46190</v>
      </c>
      <c r="M253" s="2">
        <v>46192</v>
      </c>
      <c r="N253" s="7">
        <v>100000000</v>
      </c>
      <c r="O253" s="6">
        <f t="shared" si="15"/>
        <v>3000000</v>
      </c>
      <c r="P253" s="6" t="str">
        <f t="shared" ca="1" si="16"/>
        <v>未到期</v>
      </c>
    </row>
    <row r="254" spans="1:16" s="13" customFormat="1" ht="15.4">
      <c r="A254" s="9" t="s">
        <v>1</v>
      </c>
      <c r="B254" s="2" t="s">
        <v>17</v>
      </c>
      <c r="C254" s="2" t="s">
        <v>17</v>
      </c>
      <c r="D254" s="2" t="s">
        <v>25</v>
      </c>
      <c r="E254" s="6">
        <v>3</v>
      </c>
      <c r="F254" s="11">
        <v>0.12</v>
      </c>
      <c r="G254" s="14">
        <v>0.84509999999999996</v>
      </c>
      <c r="H254" s="3">
        <v>3155</v>
      </c>
      <c r="I254" s="3">
        <f t="shared" si="18"/>
        <v>2666.2905000000001</v>
      </c>
      <c r="J254" s="2">
        <v>46090</v>
      </c>
      <c r="K254" s="2">
        <f t="shared" si="17"/>
        <v>46097</v>
      </c>
      <c r="L254" s="41">
        <v>46190</v>
      </c>
      <c r="M254" s="2">
        <v>46192</v>
      </c>
      <c r="N254" s="7">
        <v>100000000</v>
      </c>
      <c r="O254" s="6">
        <f t="shared" si="15"/>
        <v>3000000</v>
      </c>
      <c r="P254" s="6" t="str">
        <f t="shared" ca="1" si="16"/>
        <v>未到期</v>
      </c>
    </row>
    <row r="255" spans="1:16" s="13" customFormat="1" ht="15.4">
      <c r="A255" s="9" t="s">
        <v>2</v>
      </c>
      <c r="B255" s="2" t="s">
        <v>17</v>
      </c>
      <c r="C255" s="2" t="s">
        <v>17</v>
      </c>
      <c r="D255" s="2" t="s">
        <v>25</v>
      </c>
      <c r="E255" s="6">
        <v>3</v>
      </c>
      <c r="F255" s="11">
        <v>0.12</v>
      </c>
      <c r="G255" s="14">
        <v>0.83699999999999997</v>
      </c>
      <c r="H255" s="3">
        <v>2565.1835999999998</v>
      </c>
      <c r="I255" s="3">
        <f t="shared" si="18"/>
        <v>2147.0586731999997</v>
      </c>
      <c r="J255" s="2">
        <v>46091</v>
      </c>
      <c r="K255" s="2">
        <f t="shared" si="17"/>
        <v>46098</v>
      </c>
      <c r="L255" s="41">
        <v>46190</v>
      </c>
      <c r="M255" s="2">
        <v>46192</v>
      </c>
      <c r="N255" s="7">
        <v>100000000</v>
      </c>
      <c r="O255" s="6">
        <f t="shared" si="15"/>
        <v>3000000</v>
      </c>
      <c r="P255" s="6" t="str">
        <f t="shared" ca="1" si="16"/>
        <v>未到期</v>
      </c>
    </row>
    <row r="256" spans="1:16" s="13" customFormat="1" ht="15.4">
      <c r="A256" s="9" t="s">
        <v>1</v>
      </c>
      <c r="B256" s="2" t="s">
        <v>17</v>
      </c>
      <c r="C256" s="2" t="s">
        <v>17</v>
      </c>
      <c r="D256" s="2" t="s">
        <v>25</v>
      </c>
      <c r="E256" s="6">
        <v>3</v>
      </c>
      <c r="F256" s="11">
        <v>0.12</v>
      </c>
      <c r="G256" s="14">
        <v>0.83699999999999997</v>
      </c>
      <c r="H256" s="3">
        <v>2564.6527000000001</v>
      </c>
      <c r="I256" s="3">
        <f t="shared" si="18"/>
        <v>2146.6143099000001</v>
      </c>
      <c r="J256" s="2">
        <v>46091</v>
      </c>
      <c r="K256" s="2">
        <f t="shared" si="17"/>
        <v>46098</v>
      </c>
      <c r="L256" s="41">
        <v>46190</v>
      </c>
      <c r="M256" s="2">
        <v>46192</v>
      </c>
      <c r="N256" s="7">
        <v>100000000</v>
      </c>
      <c r="O256" s="6">
        <f t="shared" si="15"/>
        <v>3000000</v>
      </c>
      <c r="P256" s="6" t="str">
        <f t="shared" ca="1" si="16"/>
        <v>未到期</v>
      </c>
    </row>
    <row r="257" spans="1:16" s="13" customFormat="1" ht="15.4">
      <c r="A257" s="9" t="s">
        <v>0</v>
      </c>
      <c r="B257" s="2" t="s">
        <v>17</v>
      </c>
      <c r="C257" s="2" t="s">
        <v>17</v>
      </c>
      <c r="D257" s="2" t="s">
        <v>25</v>
      </c>
      <c r="E257" s="6">
        <v>3</v>
      </c>
      <c r="F257" s="11">
        <v>0.12</v>
      </c>
      <c r="G257" s="14">
        <v>0.83699999999999997</v>
      </c>
      <c r="H257" s="3">
        <v>2555.8982000000001</v>
      </c>
      <c r="I257" s="3">
        <f t="shared" si="18"/>
        <v>2139.2867934000001</v>
      </c>
      <c r="J257" s="2">
        <v>46091</v>
      </c>
      <c r="K257" s="2">
        <f t="shared" si="17"/>
        <v>46098</v>
      </c>
      <c r="L257" s="41">
        <v>46190</v>
      </c>
      <c r="M257" s="2">
        <v>46192</v>
      </c>
      <c r="N257" s="7">
        <v>100000000</v>
      </c>
      <c r="O257" s="6">
        <f t="shared" si="15"/>
        <v>3000000</v>
      </c>
      <c r="P257" s="6" t="str">
        <f t="shared" ca="1" si="16"/>
        <v>未到期</v>
      </c>
    </row>
    <row r="258" spans="1:16" s="13" customFormat="1" ht="15.4">
      <c r="A258" s="9" t="s">
        <v>18</v>
      </c>
      <c r="B258" s="2" t="s">
        <v>17</v>
      </c>
      <c r="C258" s="2" t="s">
        <v>17</v>
      </c>
      <c r="D258" s="10" t="s">
        <v>22</v>
      </c>
      <c r="E258" s="6">
        <v>3</v>
      </c>
      <c r="F258" s="29">
        <v>0.12</v>
      </c>
      <c r="G258" s="14">
        <v>0.73919999999999997</v>
      </c>
      <c r="H258" s="3">
        <v>3778.7768000000001</v>
      </c>
      <c r="I258" s="3">
        <f t="shared" si="18"/>
        <v>2793.2718105600002</v>
      </c>
      <c r="J258" s="2">
        <v>46090</v>
      </c>
      <c r="K258" s="2">
        <f t="shared" si="17"/>
        <v>46097</v>
      </c>
      <c r="L258" s="41">
        <v>46190</v>
      </c>
      <c r="M258" s="2">
        <v>46192</v>
      </c>
      <c r="N258" s="7">
        <v>200000000</v>
      </c>
      <c r="O258" s="6">
        <f t="shared" ref="O258:O321" si="19">N258*F258*E258/12</f>
        <v>6000000</v>
      </c>
      <c r="P258" s="6" t="str">
        <f t="shared" ref="P258:P276" ca="1" si="20">IF(TODAY()&gt;=L258, "已到期", "未到期")</f>
        <v>未到期</v>
      </c>
    </row>
    <row r="259" spans="1:16" s="13" customFormat="1" ht="15.4">
      <c r="A259" s="9" t="s">
        <v>18</v>
      </c>
      <c r="B259" s="2" t="s">
        <v>17</v>
      </c>
      <c r="C259" s="2" t="s">
        <v>17</v>
      </c>
      <c r="D259" s="10" t="s">
        <v>22</v>
      </c>
      <c r="E259" s="6">
        <v>3</v>
      </c>
      <c r="F259" s="29">
        <v>0.12</v>
      </c>
      <c r="G259" s="14">
        <v>0.76039999999999996</v>
      </c>
      <c r="H259" s="3">
        <v>4148</v>
      </c>
      <c r="I259" s="3">
        <f t="shared" si="18"/>
        <v>3154.1392000000001</v>
      </c>
      <c r="J259" s="2">
        <v>46091</v>
      </c>
      <c r="K259" s="2">
        <f t="shared" si="17"/>
        <v>46098</v>
      </c>
      <c r="L259" s="41">
        <v>46190</v>
      </c>
      <c r="M259" s="2">
        <v>46192</v>
      </c>
      <c r="N259" s="7">
        <v>200000000</v>
      </c>
      <c r="O259" s="6">
        <f t="shared" si="19"/>
        <v>6000000</v>
      </c>
      <c r="P259" s="6" t="str">
        <f t="shared" ca="1" si="20"/>
        <v>未到期</v>
      </c>
    </row>
    <row r="260" spans="1:16" s="13" customFormat="1" ht="15.4">
      <c r="A260" s="9" t="s">
        <v>2</v>
      </c>
      <c r="B260" s="2" t="s">
        <v>17</v>
      </c>
      <c r="C260" s="2" t="s">
        <v>17</v>
      </c>
      <c r="D260" s="10" t="s">
        <v>25</v>
      </c>
      <c r="E260" s="6">
        <v>3</v>
      </c>
      <c r="F260" s="29">
        <v>0.12</v>
      </c>
      <c r="G260" s="14">
        <v>0.82540000000000002</v>
      </c>
      <c r="H260" s="3">
        <v>6790</v>
      </c>
      <c r="I260" s="3">
        <f t="shared" si="18"/>
        <v>5604.4660000000003</v>
      </c>
      <c r="J260" s="2">
        <v>46122</v>
      </c>
      <c r="K260" s="2">
        <f t="shared" si="17"/>
        <v>46129</v>
      </c>
      <c r="L260" s="41">
        <v>46190</v>
      </c>
      <c r="M260" s="2">
        <v>46192</v>
      </c>
      <c r="N260" s="7">
        <v>100000000</v>
      </c>
      <c r="O260" s="6">
        <f t="shared" si="19"/>
        <v>3000000</v>
      </c>
      <c r="P260" s="6" t="str">
        <f t="shared" ca="1" si="20"/>
        <v>未到期</v>
      </c>
    </row>
    <row r="261" spans="1:16" s="13" customFormat="1" ht="15.4">
      <c r="A261" s="9" t="s">
        <v>1</v>
      </c>
      <c r="B261" s="2" t="s">
        <v>17</v>
      </c>
      <c r="C261" s="2" t="s">
        <v>17</v>
      </c>
      <c r="D261" s="10" t="s">
        <v>25</v>
      </c>
      <c r="E261" s="6">
        <v>3</v>
      </c>
      <c r="F261" s="29">
        <v>0.12</v>
      </c>
      <c r="G261" s="14">
        <v>0.82540000000000002</v>
      </c>
      <c r="H261" s="3">
        <v>6790</v>
      </c>
      <c r="I261" s="3">
        <f t="shared" si="18"/>
        <v>5604.4660000000003</v>
      </c>
      <c r="J261" s="2">
        <v>46122</v>
      </c>
      <c r="K261" s="2">
        <f t="shared" si="17"/>
        <v>46129</v>
      </c>
      <c r="L261" s="41">
        <v>46190</v>
      </c>
      <c r="M261" s="2">
        <v>46192</v>
      </c>
      <c r="N261" s="7">
        <v>100000000</v>
      </c>
      <c r="O261" s="6">
        <f t="shared" si="19"/>
        <v>3000000</v>
      </c>
      <c r="P261" s="6" t="str">
        <f t="shared" ca="1" si="20"/>
        <v>未到期</v>
      </c>
    </row>
    <row r="262" spans="1:16" s="13" customFormat="1" ht="15.4">
      <c r="A262" s="9" t="s">
        <v>18</v>
      </c>
      <c r="B262" s="2" t="s">
        <v>17</v>
      </c>
      <c r="C262" s="2" t="s">
        <v>17</v>
      </c>
      <c r="D262" s="10" t="s">
        <v>22</v>
      </c>
      <c r="E262" s="6">
        <v>3</v>
      </c>
      <c r="F262" s="29">
        <v>0.12</v>
      </c>
      <c r="G262" s="14">
        <v>0.76100000000000001</v>
      </c>
      <c r="H262" s="3">
        <v>4112</v>
      </c>
      <c r="I262" s="3">
        <f t="shared" si="18"/>
        <v>3129.232</v>
      </c>
      <c r="J262" s="2">
        <v>46092</v>
      </c>
      <c r="K262" s="2">
        <f t="shared" si="17"/>
        <v>46099</v>
      </c>
      <c r="L262" s="41">
        <v>46191</v>
      </c>
      <c r="M262" s="2">
        <v>46195</v>
      </c>
      <c r="N262" s="7">
        <v>200000000</v>
      </c>
      <c r="O262" s="6">
        <f t="shared" si="19"/>
        <v>6000000</v>
      </c>
      <c r="P262" s="6" t="str">
        <f t="shared" ca="1" si="20"/>
        <v>未到期</v>
      </c>
    </row>
    <row r="263" spans="1:16" s="13" customFormat="1" ht="15.4">
      <c r="A263" s="9" t="s">
        <v>18</v>
      </c>
      <c r="B263" s="2" t="s">
        <v>17</v>
      </c>
      <c r="C263" s="2" t="s">
        <v>17</v>
      </c>
      <c r="D263" s="10" t="s">
        <v>22</v>
      </c>
      <c r="E263" s="6">
        <v>3</v>
      </c>
      <c r="F263" s="29">
        <v>0.12</v>
      </c>
      <c r="G263" s="14">
        <v>0.75009999999999999</v>
      </c>
      <c r="H263" s="3">
        <v>3946.8242</v>
      </c>
      <c r="I263" s="3">
        <f t="shared" si="18"/>
        <v>2960.51283242</v>
      </c>
      <c r="J263" s="2">
        <v>46093</v>
      </c>
      <c r="K263" s="2">
        <f t="shared" si="17"/>
        <v>46100</v>
      </c>
      <c r="L263" s="41">
        <v>46192</v>
      </c>
      <c r="M263" s="2">
        <v>46195</v>
      </c>
      <c r="N263" s="7">
        <v>200000000</v>
      </c>
      <c r="O263" s="6">
        <f t="shared" si="19"/>
        <v>6000000</v>
      </c>
      <c r="P263" s="6" t="str">
        <f t="shared" ca="1" si="20"/>
        <v>未到期</v>
      </c>
    </row>
    <row r="264" spans="1:16" s="13" customFormat="1" ht="15.4">
      <c r="A264" s="9" t="s">
        <v>18</v>
      </c>
      <c r="B264" s="2" t="s">
        <v>17</v>
      </c>
      <c r="C264" s="2" t="s">
        <v>17</v>
      </c>
      <c r="D264" s="10" t="s">
        <v>22</v>
      </c>
      <c r="E264" s="6">
        <v>3</v>
      </c>
      <c r="F264" s="29">
        <v>0.12</v>
      </c>
      <c r="G264" s="14">
        <v>0.74870000000000003</v>
      </c>
      <c r="H264" s="3">
        <v>3893.1</v>
      </c>
      <c r="I264" s="3">
        <f t="shared" si="18"/>
        <v>2914.76397</v>
      </c>
      <c r="J264" s="2">
        <v>46094</v>
      </c>
      <c r="K264" s="2">
        <f>J264+10</f>
        <v>46104</v>
      </c>
      <c r="L264" s="41">
        <v>46196</v>
      </c>
      <c r="M264" s="2">
        <v>46198</v>
      </c>
      <c r="N264" s="7">
        <v>200000000</v>
      </c>
      <c r="O264" s="6">
        <f t="shared" si="19"/>
        <v>6000000</v>
      </c>
      <c r="P264" s="6" t="str">
        <f t="shared" ca="1" si="20"/>
        <v>未到期</v>
      </c>
    </row>
    <row r="265" spans="1:16" s="13" customFormat="1" ht="15.4">
      <c r="A265" s="9" t="s">
        <v>2</v>
      </c>
      <c r="B265" s="2" t="s">
        <v>17</v>
      </c>
      <c r="C265" s="2" t="s">
        <v>17</v>
      </c>
      <c r="D265" s="2" t="s">
        <v>25</v>
      </c>
      <c r="E265" s="6">
        <v>3</v>
      </c>
      <c r="F265" s="11">
        <v>0.12</v>
      </c>
      <c r="G265" s="14">
        <v>0.82589999999999997</v>
      </c>
      <c r="H265" s="3">
        <v>3351</v>
      </c>
      <c r="I265" s="3">
        <f t="shared" si="18"/>
        <v>2767.5908999999997</v>
      </c>
      <c r="J265" s="2">
        <v>46098</v>
      </c>
      <c r="K265" s="2">
        <f t="shared" ref="K265:K276" si="21">J265+7</f>
        <v>46105</v>
      </c>
      <c r="L265" s="41">
        <v>46197</v>
      </c>
      <c r="M265" s="2">
        <v>46199</v>
      </c>
      <c r="N265" s="7">
        <v>100000000</v>
      </c>
      <c r="O265" s="6">
        <f t="shared" si="19"/>
        <v>3000000</v>
      </c>
      <c r="P265" s="6" t="str">
        <f t="shared" ca="1" si="20"/>
        <v>未到期</v>
      </c>
    </row>
    <row r="266" spans="1:16" s="13" customFormat="1" ht="15.4">
      <c r="A266" s="9" t="s">
        <v>1</v>
      </c>
      <c r="B266" s="2" t="s">
        <v>17</v>
      </c>
      <c r="C266" s="2" t="s">
        <v>17</v>
      </c>
      <c r="D266" s="2" t="s">
        <v>25</v>
      </c>
      <c r="E266" s="6">
        <v>3</v>
      </c>
      <c r="F266" s="11">
        <v>0.12</v>
      </c>
      <c r="G266" s="14">
        <v>0.82589999999999997</v>
      </c>
      <c r="H266" s="3">
        <v>3350</v>
      </c>
      <c r="I266" s="3">
        <f t="shared" si="18"/>
        <v>2766.7649999999999</v>
      </c>
      <c r="J266" s="2">
        <v>46098</v>
      </c>
      <c r="K266" s="2">
        <f t="shared" si="21"/>
        <v>46105</v>
      </c>
      <c r="L266" s="41">
        <v>46197</v>
      </c>
      <c r="M266" s="2">
        <v>46199</v>
      </c>
      <c r="N266" s="7">
        <v>100000000</v>
      </c>
      <c r="O266" s="6">
        <f t="shared" si="19"/>
        <v>3000000</v>
      </c>
      <c r="P266" s="6" t="str">
        <f t="shared" ca="1" si="20"/>
        <v>未到期</v>
      </c>
    </row>
    <row r="267" spans="1:16" s="13" customFormat="1" ht="15.4">
      <c r="A267" s="9" t="s">
        <v>0</v>
      </c>
      <c r="B267" s="2" t="s">
        <v>17</v>
      </c>
      <c r="C267" s="2" t="s">
        <v>17</v>
      </c>
      <c r="D267" s="2" t="s">
        <v>25</v>
      </c>
      <c r="E267" s="6">
        <v>3</v>
      </c>
      <c r="F267" s="11">
        <v>0.12</v>
      </c>
      <c r="G267" s="14">
        <v>0.82589999999999997</v>
      </c>
      <c r="H267" s="3">
        <v>3350</v>
      </c>
      <c r="I267" s="3">
        <f t="shared" si="18"/>
        <v>2766.7649999999999</v>
      </c>
      <c r="J267" s="2">
        <v>46098</v>
      </c>
      <c r="K267" s="2">
        <f t="shared" si="21"/>
        <v>46105</v>
      </c>
      <c r="L267" s="41">
        <v>46197</v>
      </c>
      <c r="M267" s="2">
        <v>46199</v>
      </c>
      <c r="N267" s="7">
        <v>100000000</v>
      </c>
      <c r="O267" s="6">
        <f t="shared" si="19"/>
        <v>3000000</v>
      </c>
      <c r="P267" s="6" t="str">
        <f t="shared" ca="1" si="20"/>
        <v>未到期</v>
      </c>
    </row>
    <row r="268" spans="1:16" s="13" customFormat="1" ht="15.4">
      <c r="A268" s="9" t="s">
        <v>2</v>
      </c>
      <c r="B268" s="2" t="s">
        <v>17</v>
      </c>
      <c r="C268" s="2" t="s">
        <v>17</v>
      </c>
      <c r="D268" s="2" t="s">
        <v>25</v>
      </c>
      <c r="E268" s="6">
        <v>3</v>
      </c>
      <c r="F268" s="11">
        <v>0.12</v>
      </c>
      <c r="G268" s="14">
        <v>0.8377</v>
      </c>
      <c r="H268" s="3">
        <v>2434</v>
      </c>
      <c r="I268" s="3">
        <f t="shared" si="18"/>
        <v>2038.9618</v>
      </c>
      <c r="J268" s="2">
        <v>46098</v>
      </c>
      <c r="K268" s="2">
        <f t="shared" si="21"/>
        <v>46105</v>
      </c>
      <c r="L268" s="41">
        <v>46197</v>
      </c>
      <c r="M268" s="2">
        <v>46199</v>
      </c>
      <c r="N268" s="7">
        <v>100000000</v>
      </c>
      <c r="O268" s="6">
        <f t="shared" si="19"/>
        <v>3000000</v>
      </c>
      <c r="P268" s="6" t="str">
        <f t="shared" ca="1" si="20"/>
        <v>未到期</v>
      </c>
    </row>
    <row r="269" spans="1:16" s="13" customFormat="1" ht="15.4">
      <c r="A269" s="9" t="s">
        <v>1</v>
      </c>
      <c r="B269" s="2" t="s">
        <v>17</v>
      </c>
      <c r="C269" s="2" t="s">
        <v>17</v>
      </c>
      <c r="D269" s="2" t="s">
        <v>25</v>
      </c>
      <c r="E269" s="6">
        <v>3</v>
      </c>
      <c r="F269" s="11">
        <v>0.12</v>
      </c>
      <c r="G269" s="14">
        <v>0.8377</v>
      </c>
      <c r="H269" s="3">
        <v>2418</v>
      </c>
      <c r="I269" s="3">
        <f t="shared" si="18"/>
        <v>2025.5586000000001</v>
      </c>
      <c r="J269" s="2">
        <v>46098</v>
      </c>
      <c r="K269" s="2">
        <f t="shared" si="21"/>
        <v>46105</v>
      </c>
      <c r="L269" s="41">
        <v>46197</v>
      </c>
      <c r="M269" s="2">
        <v>46199</v>
      </c>
      <c r="N269" s="7">
        <v>100000000</v>
      </c>
      <c r="O269" s="6">
        <f t="shared" si="19"/>
        <v>3000000</v>
      </c>
      <c r="P269" s="6" t="str">
        <f t="shared" ca="1" si="20"/>
        <v>未到期</v>
      </c>
    </row>
    <row r="270" spans="1:16" s="13" customFormat="1" ht="15.4">
      <c r="A270" s="9" t="s">
        <v>0</v>
      </c>
      <c r="B270" s="2" t="s">
        <v>17</v>
      </c>
      <c r="C270" s="2" t="s">
        <v>17</v>
      </c>
      <c r="D270" s="2" t="s">
        <v>25</v>
      </c>
      <c r="E270" s="6">
        <v>3</v>
      </c>
      <c r="F270" s="11">
        <v>0.12</v>
      </c>
      <c r="G270" s="14">
        <v>0.84550000000000003</v>
      </c>
      <c r="H270" s="3">
        <v>3039.3296</v>
      </c>
      <c r="I270" s="3">
        <f t="shared" si="18"/>
        <v>2569.7531767999999</v>
      </c>
      <c r="J270" s="2">
        <v>46098</v>
      </c>
      <c r="K270" s="2">
        <f t="shared" si="21"/>
        <v>46105</v>
      </c>
      <c r="L270" s="41">
        <v>46197</v>
      </c>
      <c r="M270" s="2">
        <v>46199</v>
      </c>
      <c r="N270" s="7">
        <v>100000000</v>
      </c>
      <c r="O270" s="6">
        <f t="shared" si="19"/>
        <v>3000000</v>
      </c>
      <c r="P270" s="6" t="str">
        <f t="shared" ca="1" si="20"/>
        <v>未到期</v>
      </c>
    </row>
    <row r="271" spans="1:16" s="13" customFormat="1" ht="15.4">
      <c r="A271" s="9" t="s">
        <v>18</v>
      </c>
      <c r="B271" s="2" t="s">
        <v>17</v>
      </c>
      <c r="C271" s="2" t="s">
        <v>17</v>
      </c>
      <c r="D271" s="10" t="s">
        <v>22</v>
      </c>
      <c r="E271" s="6">
        <v>3</v>
      </c>
      <c r="F271" s="29">
        <v>0.12</v>
      </c>
      <c r="G271" s="14">
        <v>0.74339999999999995</v>
      </c>
      <c r="H271" s="3">
        <v>4155.2977000000001</v>
      </c>
      <c r="I271" s="3">
        <f t="shared" si="18"/>
        <v>3089.04831018</v>
      </c>
      <c r="J271" s="2">
        <v>46100</v>
      </c>
      <c r="K271" s="2">
        <f t="shared" si="21"/>
        <v>46107</v>
      </c>
      <c r="L271" s="41">
        <v>46199</v>
      </c>
      <c r="M271" s="2">
        <v>46203</v>
      </c>
      <c r="N271" s="7">
        <v>100000000</v>
      </c>
      <c r="O271" s="6">
        <f t="shared" si="19"/>
        <v>3000000</v>
      </c>
      <c r="P271" s="6" t="str">
        <f t="shared" ca="1" si="20"/>
        <v>未到期</v>
      </c>
    </row>
    <row r="272" spans="1:16" s="13" customFormat="1" ht="15.4">
      <c r="A272" s="9" t="s">
        <v>2</v>
      </c>
      <c r="B272" s="2" t="s">
        <v>17</v>
      </c>
      <c r="C272" s="2" t="s">
        <v>17</v>
      </c>
      <c r="D272" s="2" t="s">
        <v>25</v>
      </c>
      <c r="E272" s="6">
        <v>3</v>
      </c>
      <c r="F272" s="11">
        <v>0.1</v>
      </c>
      <c r="G272" s="14">
        <v>0.89659999999999995</v>
      </c>
      <c r="H272" s="3">
        <v>157.69999999999999</v>
      </c>
      <c r="I272" s="3">
        <f t="shared" si="18"/>
        <v>141.39381999999998</v>
      </c>
      <c r="J272" s="2">
        <v>46107</v>
      </c>
      <c r="K272" s="2">
        <f t="shared" si="21"/>
        <v>46114</v>
      </c>
      <c r="L272" s="41">
        <v>46205</v>
      </c>
      <c r="M272" s="2">
        <v>46207</v>
      </c>
      <c r="N272" s="7">
        <v>100000000</v>
      </c>
      <c r="O272" s="6">
        <f t="shared" si="19"/>
        <v>2500000</v>
      </c>
      <c r="P272" s="6" t="str">
        <f t="shared" ca="1" si="20"/>
        <v>未到期</v>
      </c>
    </row>
    <row r="273" spans="1:16" s="13" customFormat="1" ht="15.4">
      <c r="A273" s="9" t="s">
        <v>1</v>
      </c>
      <c r="B273" s="2" t="s">
        <v>17</v>
      </c>
      <c r="C273" s="2" t="s">
        <v>17</v>
      </c>
      <c r="D273" s="2" t="s">
        <v>25</v>
      </c>
      <c r="E273" s="6">
        <v>3</v>
      </c>
      <c r="F273" s="11">
        <v>0.1</v>
      </c>
      <c r="G273" s="14">
        <v>0.89659999999999995</v>
      </c>
      <c r="H273" s="3">
        <v>157.5</v>
      </c>
      <c r="I273" s="3">
        <f t="shared" si="18"/>
        <v>141.21449999999999</v>
      </c>
      <c r="J273" s="2">
        <v>46107</v>
      </c>
      <c r="K273" s="2">
        <f t="shared" si="21"/>
        <v>46114</v>
      </c>
      <c r="L273" s="41">
        <v>46205</v>
      </c>
      <c r="M273" s="2">
        <v>46207</v>
      </c>
      <c r="N273" s="7">
        <v>100000000</v>
      </c>
      <c r="O273" s="6">
        <f t="shared" si="19"/>
        <v>2500000</v>
      </c>
      <c r="P273" s="6" t="str">
        <f t="shared" ca="1" si="20"/>
        <v>未到期</v>
      </c>
    </row>
    <row r="274" spans="1:16" s="13" customFormat="1" ht="15.4">
      <c r="A274" s="9" t="s">
        <v>0</v>
      </c>
      <c r="B274" s="2" t="s">
        <v>17</v>
      </c>
      <c r="C274" s="2" t="s">
        <v>17</v>
      </c>
      <c r="D274" s="2" t="s">
        <v>25</v>
      </c>
      <c r="E274" s="6">
        <v>3</v>
      </c>
      <c r="F274" s="11">
        <v>0.1</v>
      </c>
      <c r="G274" s="14">
        <v>0.89659999999999995</v>
      </c>
      <c r="H274" s="3">
        <v>157.80000000000001</v>
      </c>
      <c r="I274" s="3">
        <f t="shared" si="18"/>
        <v>141.48348000000001</v>
      </c>
      <c r="J274" s="2">
        <v>46107</v>
      </c>
      <c r="K274" s="2">
        <f t="shared" si="21"/>
        <v>46114</v>
      </c>
      <c r="L274" s="41">
        <v>46205</v>
      </c>
      <c r="M274" s="2">
        <v>46207</v>
      </c>
      <c r="N274" s="7">
        <v>100000000</v>
      </c>
      <c r="O274" s="6">
        <f t="shared" si="19"/>
        <v>2500000</v>
      </c>
      <c r="P274" s="6" t="str">
        <f t="shared" ca="1" si="20"/>
        <v>未到期</v>
      </c>
    </row>
    <row r="275" spans="1:16" s="13" customFormat="1" ht="15.4">
      <c r="A275" s="9" t="s">
        <v>18</v>
      </c>
      <c r="B275" s="2" t="s">
        <v>17</v>
      </c>
      <c r="C275" s="2" t="s">
        <v>17</v>
      </c>
      <c r="D275" s="10" t="s">
        <v>22</v>
      </c>
      <c r="E275" s="6">
        <v>3</v>
      </c>
      <c r="F275" s="29">
        <v>0.15</v>
      </c>
      <c r="G275" s="14">
        <v>0.76239999999999997</v>
      </c>
      <c r="H275" s="3">
        <v>3765.5801999999999</v>
      </c>
      <c r="I275" s="3">
        <f t="shared" si="18"/>
        <v>2870.8783444799997</v>
      </c>
      <c r="J275" s="2">
        <v>46111</v>
      </c>
      <c r="K275" s="2">
        <f t="shared" si="21"/>
        <v>46118</v>
      </c>
      <c r="L275" s="41">
        <v>46209</v>
      </c>
      <c r="M275" s="2">
        <v>46211</v>
      </c>
      <c r="N275" s="7">
        <v>200000000</v>
      </c>
      <c r="O275" s="6">
        <f t="shared" si="19"/>
        <v>7500000</v>
      </c>
      <c r="P275" s="6" t="str">
        <f t="shared" ca="1" si="20"/>
        <v>未到期</v>
      </c>
    </row>
    <row r="276" spans="1:16" s="13" customFormat="1" ht="15.4">
      <c r="A276" s="9" t="s">
        <v>18</v>
      </c>
      <c r="B276" s="2" t="s">
        <v>17</v>
      </c>
      <c r="C276" s="2" t="s">
        <v>17</v>
      </c>
      <c r="D276" s="10" t="s">
        <v>22</v>
      </c>
      <c r="E276" s="6">
        <v>3</v>
      </c>
      <c r="F276" s="29">
        <v>0.15</v>
      </c>
      <c r="G276" s="14">
        <v>0.77329999999999999</v>
      </c>
      <c r="H276" s="3">
        <v>3872.5</v>
      </c>
      <c r="I276" s="3">
        <f t="shared" si="18"/>
        <v>2994.6042499999999</v>
      </c>
      <c r="J276" s="2">
        <v>46115</v>
      </c>
      <c r="K276" s="2">
        <f t="shared" si="21"/>
        <v>46122</v>
      </c>
      <c r="L276" s="41">
        <v>46213</v>
      </c>
      <c r="M276" s="2">
        <f>L276+4</f>
        <v>46217</v>
      </c>
      <c r="N276" s="7">
        <v>400000000</v>
      </c>
      <c r="O276" s="6">
        <f t="shared" si="19"/>
        <v>15000000</v>
      </c>
      <c r="P276" s="6" t="str">
        <f t="shared" ca="1" si="20"/>
        <v>未到期</v>
      </c>
    </row>
  </sheetData>
  <autoFilter ref="A1:P276" xr:uid="{FA78D115-060A-4BF7-BC16-DA8C9FD28EF3}">
    <sortState xmlns:xlrd2="http://schemas.microsoft.com/office/spreadsheetml/2017/richdata2" ref="A2:P276">
      <sortCondition ref="L1:L276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Database_FCN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黃建樺</dc:creator>
  <cp:lastModifiedBy>黃建樺</cp:lastModifiedBy>
  <dcterms:created xsi:type="dcterms:W3CDTF">2026-04-08T09:23:59Z</dcterms:created>
  <dcterms:modified xsi:type="dcterms:W3CDTF">2026-04-10T15:03:55Z</dcterms:modified>
</cp:coreProperties>
</file>