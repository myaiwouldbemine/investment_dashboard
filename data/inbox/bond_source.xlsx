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rthuang\Downloads\"/>
    </mc:Choice>
  </mc:AlternateContent>
  <xr:revisionPtr revIDLastSave="0" documentId="13_ncr:1_{525C5038-01EB-47A7-8335-51B29A7FF9DF}" xr6:coauthVersionLast="47" xr6:coauthVersionMax="47" xr10:uidLastSave="{00000000-0000-0000-0000-000000000000}"/>
  <bookViews>
    <workbookView xWindow="-98" yWindow="-98" windowWidth="21795" windowHeight="12975" activeTab="1" xr2:uid="{F4B920CC-3A65-45DD-9484-B31ACBF9F997}"/>
  </bookViews>
  <sheets>
    <sheet name="Database_Bonds" sheetId="1" r:id="rId1"/>
    <sheet name="Database_Pay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0" i="1" l="1"/>
  <c r="V250" i="1"/>
  <c r="U250" i="1"/>
  <c r="AB250" i="1" s="1"/>
  <c r="S250" i="1"/>
  <c r="N250" i="1"/>
  <c r="AA250" i="1" s="1"/>
  <c r="AA249" i="1"/>
  <c r="Z249" i="1"/>
  <c r="W249" i="1"/>
  <c r="X249" i="1" s="1"/>
  <c r="Y249" i="1" s="1"/>
  <c r="S249" i="1"/>
  <c r="U249" i="1" s="1"/>
  <c r="AB249" i="1" s="1"/>
  <c r="N249" i="1"/>
  <c r="Z248" i="1"/>
  <c r="U248" i="1"/>
  <c r="S248" i="1"/>
  <c r="N248" i="1"/>
  <c r="AA247" i="1"/>
  <c r="Z247" i="1"/>
  <c r="V247" i="1"/>
  <c r="S247" i="1"/>
  <c r="U247" i="1" s="1"/>
  <c r="AB247" i="1" s="1"/>
  <c r="N247" i="1"/>
  <c r="W247" i="1" s="1"/>
  <c r="X247" i="1" s="1"/>
  <c r="Y247" i="1" s="1"/>
  <c r="Z246" i="1"/>
  <c r="W246" i="1"/>
  <c r="X246" i="1" s="1"/>
  <c r="Y246" i="1" s="1"/>
  <c r="V246" i="1"/>
  <c r="U246" i="1"/>
  <c r="AB246" i="1" s="1"/>
  <c r="S246" i="1"/>
  <c r="N246" i="1"/>
  <c r="AA246" i="1" s="1"/>
  <c r="Z245" i="1"/>
  <c r="V245" i="1"/>
  <c r="U245" i="1"/>
  <c r="AB245" i="1" s="1"/>
  <c r="S245" i="1"/>
  <c r="N245" i="1"/>
  <c r="AA245" i="1" s="1"/>
  <c r="AA244" i="1"/>
  <c r="Z244" i="1"/>
  <c r="V244" i="1"/>
  <c r="S244" i="1"/>
  <c r="U244" i="1" s="1"/>
  <c r="AB244" i="1" s="1"/>
  <c r="N244" i="1"/>
  <c r="W244" i="1" s="1"/>
  <c r="X244" i="1" s="1"/>
  <c r="Y244" i="1" s="1"/>
  <c r="Z243" i="1"/>
  <c r="S243" i="1"/>
  <c r="U243" i="1" s="1"/>
  <c r="AB243" i="1" s="1"/>
  <c r="N243" i="1"/>
  <c r="AA243" i="1" s="1"/>
  <c r="AA242" i="1"/>
  <c r="Z242" i="1"/>
  <c r="W242" i="1"/>
  <c r="X242" i="1" s="1"/>
  <c r="Y242" i="1" s="1"/>
  <c r="U242" i="1"/>
  <c r="AB242" i="1" s="1"/>
  <c r="S242" i="1"/>
  <c r="N242" i="1"/>
  <c r="Z241" i="1"/>
  <c r="W241" i="1"/>
  <c r="X241" i="1" s="1"/>
  <c r="Y241" i="1" s="1"/>
  <c r="V241" i="1"/>
  <c r="U241" i="1"/>
  <c r="AB241" i="1" s="1"/>
  <c r="S241" i="1"/>
  <c r="N241" i="1"/>
  <c r="AA241" i="1" s="1"/>
  <c r="Z240" i="1"/>
  <c r="U240" i="1"/>
  <c r="AB240" i="1" s="1"/>
  <c r="S240" i="1"/>
  <c r="N240" i="1"/>
  <c r="AA240" i="1" s="1"/>
  <c r="Z239" i="1"/>
  <c r="Y239" i="1"/>
  <c r="X239" i="1"/>
  <c r="W239" i="1"/>
  <c r="V239" i="1"/>
  <c r="S239" i="1"/>
  <c r="U239" i="1" s="1"/>
  <c r="AB239" i="1" s="1"/>
  <c r="N239" i="1"/>
  <c r="AA239" i="1" s="1"/>
  <c r="Z238" i="1"/>
  <c r="V238" i="1"/>
  <c r="S238" i="1"/>
  <c r="U238" i="1" s="1"/>
  <c r="AB238" i="1" s="1"/>
  <c r="N238" i="1"/>
  <c r="AA238" i="1" s="1"/>
  <c r="AA237" i="1"/>
  <c r="Z237" i="1"/>
  <c r="W237" i="1"/>
  <c r="X237" i="1" s="1"/>
  <c r="Y237" i="1" s="1"/>
  <c r="V237" i="1"/>
  <c r="S237" i="1"/>
  <c r="U237" i="1" s="1"/>
  <c r="AB237" i="1" s="1"/>
  <c r="N237" i="1"/>
  <c r="AA236" i="1"/>
  <c r="Z236" i="1"/>
  <c r="X236" i="1"/>
  <c r="Y236" i="1" s="1"/>
  <c r="W236" i="1"/>
  <c r="V236" i="1"/>
  <c r="S236" i="1"/>
  <c r="U236" i="1" s="1"/>
  <c r="AB236" i="1" s="1"/>
  <c r="N236" i="1"/>
  <c r="AA235" i="1"/>
  <c r="Z235" i="1"/>
  <c r="W235" i="1"/>
  <c r="X235" i="1" s="1"/>
  <c r="Y235" i="1" s="1"/>
  <c r="V235" i="1"/>
  <c r="S235" i="1"/>
  <c r="U235" i="1" s="1"/>
  <c r="AB235" i="1" s="1"/>
  <c r="N235" i="1"/>
  <c r="AA234" i="1"/>
  <c r="Z234" i="1"/>
  <c r="V234" i="1"/>
  <c r="S234" i="1"/>
  <c r="U234" i="1" s="1"/>
  <c r="AB234" i="1" s="1"/>
  <c r="N234" i="1"/>
  <c r="W234" i="1" s="1"/>
  <c r="X234" i="1" s="1"/>
  <c r="Y234" i="1" s="1"/>
  <c r="Z233" i="1"/>
  <c r="U233" i="1"/>
  <c r="AB233" i="1" s="1"/>
  <c r="S233" i="1"/>
  <c r="N233" i="1"/>
  <c r="AA233" i="1" s="1"/>
  <c r="AA232" i="1"/>
  <c r="Z232" i="1"/>
  <c r="W232" i="1"/>
  <c r="X232" i="1" s="1"/>
  <c r="Y232" i="1" s="1"/>
  <c r="S232" i="1"/>
  <c r="U232" i="1" s="1"/>
  <c r="AB232" i="1" s="1"/>
  <c r="N232" i="1"/>
  <c r="Z231" i="1"/>
  <c r="X231" i="1"/>
  <c r="Y231" i="1" s="1"/>
  <c r="W231" i="1"/>
  <c r="U231" i="1"/>
  <c r="AB231" i="1" s="1"/>
  <c r="S231" i="1"/>
  <c r="N231" i="1"/>
  <c r="AA231" i="1" s="1"/>
  <c r="AB230" i="1"/>
  <c r="Z230" i="1"/>
  <c r="Y230" i="1"/>
  <c r="X230" i="1"/>
  <c r="V230" i="1"/>
  <c r="S230" i="1"/>
  <c r="N230" i="1"/>
  <c r="AA230" i="1" s="1"/>
  <c r="Z229" i="1"/>
  <c r="V229" i="1"/>
  <c r="S229" i="1"/>
  <c r="N229" i="1"/>
  <c r="AA228" i="1"/>
  <c r="Z228" i="1"/>
  <c r="W228" i="1"/>
  <c r="X228" i="1" s="1"/>
  <c r="Y228" i="1" s="1"/>
  <c r="S228" i="1"/>
  <c r="N228" i="1"/>
  <c r="AB228" i="1" s="1"/>
  <c r="AB227" i="1"/>
  <c r="AA227" i="1"/>
  <c r="Z227" i="1"/>
  <c r="Y227" i="1"/>
  <c r="X227" i="1"/>
  <c r="W227" i="1"/>
  <c r="S227" i="1"/>
  <c r="AB226" i="1"/>
  <c r="Z226" i="1"/>
  <c r="U226" i="1"/>
  <c r="T226" i="1"/>
  <c r="S226" i="1"/>
  <c r="N226" i="1"/>
  <c r="AA226" i="1" s="1"/>
  <c r="AA225" i="1"/>
  <c r="Z225" i="1"/>
  <c r="W225" i="1"/>
  <c r="X225" i="1" s="1"/>
  <c r="Y225" i="1" s="1"/>
  <c r="U225" i="1"/>
  <c r="AB225" i="1" s="1"/>
  <c r="S225" i="1"/>
  <c r="N225" i="1"/>
  <c r="Z224" i="1"/>
  <c r="U224" i="1"/>
  <c r="S224" i="1"/>
  <c r="N224" i="1"/>
  <c r="Z223" i="1"/>
  <c r="S223" i="1"/>
  <c r="U223" i="1" s="1"/>
  <c r="AB223" i="1" s="1"/>
  <c r="N223" i="1"/>
  <c r="W223" i="1" s="1"/>
  <c r="X223" i="1" s="1"/>
  <c r="Y223" i="1" s="1"/>
  <c r="Z222" i="1"/>
  <c r="V222" i="1"/>
  <c r="U222" i="1"/>
  <c r="AB222" i="1" s="1"/>
  <c r="S222" i="1"/>
  <c r="N222" i="1"/>
  <c r="AA222" i="1" s="1"/>
  <c r="AB221" i="1"/>
  <c r="AA221" i="1"/>
  <c r="Z221" i="1"/>
  <c r="W221" i="1"/>
  <c r="X221" i="1" s="1"/>
  <c r="Y221" i="1" s="1"/>
  <c r="S221" i="1"/>
  <c r="N221" i="1"/>
  <c r="Z220" i="1"/>
  <c r="V220" i="1"/>
  <c r="S220" i="1"/>
  <c r="U220" i="1" s="1"/>
  <c r="N220" i="1"/>
  <c r="AA219" i="1"/>
  <c r="Z219" i="1"/>
  <c r="Y219" i="1"/>
  <c r="W219" i="1"/>
  <c r="X219" i="1" s="1"/>
  <c r="V219" i="1"/>
  <c r="S219" i="1"/>
  <c r="U219" i="1" s="1"/>
  <c r="AB219" i="1" s="1"/>
  <c r="N219" i="1"/>
  <c r="AA218" i="1"/>
  <c r="Z218" i="1"/>
  <c r="W218" i="1"/>
  <c r="X218" i="1" s="1"/>
  <c r="Y218" i="1" s="1"/>
  <c r="S218" i="1"/>
  <c r="U218" i="1" s="1"/>
  <c r="AB218" i="1" s="1"/>
  <c r="N218" i="1"/>
  <c r="Z217" i="1"/>
  <c r="S217" i="1"/>
  <c r="U217" i="1" s="1"/>
  <c r="AB217" i="1" s="1"/>
  <c r="N217" i="1"/>
  <c r="AA217" i="1" s="1"/>
  <c r="AA216" i="1"/>
  <c r="Z216" i="1"/>
  <c r="W216" i="1"/>
  <c r="X216" i="1" s="1"/>
  <c r="Y216" i="1" s="1"/>
  <c r="S216" i="1"/>
  <c r="U216" i="1" s="1"/>
  <c r="AB216" i="1" s="1"/>
  <c r="N216" i="1"/>
  <c r="Z215" i="1"/>
  <c r="W215" i="1"/>
  <c r="X215" i="1" s="1"/>
  <c r="Y215" i="1" s="1"/>
  <c r="U215" i="1"/>
  <c r="AB215" i="1" s="1"/>
  <c r="S215" i="1"/>
  <c r="N215" i="1"/>
  <c r="AA215" i="1" s="1"/>
  <c r="AB214" i="1"/>
  <c r="AA214" i="1"/>
  <c r="Z214" i="1"/>
  <c r="W214" i="1"/>
  <c r="X214" i="1" s="1"/>
  <c r="Y214" i="1" s="1"/>
  <c r="V214" i="1"/>
  <c r="U214" i="1"/>
  <c r="S214" i="1"/>
  <c r="N214" i="1"/>
  <c r="Z213" i="1"/>
  <c r="Y213" i="1"/>
  <c r="X213" i="1"/>
  <c r="W213" i="1"/>
  <c r="V213" i="1"/>
  <c r="U213" i="1"/>
  <c r="AB213" i="1" s="1"/>
  <c r="S213" i="1"/>
  <c r="N213" i="1"/>
  <c r="AA213" i="1" s="1"/>
  <c r="AA212" i="1"/>
  <c r="Z212" i="1"/>
  <c r="V212" i="1"/>
  <c r="S212" i="1"/>
  <c r="U212" i="1" s="1"/>
  <c r="AB212" i="1" s="1"/>
  <c r="N212" i="1"/>
  <c r="W212" i="1" s="1"/>
  <c r="X212" i="1" s="1"/>
  <c r="Y212" i="1" s="1"/>
  <c r="AA211" i="1"/>
  <c r="Z211" i="1"/>
  <c r="W211" i="1"/>
  <c r="X211" i="1" s="1"/>
  <c r="Y211" i="1" s="1"/>
  <c r="V211" i="1"/>
  <c r="U211" i="1"/>
  <c r="AB211" i="1" s="1"/>
  <c r="S211" i="1"/>
  <c r="N211" i="1"/>
  <c r="Z210" i="1"/>
  <c r="U210" i="1"/>
  <c r="AB210" i="1" s="1"/>
  <c r="T210" i="1"/>
  <c r="S210" i="1"/>
  <c r="N210" i="1"/>
  <c r="AA209" i="1"/>
  <c r="Z209" i="1"/>
  <c r="W209" i="1"/>
  <c r="X209" i="1" s="1"/>
  <c r="Y209" i="1" s="1"/>
  <c r="S209" i="1"/>
  <c r="N209" i="1"/>
  <c r="AB208" i="1"/>
  <c r="AA208" i="1"/>
  <c r="Z208" i="1"/>
  <c r="W208" i="1"/>
  <c r="X208" i="1" s="1"/>
  <c r="Y208" i="1" s="1"/>
  <c r="S208" i="1"/>
  <c r="U208" i="1" s="1"/>
  <c r="N208" i="1"/>
  <c r="AB207" i="1"/>
  <c r="Z207" i="1"/>
  <c r="S207" i="1"/>
  <c r="U207" i="1" s="1"/>
  <c r="N207" i="1"/>
  <c r="AA207" i="1" s="1"/>
  <c r="Z206" i="1"/>
  <c r="N206" i="1"/>
  <c r="W206" i="1" s="1"/>
  <c r="X206" i="1" s="1"/>
  <c r="Y206" i="1" s="1"/>
  <c r="AB205" i="1"/>
  <c r="AA205" i="1"/>
  <c r="Z205" i="1"/>
  <c r="W205" i="1"/>
  <c r="X205" i="1" s="1"/>
  <c r="Y205" i="1" s="1"/>
  <c r="N205" i="1"/>
  <c r="AA204" i="1"/>
  <c r="Z204" i="1"/>
  <c r="W204" i="1"/>
  <c r="X204" i="1" s="1"/>
  <c r="Y204" i="1" s="1"/>
  <c r="S204" i="1"/>
  <c r="U204" i="1" s="1"/>
  <c r="AB204" i="1" s="1"/>
  <c r="N204" i="1"/>
  <c r="Z203" i="1"/>
  <c r="V203" i="1"/>
  <c r="U203" i="1"/>
  <c r="AB203" i="1" s="1"/>
  <c r="S203" i="1"/>
  <c r="N203" i="1"/>
  <c r="AA203" i="1" s="1"/>
  <c r="AA202" i="1"/>
  <c r="Z202" i="1"/>
  <c r="W202" i="1"/>
  <c r="X202" i="1" s="1"/>
  <c r="Y202" i="1" s="1"/>
  <c r="V202" i="1"/>
  <c r="S202" i="1"/>
  <c r="U202" i="1" s="1"/>
  <c r="AB202" i="1" s="1"/>
  <c r="N202" i="1"/>
  <c r="Z201" i="1"/>
  <c r="Y201" i="1"/>
  <c r="X201" i="1"/>
  <c r="W201" i="1"/>
  <c r="V201" i="1"/>
  <c r="N201" i="1"/>
  <c r="AB201" i="1" s="1"/>
  <c r="AB200" i="1"/>
  <c r="Z200" i="1"/>
  <c r="V200" i="1"/>
  <c r="U200" i="1"/>
  <c r="S200" i="1"/>
  <c r="N200" i="1"/>
  <c r="AA200" i="1" s="1"/>
  <c r="AA199" i="1"/>
  <c r="Z199" i="1"/>
  <c r="V199" i="1"/>
  <c r="S199" i="1"/>
  <c r="U199" i="1" s="1"/>
  <c r="AB199" i="1" s="1"/>
  <c r="N199" i="1"/>
  <c r="W199" i="1" s="1"/>
  <c r="X199" i="1" s="1"/>
  <c r="Y199" i="1" s="1"/>
  <c r="AB198" i="1"/>
  <c r="Z198" i="1"/>
  <c r="V198" i="1"/>
  <c r="N198" i="1"/>
  <c r="AA197" i="1"/>
  <c r="Z197" i="1"/>
  <c r="V197" i="1"/>
  <c r="S197" i="1"/>
  <c r="U197" i="1" s="1"/>
  <c r="AB197" i="1" s="1"/>
  <c r="N197" i="1"/>
  <c r="W197" i="1" s="1"/>
  <c r="X197" i="1" s="1"/>
  <c r="Y197" i="1" s="1"/>
  <c r="Z196" i="1"/>
  <c r="W196" i="1"/>
  <c r="X196" i="1" s="1"/>
  <c r="Y196" i="1" s="1"/>
  <c r="V196" i="1"/>
  <c r="U196" i="1"/>
  <c r="AB196" i="1" s="1"/>
  <c r="S196" i="1"/>
  <c r="N196" i="1"/>
  <c r="AA196" i="1" s="1"/>
  <c r="AB195" i="1"/>
  <c r="Z195" i="1"/>
  <c r="V195" i="1"/>
  <c r="U195" i="1"/>
  <c r="S195" i="1"/>
  <c r="N195" i="1"/>
  <c r="AA195" i="1" s="1"/>
  <c r="AA194" i="1"/>
  <c r="Z194" i="1"/>
  <c r="W194" i="1"/>
  <c r="X194" i="1" s="1"/>
  <c r="Y194" i="1" s="1"/>
  <c r="U194" i="1"/>
  <c r="AB194" i="1" s="1"/>
  <c r="S194" i="1"/>
  <c r="N194" i="1"/>
  <c r="AA193" i="1"/>
  <c r="Z193" i="1"/>
  <c r="V193" i="1"/>
  <c r="S193" i="1"/>
  <c r="U193" i="1" s="1"/>
  <c r="AB193" i="1" s="1"/>
  <c r="N193" i="1"/>
  <c r="W193" i="1" s="1"/>
  <c r="X193" i="1" s="1"/>
  <c r="Y193" i="1" s="1"/>
  <c r="AA192" i="1"/>
  <c r="Z192" i="1"/>
  <c r="Y192" i="1"/>
  <c r="W192" i="1"/>
  <c r="X192" i="1" s="1"/>
  <c r="V192" i="1"/>
  <c r="U192" i="1"/>
  <c r="AB192" i="1" s="1"/>
  <c r="S192" i="1"/>
  <c r="N192" i="1"/>
  <c r="Z191" i="1"/>
  <c r="V191" i="1"/>
  <c r="U191" i="1"/>
  <c r="AB191" i="1" s="1"/>
  <c r="S191" i="1"/>
  <c r="N191" i="1"/>
  <c r="AA190" i="1"/>
  <c r="Z190" i="1"/>
  <c r="Y190" i="1"/>
  <c r="W190" i="1"/>
  <c r="X190" i="1" s="1"/>
  <c r="V190" i="1"/>
  <c r="S190" i="1"/>
  <c r="U190" i="1" s="1"/>
  <c r="AB190" i="1" s="1"/>
  <c r="N190" i="1"/>
  <c r="Z189" i="1"/>
  <c r="V189" i="1"/>
  <c r="S189" i="1"/>
  <c r="U189" i="1" s="1"/>
  <c r="AB189" i="1" s="1"/>
  <c r="N189" i="1"/>
  <c r="AA189" i="1" s="1"/>
  <c r="Z188" i="1"/>
  <c r="V188" i="1"/>
  <c r="S188" i="1"/>
  <c r="U188" i="1" s="1"/>
  <c r="AB188" i="1" s="1"/>
  <c r="N188" i="1"/>
  <c r="AA188" i="1" s="1"/>
  <c r="AB187" i="1"/>
  <c r="AA187" i="1"/>
  <c r="Z187" i="1"/>
  <c r="W187" i="1"/>
  <c r="X187" i="1" s="1"/>
  <c r="Y187" i="1" s="1"/>
  <c r="V187" i="1"/>
  <c r="U187" i="1"/>
  <c r="S187" i="1"/>
  <c r="N187" i="1"/>
  <c r="Z186" i="1"/>
  <c r="X186" i="1"/>
  <c r="Y186" i="1" s="1"/>
  <c r="W186" i="1"/>
  <c r="V186" i="1"/>
  <c r="U186" i="1"/>
  <c r="AB186" i="1" s="1"/>
  <c r="S186" i="1"/>
  <c r="N186" i="1"/>
  <c r="AA186" i="1" s="1"/>
  <c r="AA185" i="1"/>
  <c r="Z185" i="1"/>
  <c r="V185" i="1"/>
  <c r="S185" i="1"/>
  <c r="U185" i="1" s="1"/>
  <c r="AB185" i="1" s="1"/>
  <c r="N185" i="1"/>
  <c r="W185" i="1" s="1"/>
  <c r="X185" i="1" s="1"/>
  <c r="Y185" i="1" s="1"/>
  <c r="AA184" i="1"/>
  <c r="Z184" i="1"/>
  <c r="Y184" i="1"/>
  <c r="W184" i="1"/>
  <c r="X184" i="1" s="1"/>
  <c r="V184" i="1"/>
  <c r="U184" i="1"/>
  <c r="AB184" i="1" s="1"/>
  <c r="S184" i="1"/>
  <c r="N184" i="1"/>
  <c r="Z183" i="1"/>
  <c r="X183" i="1"/>
  <c r="Y183" i="1" s="1"/>
  <c r="W183" i="1"/>
  <c r="V183" i="1"/>
  <c r="N183" i="1"/>
  <c r="AB183" i="1" s="1"/>
  <c r="AA182" i="1"/>
  <c r="Z182" i="1"/>
  <c r="W182" i="1"/>
  <c r="X182" i="1" s="1"/>
  <c r="Y182" i="1" s="1"/>
  <c r="S182" i="1"/>
  <c r="U182" i="1" s="1"/>
  <c r="AB182" i="1" s="1"/>
  <c r="N182" i="1"/>
  <c r="AA181" i="1"/>
  <c r="Z181" i="1"/>
  <c r="W181" i="1"/>
  <c r="X181" i="1" s="1"/>
  <c r="Y181" i="1" s="1"/>
  <c r="V181" i="1"/>
  <c r="S181" i="1"/>
  <c r="U181" i="1" s="1"/>
  <c r="AB181" i="1" s="1"/>
  <c r="N181" i="1"/>
  <c r="Z180" i="1"/>
  <c r="V180" i="1"/>
  <c r="U180" i="1"/>
  <c r="S180" i="1"/>
  <c r="N180" i="1"/>
  <c r="AB179" i="1"/>
  <c r="AA179" i="1"/>
  <c r="Z179" i="1"/>
  <c r="X179" i="1"/>
  <c r="Y179" i="1" s="1"/>
  <c r="W179" i="1"/>
  <c r="U179" i="1"/>
  <c r="AA178" i="1"/>
  <c r="Z178" i="1"/>
  <c r="V178" i="1"/>
  <c r="S178" i="1"/>
  <c r="U178" i="1" s="1"/>
  <c r="AB178" i="1" s="1"/>
  <c r="N178" i="1"/>
  <c r="W178" i="1" s="1"/>
  <c r="X178" i="1" s="1"/>
  <c r="Y178" i="1" s="1"/>
  <c r="AA177" i="1"/>
  <c r="Z177" i="1"/>
  <c r="Y177" i="1"/>
  <c r="W177" i="1"/>
  <c r="X177" i="1" s="1"/>
  <c r="V177" i="1"/>
  <c r="U177" i="1"/>
  <c r="AB177" i="1" s="1"/>
  <c r="S177" i="1"/>
  <c r="N177" i="1"/>
  <c r="Z176" i="1"/>
  <c r="X176" i="1"/>
  <c r="Y176" i="1" s="1"/>
  <c r="W176" i="1"/>
  <c r="U176" i="1"/>
  <c r="AB176" i="1" s="1"/>
  <c r="S176" i="1"/>
  <c r="N176" i="1"/>
  <c r="AA176" i="1" s="1"/>
  <c r="AB175" i="1"/>
  <c r="Z175" i="1"/>
  <c r="V175" i="1"/>
  <c r="U175" i="1"/>
  <c r="S175" i="1"/>
  <c r="N175" i="1"/>
  <c r="AA175" i="1" s="1"/>
  <c r="AA174" i="1"/>
  <c r="Z174" i="1"/>
  <c r="Y174" i="1"/>
  <c r="X174" i="1"/>
  <c r="W174" i="1"/>
  <c r="V174" i="1"/>
  <c r="U174" i="1"/>
  <c r="N174" i="1"/>
  <c r="AB174" i="1" s="1"/>
  <c r="AB173" i="1"/>
  <c r="AA173" i="1"/>
  <c r="Z173" i="1"/>
  <c r="N173" i="1"/>
  <c r="W173" i="1" s="1"/>
  <c r="X173" i="1" s="1"/>
  <c r="Y173" i="1" s="1"/>
  <c r="AB172" i="1"/>
  <c r="AA172" i="1"/>
  <c r="Z172" i="1"/>
  <c r="Y172" i="1"/>
  <c r="X172" i="1"/>
  <c r="W172" i="1"/>
  <c r="V172" i="1"/>
  <c r="N172" i="1"/>
  <c r="Z171" i="1"/>
  <c r="V171" i="1"/>
  <c r="U171" i="1"/>
  <c r="S171" i="1"/>
  <c r="N171" i="1"/>
  <c r="Z170" i="1"/>
  <c r="S170" i="1"/>
  <c r="U170" i="1" s="1"/>
  <c r="N170" i="1"/>
  <c r="Z169" i="1"/>
  <c r="V169" i="1"/>
  <c r="S169" i="1"/>
  <c r="U169" i="1" s="1"/>
  <c r="AB169" i="1" s="1"/>
  <c r="N169" i="1"/>
  <c r="AA169" i="1" s="1"/>
  <c r="AA168" i="1"/>
  <c r="Z168" i="1"/>
  <c r="W168" i="1"/>
  <c r="X168" i="1" s="1"/>
  <c r="Y168" i="1" s="1"/>
  <c r="V168" i="1"/>
  <c r="S168" i="1"/>
  <c r="U168" i="1" s="1"/>
  <c r="AB168" i="1" s="1"/>
  <c r="N168" i="1"/>
  <c r="Z167" i="1"/>
  <c r="X167" i="1"/>
  <c r="Y167" i="1" s="1"/>
  <c r="W167" i="1"/>
  <c r="V167" i="1"/>
  <c r="U167" i="1"/>
  <c r="AB167" i="1" s="1"/>
  <c r="S167" i="1"/>
  <c r="N167" i="1"/>
  <c r="AA167" i="1" s="1"/>
  <c r="AA166" i="1"/>
  <c r="Z166" i="1"/>
  <c r="V166" i="1"/>
  <c r="S166" i="1"/>
  <c r="U166" i="1" s="1"/>
  <c r="AB166" i="1" s="1"/>
  <c r="N166" i="1"/>
  <c r="W166" i="1" s="1"/>
  <c r="X166" i="1" s="1"/>
  <c r="Y166" i="1" s="1"/>
  <c r="AA165" i="1"/>
  <c r="Z165" i="1"/>
  <c r="W165" i="1"/>
  <c r="X165" i="1" s="1"/>
  <c r="Y165" i="1" s="1"/>
  <c r="V165" i="1"/>
  <c r="U165" i="1"/>
  <c r="AB165" i="1" s="1"/>
  <c r="S165" i="1"/>
  <c r="N165" i="1"/>
  <c r="Z164" i="1"/>
  <c r="V164" i="1"/>
  <c r="U164" i="1"/>
  <c r="S164" i="1"/>
  <c r="N164" i="1"/>
  <c r="AA163" i="1"/>
  <c r="Z163" i="1"/>
  <c r="W163" i="1"/>
  <c r="X163" i="1" s="1"/>
  <c r="Y163" i="1" s="1"/>
  <c r="V163" i="1"/>
  <c r="S163" i="1"/>
  <c r="U163" i="1" s="1"/>
  <c r="AB163" i="1" s="1"/>
  <c r="N163" i="1"/>
  <c r="Z162" i="1"/>
  <c r="W162" i="1"/>
  <c r="X162" i="1" s="1"/>
  <c r="Y162" i="1" s="1"/>
  <c r="V162" i="1"/>
  <c r="S162" i="1"/>
  <c r="U162" i="1" s="1"/>
  <c r="N162" i="1"/>
  <c r="AA162" i="1" s="1"/>
  <c r="Z161" i="1"/>
  <c r="V161" i="1"/>
  <c r="N161" i="1"/>
  <c r="AB161" i="1" s="1"/>
  <c r="AA160" i="1"/>
  <c r="Z160" i="1"/>
  <c r="W160" i="1"/>
  <c r="X160" i="1" s="1"/>
  <c r="Y160" i="1" s="1"/>
  <c r="V160" i="1"/>
  <c r="U160" i="1"/>
  <c r="AB160" i="1" s="1"/>
  <c r="S160" i="1"/>
  <c r="N160" i="1"/>
  <c r="Z159" i="1"/>
  <c r="X159" i="1"/>
  <c r="Y159" i="1" s="1"/>
  <c r="W159" i="1"/>
  <c r="U159" i="1"/>
  <c r="AB159" i="1" s="1"/>
  <c r="S159" i="1"/>
  <c r="N159" i="1"/>
  <c r="AA159" i="1" s="1"/>
  <c r="AB158" i="1"/>
  <c r="Z158" i="1"/>
  <c r="V158" i="1"/>
  <c r="U158" i="1"/>
  <c r="S158" i="1"/>
  <c r="N158" i="1"/>
  <c r="AA158" i="1" s="1"/>
  <c r="AB157" i="1"/>
  <c r="AA157" i="1"/>
  <c r="Z157" i="1"/>
  <c r="Y157" i="1"/>
  <c r="X157" i="1"/>
  <c r="W157" i="1"/>
  <c r="V157" i="1"/>
  <c r="N157" i="1"/>
  <c r="Z156" i="1"/>
  <c r="V156" i="1"/>
  <c r="U156" i="1"/>
  <c r="S156" i="1"/>
  <c r="N156" i="1"/>
  <c r="AA155" i="1"/>
  <c r="Z155" i="1"/>
  <c r="V155" i="1"/>
  <c r="S155" i="1"/>
  <c r="U155" i="1" s="1"/>
  <c r="AB155" i="1" s="1"/>
  <c r="N155" i="1"/>
  <c r="W155" i="1" s="1"/>
  <c r="X155" i="1" s="1"/>
  <c r="Y155" i="1" s="1"/>
  <c r="Z154" i="1"/>
  <c r="W154" i="1"/>
  <c r="X154" i="1" s="1"/>
  <c r="Y154" i="1" s="1"/>
  <c r="S154" i="1"/>
  <c r="U154" i="1" s="1"/>
  <c r="AB154" i="1" s="1"/>
  <c r="N154" i="1"/>
  <c r="AA154" i="1" s="1"/>
  <c r="AA153" i="1"/>
  <c r="Z153" i="1"/>
  <c r="W153" i="1"/>
  <c r="X153" i="1" s="1"/>
  <c r="Y153" i="1" s="1"/>
  <c r="S153" i="1"/>
  <c r="N153" i="1"/>
  <c r="Z152" i="1"/>
  <c r="X152" i="1"/>
  <c r="Y152" i="1" s="1"/>
  <c r="W152" i="1"/>
  <c r="S152" i="1"/>
  <c r="U152" i="1" s="1"/>
  <c r="AB152" i="1" s="1"/>
  <c r="N152" i="1"/>
  <c r="AA152" i="1" s="1"/>
  <c r="AA151" i="1"/>
  <c r="Z151" i="1"/>
  <c r="W151" i="1"/>
  <c r="X151" i="1" s="1"/>
  <c r="Y151" i="1" s="1"/>
  <c r="S151" i="1"/>
  <c r="U151" i="1" s="1"/>
  <c r="AB151" i="1" s="1"/>
  <c r="N151" i="1"/>
  <c r="AB150" i="1"/>
  <c r="Z150" i="1"/>
  <c r="V150" i="1"/>
  <c r="S150" i="1"/>
  <c r="U150" i="1" s="1"/>
  <c r="N150" i="1"/>
  <c r="AA150" i="1" s="1"/>
  <c r="Z149" i="1"/>
  <c r="V149" i="1"/>
  <c r="N149" i="1"/>
  <c r="AB149" i="1" s="1"/>
  <c r="AA148" i="1"/>
  <c r="Z148" i="1"/>
  <c r="W148" i="1"/>
  <c r="X148" i="1" s="1"/>
  <c r="Y148" i="1" s="1"/>
  <c r="V148" i="1"/>
  <c r="U148" i="1"/>
  <c r="AB148" i="1" s="1"/>
  <c r="S148" i="1"/>
  <c r="N148" i="1"/>
  <c r="Z147" i="1"/>
  <c r="V147" i="1"/>
  <c r="U147" i="1"/>
  <c r="S147" i="1"/>
  <c r="N147" i="1"/>
  <c r="AA146" i="1"/>
  <c r="Z146" i="1"/>
  <c r="W146" i="1"/>
  <c r="X146" i="1" s="1"/>
  <c r="Y146" i="1" s="1"/>
  <c r="V146" i="1"/>
  <c r="S146" i="1"/>
  <c r="U146" i="1" s="1"/>
  <c r="AB146" i="1" s="1"/>
  <c r="N146" i="1"/>
  <c r="AB145" i="1"/>
  <c r="AA145" i="1"/>
  <c r="Z145" i="1"/>
  <c r="W145" i="1"/>
  <c r="X145" i="1" s="1"/>
  <c r="Y145" i="1" s="1"/>
  <c r="V145" i="1"/>
  <c r="N145" i="1"/>
  <c r="AB144" i="1"/>
  <c r="AA144" i="1"/>
  <c r="Z144" i="1"/>
  <c r="V144" i="1"/>
  <c r="N144" i="1"/>
  <c r="W144" i="1" s="1"/>
  <c r="X144" i="1" s="1"/>
  <c r="Y144" i="1" s="1"/>
  <c r="Z143" i="1"/>
  <c r="V143" i="1"/>
  <c r="S143" i="1"/>
  <c r="U143" i="1" s="1"/>
  <c r="AB143" i="1" s="1"/>
  <c r="N143" i="1"/>
  <c r="AA143" i="1" s="1"/>
  <c r="Z142" i="1"/>
  <c r="U142" i="1"/>
  <c r="AB142" i="1" s="1"/>
  <c r="S142" i="1"/>
  <c r="N142" i="1"/>
  <c r="AA142" i="1" s="1"/>
  <c r="Z141" i="1"/>
  <c r="W141" i="1"/>
  <c r="X141" i="1" s="1"/>
  <c r="Y141" i="1" s="1"/>
  <c r="V141" i="1"/>
  <c r="S141" i="1"/>
  <c r="U141" i="1" s="1"/>
  <c r="AB141" i="1" s="1"/>
  <c r="N141" i="1"/>
  <c r="AA141" i="1" s="1"/>
  <c r="AA140" i="1"/>
  <c r="Z140" i="1"/>
  <c r="W140" i="1"/>
  <c r="X140" i="1" s="1"/>
  <c r="Y140" i="1" s="1"/>
  <c r="V140" i="1"/>
  <c r="S140" i="1"/>
  <c r="U140" i="1" s="1"/>
  <c r="AB140" i="1" s="1"/>
  <c r="N140" i="1"/>
  <c r="Z139" i="1"/>
  <c r="V139" i="1"/>
  <c r="U139" i="1"/>
  <c r="S139" i="1"/>
  <c r="N139" i="1"/>
  <c r="AB138" i="1"/>
  <c r="AA138" i="1"/>
  <c r="Z138" i="1"/>
  <c r="X138" i="1"/>
  <c r="Y138" i="1" s="1"/>
  <c r="V138" i="1"/>
  <c r="N138" i="1"/>
  <c r="W138" i="1" s="1"/>
  <c r="Z137" i="1"/>
  <c r="S137" i="1"/>
  <c r="U137" i="1" s="1"/>
  <c r="AB137" i="1" s="1"/>
  <c r="N137" i="1"/>
  <c r="AA137" i="1" s="1"/>
  <c r="AB136" i="1"/>
  <c r="AA136" i="1"/>
  <c r="Z136" i="1"/>
  <c r="Y136" i="1"/>
  <c r="W136" i="1"/>
  <c r="X136" i="1" s="1"/>
  <c r="S136" i="1"/>
  <c r="U136" i="1" s="1"/>
  <c r="N136" i="1"/>
  <c r="Z135" i="1"/>
  <c r="W135" i="1"/>
  <c r="X135" i="1" s="1"/>
  <c r="Y135" i="1" s="1"/>
  <c r="S135" i="1"/>
  <c r="U135" i="1" s="1"/>
  <c r="AB135" i="1" s="1"/>
  <c r="N135" i="1"/>
  <c r="AA135" i="1" s="1"/>
  <c r="AA134" i="1"/>
  <c r="Z134" i="1"/>
  <c r="W134" i="1"/>
  <c r="X134" i="1" s="1"/>
  <c r="Y134" i="1" s="1"/>
  <c r="S134" i="1"/>
  <c r="U134" i="1" s="1"/>
  <c r="AB134" i="1" s="1"/>
  <c r="N134" i="1"/>
  <c r="Z133" i="1"/>
  <c r="W133" i="1"/>
  <c r="X133" i="1" s="1"/>
  <c r="Y133" i="1" s="1"/>
  <c r="V133" i="1"/>
  <c r="N133" i="1"/>
  <c r="AB133" i="1" s="1"/>
  <c r="AB132" i="1"/>
  <c r="Z132" i="1"/>
  <c r="V132" i="1"/>
  <c r="S132" i="1"/>
  <c r="N132" i="1"/>
  <c r="AA132" i="1" s="1"/>
  <c r="Z131" i="1"/>
  <c r="X131" i="1"/>
  <c r="Y131" i="1" s="1"/>
  <c r="W131" i="1"/>
  <c r="V131" i="1"/>
  <c r="U131" i="1"/>
  <c r="AB131" i="1" s="1"/>
  <c r="S131" i="1"/>
  <c r="N131" i="1"/>
  <c r="AA131" i="1" s="1"/>
  <c r="AA130" i="1"/>
  <c r="Z130" i="1"/>
  <c r="V130" i="1"/>
  <c r="S130" i="1"/>
  <c r="U130" i="1" s="1"/>
  <c r="AB130" i="1" s="1"/>
  <c r="N130" i="1"/>
  <c r="W130" i="1" s="1"/>
  <c r="X130" i="1" s="1"/>
  <c r="Y130" i="1" s="1"/>
  <c r="AA129" i="1"/>
  <c r="Z129" i="1"/>
  <c r="Y129" i="1"/>
  <c r="W129" i="1"/>
  <c r="X129" i="1" s="1"/>
  <c r="S129" i="1"/>
  <c r="U129" i="1" s="1"/>
  <c r="AB129" i="1" s="1"/>
  <c r="N129" i="1"/>
  <c r="Z128" i="1"/>
  <c r="W128" i="1"/>
  <c r="X128" i="1" s="1"/>
  <c r="Y128" i="1" s="1"/>
  <c r="V128" i="1"/>
  <c r="U128" i="1"/>
  <c r="AB128" i="1" s="1"/>
  <c r="S128" i="1"/>
  <c r="N128" i="1"/>
  <c r="AA128" i="1" s="1"/>
  <c r="Z127" i="1"/>
  <c r="X127" i="1"/>
  <c r="Y127" i="1" s="1"/>
  <c r="V127" i="1"/>
  <c r="S127" i="1"/>
  <c r="U127" i="1" s="1"/>
  <c r="AB127" i="1" s="1"/>
  <c r="N127" i="1"/>
  <c r="AA127" i="1" s="1"/>
  <c r="Z126" i="1"/>
  <c r="X126" i="1"/>
  <c r="Y126" i="1" s="1"/>
  <c r="W126" i="1"/>
  <c r="S126" i="1"/>
  <c r="U126" i="1" s="1"/>
  <c r="AB126" i="1" s="1"/>
  <c r="N126" i="1"/>
  <c r="AA126" i="1" s="1"/>
  <c r="AA125" i="1"/>
  <c r="Z125" i="1"/>
  <c r="W125" i="1"/>
  <c r="X125" i="1" s="1"/>
  <c r="Y125" i="1" s="1"/>
  <c r="S125" i="1"/>
  <c r="U125" i="1" s="1"/>
  <c r="AB125" i="1" s="1"/>
  <c r="N125" i="1"/>
  <c r="AA124" i="1"/>
  <c r="Z124" i="1"/>
  <c r="W124" i="1"/>
  <c r="X124" i="1" s="1"/>
  <c r="Y124" i="1" s="1"/>
  <c r="S124" i="1"/>
  <c r="U124" i="1" s="1"/>
  <c r="AB124" i="1" s="1"/>
  <c r="N124" i="1"/>
  <c r="Z123" i="1"/>
  <c r="V123" i="1"/>
  <c r="S123" i="1"/>
  <c r="U123" i="1" s="1"/>
  <c r="AB123" i="1" s="1"/>
  <c r="N123" i="1"/>
  <c r="Z122" i="1"/>
  <c r="W122" i="1"/>
  <c r="X122" i="1" s="1"/>
  <c r="Y122" i="1" s="1"/>
  <c r="V122" i="1"/>
  <c r="S122" i="1"/>
  <c r="U122" i="1" s="1"/>
  <c r="AB122" i="1" s="1"/>
  <c r="N122" i="1"/>
  <c r="AA122" i="1" s="1"/>
  <c r="AA121" i="1"/>
  <c r="Z121" i="1"/>
  <c r="W121" i="1"/>
  <c r="X121" i="1" s="1"/>
  <c r="Y121" i="1" s="1"/>
  <c r="V121" i="1"/>
  <c r="S121" i="1"/>
  <c r="U121" i="1" s="1"/>
  <c r="AB121" i="1" s="1"/>
  <c r="N121" i="1"/>
  <c r="Z120" i="1"/>
  <c r="V120" i="1"/>
  <c r="U120" i="1"/>
  <c r="S120" i="1"/>
  <c r="N120" i="1"/>
  <c r="AB119" i="1"/>
  <c r="AA119" i="1"/>
  <c r="Z119" i="1"/>
  <c r="V119" i="1"/>
  <c r="S119" i="1"/>
  <c r="U119" i="1" s="1"/>
  <c r="N119" i="1"/>
  <c r="W119" i="1" s="1"/>
  <c r="X119" i="1" s="1"/>
  <c r="Y119" i="1" s="1"/>
  <c r="Z118" i="1"/>
  <c r="W118" i="1"/>
  <c r="X118" i="1" s="1"/>
  <c r="Y118" i="1" s="1"/>
  <c r="N118" i="1"/>
  <c r="AA117" i="1"/>
  <c r="Z117" i="1"/>
  <c r="W117" i="1"/>
  <c r="X117" i="1" s="1"/>
  <c r="Y117" i="1" s="1"/>
  <c r="V117" i="1"/>
  <c r="U117" i="1"/>
  <c r="AB117" i="1" s="1"/>
  <c r="S117" i="1"/>
  <c r="N117" i="1"/>
  <c r="Z116" i="1"/>
  <c r="V116" i="1"/>
  <c r="U116" i="1"/>
  <c r="AB116" i="1" s="1"/>
  <c r="S116" i="1"/>
  <c r="N116" i="1"/>
  <c r="AA116" i="1" s="1"/>
  <c r="AA115" i="1"/>
  <c r="Z115" i="1"/>
  <c r="W115" i="1"/>
  <c r="X115" i="1" s="1"/>
  <c r="Y115" i="1" s="1"/>
  <c r="V115" i="1"/>
  <c r="S115" i="1"/>
  <c r="U115" i="1" s="1"/>
  <c r="AB115" i="1" s="1"/>
  <c r="N115" i="1"/>
  <c r="AB114" i="1"/>
  <c r="Z114" i="1"/>
  <c r="V114" i="1"/>
  <c r="S114" i="1"/>
  <c r="U114" i="1" s="1"/>
  <c r="N114" i="1"/>
  <c r="AA114" i="1" s="1"/>
  <c r="Z113" i="1"/>
  <c r="V113" i="1"/>
  <c r="S113" i="1"/>
  <c r="U113" i="1" s="1"/>
  <c r="AB113" i="1" s="1"/>
  <c r="N113" i="1"/>
  <c r="AA113" i="1" s="1"/>
  <c r="AA112" i="1"/>
  <c r="Z112" i="1"/>
  <c r="W112" i="1"/>
  <c r="X112" i="1" s="1"/>
  <c r="Y112" i="1" s="1"/>
  <c r="V112" i="1"/>
  <c r="S112" i="1"/>
  <c r="U112" i="1" s="1"/>
  <c r="AB112" i="1" s="1"/>
  <c r="N112" i="1"/>
  <c r="AB111" i="1"/>
  <c r="Z111" i="1"/>
  <c r="Y111" i="1"/>
  <c r="X111" i="1"/>
  <c r="W111" i="1"/>
  <c r="V111" i="1"/>
  <c r="S111" i="1"/>
  <c r="N111" i="1"/>
  <c r="AA111" i="1" s="1"/>
  <c r="Z110" i="1"/>
  <c r="V110" i="1"/>
  <c r="U110" i="1"/>
  <c r="S110" i="1"/>
  <c r="N110" i="1"/>
  <c r="AB109" i="1"/>
  <c r="AA109" i="1"/>
  <c r="Z109" i="1"/>
  <c r="S109" i="1"/>
  <c r="U109" i="1" s="1"/>
  <c r="N109" i="1"/>
  <c r="W109" i="1" s="1"/>
  <c r="X109" i="1" s="1"/>
  <c r="Y109" i="1" s="1"/>
  <c r="Z108" i="1"/>
  <c r="V108" i="1"/>
  <c r="U108" i="1"/>
  <c r="AB108" i="1" s="1"/>
  <c r="S108" i="1"/>
  <c r="N108" i="1"/>
  <c r="AA108" i="1" s="1"/>
  <c r="AA107" i="1"/>
  <c r="Z107" i="1"/>
  <c r="W107" i="1"/>
  <c r="X107" i="1" s="1"/>
  <c r="Y107" i="1" s="1"/>
  <c r="V107" i="1"/>
  <c r="S107" i="1"/>
  <c r="U107" i="1" s="1"/>
  <c r="AB107" i="1" s="1"/>
  <c r="N107" i="1"/>
  <c r="Z106" i="1"/>
  <c r="X106" i="1"/>
  <c r="Y106" i="1" s="1"/>
  <c r="W106" i="1"/>
  <c r="S106" i="1"/>
  <c r="U106" i="1" s="1"/>
  <c r="AB106" i="1" s="1"/>
  <c r="N106" i="1"/>
  <c r="AA106" i="1" s="1"/>
  <c r="Z105" i="1"/>
  <c r="V105" i="1"/>
  <c r="U105" i="1"/>
  <c r="S105" i="1"/>
  <c r="N105" i="1"/>
  <c r="AB104" i="1"/>
  <c r="AA104" i="1"/>
  <c r="Z104" i="1"/>
  <c r="X104" i="1"/>
  <c r="Y104" i="1" s="1"/>
  <c r="W104" i="1"/>
  <c r="V104" i="1"/>
  <c r="S104" i="1"/>
  <c r="U104" i="1" s="1"/>
  <c r="N104" i="1"/>
  <c r="Z103" i="1"/>
  <c r="W103" i="1"/>
  <c r="X103" i="1" s="1"/>
  <c r="Y103" i="1" s="1"/>
  <c r="S103" i="1"/>
  <c r="U103" i="1" s="1"/>
  <c r="AB103" i="1" s="1"/>
  <c r="N103" i="1"/>
  <c r="AA103" i="1" s="1"/>
  <c r="AA102" i="1"/>
  <c r="Z102" i="1"/>
  <c r="W102" i="1"/>
  <c r="X102" i="1" s="1"/>
  <c r="Y102" i="1" s="1"/>
  <c r="V102" i="1"/>
  <c r="S102" i="1"/>
  <c r="U102" i="1" s="1"/>
  <c r="AB102" i="1" s="1"/>
  <c r="N102" i="1"/>
  <c r="Z101" i="1"/>
  <c r="X101" i="1"/>
  <c r="Y101" i="1" s="1"/>
  <c r="W101" i="1"/>
  <c r="V101" i="1"/>
  <c r="U101" i="1"/>
  <c r="AB101" i="1" s="1"/>
  <c r="S101" i="1"/>
  <c r="N101" i="1"/>
  <c r="AA101" i="1" s="1"/>
  <c r="Z100" i="1"/>
  <c r="V100" i="1"/>
  <c r="S100" i="1"/>
  <c r="U100" i="1" s="1"/>
  <c r="N100" i="1"/>
  <c r="W100" i="1" s="1"/>
  <c r="X100" i="1" s="1"/>
  <c r="Y100" i="1" s="1"/>
  <c r="AB99" i="1"/>
  <c r="AA99" i="1"/>
  <c r="Z99" i="1"/>
  <c r="W99" i="1"/>
  <c r="X99" i="1" s="1"/>
  <c r="Y99" i="1" s="1"/>
  <c r="V99" i="1"/>
  <c r="U99" i="1"/>
  <c r="S99" i="1"/>
  <c r="N99" i="1"/>
  <c r="Z98" i="1"/>
  <c r="V98" i="1"/>
  <c r="U98" i="1"/>
  <c r="S98" i="1"/>
  <c r="N98" i="1"/>
  <c r="AA98" i="1" s="1"/>
  <c r="AA97" i="1"/>
  <c r="Z97" i="1"/>
  <c r="Y97" i="1"/>
  <c r="X97" i="1"/>
  <c r="W97" i="1"/>
  <c r="V97" i="1"/>
  <c r="S97" i="1"/>
  <c r="U97" i="1" s="1"/>
  <c r="AB97" i="1" s="1"/>
  <c r="N97" i="1"/>
  <c r="Z96" i="1"/>
  <c r="V96" i="1"/>
  <c r="S96" i="1"/>
  <c r="U96" i="1" s="1"/>
  <c r="AB96" i="1" s="1"/>
  <c r="N96" i="1"/>
  <c r="AA96" i="1" s="1"/>
  <c r="Z95" i="1"/>
  <c r="S95" i="1"/>
  <c r="U95" i="1" s="1"/>
  <c r="AB95" i="1" s="1"/>
  <c r="N95" i="1"/>
  <c r="AB94" i="1"/>
  <c r="Z94" i="1"/>
  <c r="W94" i="1"/>
  <c r="X94" i="1" s="1"/>
  <c r="Y94" i="1" s="1"/>
  <c r="V94" i="1"/>
  <c r="U94" i="1"/>
  <c r="S94" i="1"/>
  <c r="N94" i="1"/>
  <c r="AA94" i="1" s="1"/>
  <c r="Z93" i="1"/>
  <c r="U93" i="1"/>
  <c r="S93" i="1"/>
  <c r="N93" i="1"/>
  <c r="AA93" i="1" s="1"/>
  <c r="AA92" i="1"/>
  <c r="Z92" i="1"/>
  <c r="Y92" i="1"/>
  <c r="U92" i="1"/>
  <c r="AB92" i="1" s="1"/>
  <c r="S92" i="1"/>
  <c r="N92" i="1"/>
  <c r="W92" i="1" s="1"/>
  <c r="X92" i="1" s="1"/>
  <c r="Z91" i="1"/>
  <c r="N91" i="1"/>
  <c r="AA90" i="1"/>
  <c r="Z90" i="1"/>
  <c r="V90" i="1"/>
  <c r="S90" i="1"/>
  <c r="U90" i="1" s="1"/>
  <c r="AB90" i="1" s="1"/>
  <c r="N90" i="1"/>
  <c r="W90" i="1" s="1"/>
  <c r="X90" i="1" s="1"/>
  <c r="Y90" i="1" s="1"/>
  <c r="AB89" i="1"/>
  <c r="AA89" i="1"/>
  <c r="Z89" i="1"/>
  <c r="W89" i="1"/>
  <c r="X89" i="1" s="1"/>
  <c r="Y89" i="1" s="1"/>
  <c r="V89" i="1"/>
  <c r="S89" i="1"/>
  <c r="U89" i="1" s="1"/>
  <c r="N89" i="1"/>
  <c r="Z88" i="1"/>
  <c r="V88" i="1"/>
  <c r="S88" i="1"/>
  <c r="U88" i="1" s="1"/>
  <c r="AB88" i="1" s="1"/>
  <c r="N88" i="1"/>
  <c r="AA88" i="1" s="1"/>
  <c r="AA87" i="1"/>
  <c r="Z87" i="1"/>
  <c r="W87" i="1"/>
  <c r="X87" i="1" s="1"/>
  <c r="Y87" i="1" s="1"/>
  <c r="V87" i="1"/>
  <c r="S87" i="1"/>
  <c r="U87" i="1" s="1"/>
  <c r="AB87" i="1" s="1"/>
  <c r="N87" i="1"/>
  <c r="Z86" i="1"/>
  <c r="V86" i="1"/>
  <c r="N86" i="1"/>
  <c r="AA85" i="1"/>
  <c r="Z85" i="1"/>
  <c r="V85" i="1"/>
  <c r="S85" i="1"/>
  <c r="U85" i="1" s="1"/>
  <c r="AB85" i="1" s="1"/>
  <c r="N85" i="1"/>
  <c r="W85" i="1" s="1"/>
  <c r="X85" i="1" s="1"/>
  <c r="Y85" i="1" s="1"/>
  <c r="Z84" i="1"/>
  <c r="W84" i="1"/>
  <c r="X84" i="1" s="1"/>
  <c r="Y84" i="1" s="1"/>
  <c r="V84" i="1"/>
  <c r="S84" i="1"/>
  <c r="U84" i="1" s="1"/>
  <c r="N84" i="1"/>
  <c r="AB84" i="1" s="1"/>
  <c r="Z83" i="1"/>
  <c r="V83" i="1"/>
  <c r="U83" i="1"/>
  <c r="AB83" i="1" s="1"/>
  <c r="S83" i="1"/>
  <c r="N83" i="1"/>
  <c r="AA83" i="1" s="1"/>
  <c r="AA82" i="1"/>
  <c r="Z82" i="1"/>
  <c r="X82" i="1"/>
  <c r="Y82" i="1" s="1"/>
  <c r="W82" i="1"/>
  <c r="V82" i="1"/>
  <c r="S82" i="1"/>
  <c r="U82" i="1" s="1"/>
  <c r="AB82" i="1" s="1"/>
  <c r="N82" i="1"/>
  <c r="Z81" i="1"/>
  <c r="Y81" i="1"/>
  <c r="X81" i="1"/>
  <c r="W81" i="1"/>
  <c r="S81" i="1"/>
  <c r="U81" i="1" s="1"/>
  <c r="AB81" i="1" s="1"/>
  <c r="N81" i="1"/>
  <c r="AA81" i="1" s="1"/>
  <c r="AA80" i="1"/>
  <c r="Z80" i="1"/>
  <c r="W80" i="1"/>
  <c r="X80" i="1" s="1"/>
  <c r="Y80" i="1" s="1"/>
  <c r="S80" i="1"/>
  <c r="U80" i="1" s="1"/>
  <c r="AB80" i="1" s="1"/>
  <c r="N80" i="1"/>
  <c r="Z79" i="1"/>
  <c r="V79" i="1"/>
  <c r="S79" i="1"/>
  <c r="U79" i="1" s="1"/>
  <c r="AB79" i="1" s="1"/>
  <c r="N79" i="1"/>
  <c r="AA79" i="1" s="1"/>
  <c r="Z78" i="1"/>
  <c r="V78" i="1"/>
  <c r="U78" i="1"/>
  <c r="AB78" i="1" s="1"/>
  <c r="S78" i="1"/>
  <c r="N78" i="1"/>
  <c r="AA78" i="1" s="1"/>
  <c r="AA77" i="1"/>
  <c r="Z77" i="1"/>
  <c r="W77" i="1"/>
  <c r="X77" i="1" s="1"/>
  <c r="Y77" i="1" s="1"/>
  <c r="V77" i="1"/>
  <c r="S77" i="1"/>
  <c r="U77" i="1" s="1"/>
  <c r="AB77" i="1" s="1"/>
  <c r="N77" i="1"/>
  <c r="Z76" i="1"/>
  <c r="X76" i="1"/>
  <c r="Y76" i="1" s="1"/>
  <c r="W76" i="1"/>
  <c r="V76" i="1"/>
  <c r="U76" i="1"/>
  <c r="AB76" i="1" s="1"/>
  <c r="S76" i="1"/>
  <c r="N76" i="1"/>
  <c r="AA76" i="1" s="1"/>
  <c r="Z75" i="1"/>
  <c r="V75" i="1"/>
  <c r="S75" i="1"/>
  <c r="U75" i="1" s="1"/>
  <c r="AB75" i="1" s="1"/>
  <c r="N75" i="1"/>
  <c r="W75" i="1" s="1"/>
  <c r="X75" i="1" s="1"/>
  <c r="Y75" i="1" s="1"/>
  <c r="AA74" i="1"/>
  <c r="Z74" i="1"/>
  <c r="W74" i="1"/>
  <c r="X74" i="1" s="1"/>
  <c r="Y74" i="1" s="1"/>
  <c r="V74" i="1"/>
  <c r="U74" i="1"/>
  <c r="AB74" i="1" s="1"/>
  <c r="S74" i="1"/>
  <c r="N74" i="1"/>
  <c r="Z73" i="1"/>
  <c r="V73" i="1"/>
  <c r="U73" i="1"/>
  <c r="S73" i="1"/>
  <c r="N73" i="1"/>
  <c r="AA73" i="1" s="1"/>
  <c r="AB72" i="1"/>
  <c r="AA72" i="1"/>
  <c r="Z72" i="1"/>
  <c r="Y72" i="1"/>
  <c r="X72" i="1"/>
  <c r="W72" i="1"/>
  <c r="S72" i="1"/>
  <c r="N72" i="1"/>
  <c r="Z71" i="1"/>
  <c r="S71" i="1"/>
  <c r="N71" i="1"/>
  <c r="AA70" i="1"/>
  <c r="Z70" i="1"/>
  <c r="V70" i="1"/>
  <c r="S70" i="1"/>
  <c r="U70" i="1" s="1"/>
  <c r="AB70" i="1" s="1"/>
  <c r="N70" i="1"/>
  <c r="W70" i="1" s="1"/>
  <c r="X70" i="1" s="1"/>
  <c r="Y70" i="1" s="1"/>
  <c r="AA69" i="1"/>
  <c r="Z69" i="1"/>
  <c r="W69" i="1"/>
  <c r="X69" i="1" s="1"/>
  <c r="Y69" i="1" s="1"/>
  <c r="V69" i="1"/>
  <c r="S69" i="1"/>
  <c r="U69" i="1" s="1"/>
  <c r="AB69" i="1" s="1"/>
  <c r="N69" i="1"/>
  <c r="Z68" i="1"/>
  <c r="S68" i="1"/>
  <c r="U68" i="1" s="1"/>
  <c r="AB68" i="1" s="1"/>
  <c r="N68" i="1"/>
  <c r="AB67" i="1"/>
  <c r="Z67" i="1"/>
  <c r="W67" i="1"/>
  <c r="X67" i="1" s="1"/>
  <c r="Y67" i="1" s="1"/>
  <c r="V67" i="1"/>
  <c r="U67" i="1"/>
  <c r="S67" i="1"/>
  <c r="N67" i="1"/>
  <c r="AA67" i="1" s="1"/>
  <c r="Z66" i="1"/>
  <c r="W66" i="1"/>
  <c r="X66" i="1" s="1"/>
  <c r="Y66" i="1" s="1"/>
  <c r="V66" i="1"/>
  <c r="S66" i="1"/>
  <c r="U66" i="1" s="1"/>
  <c r="AB66" i="1" s="1"/>
  <c r="N66" i="1"/>
  <c r="AA66" i="1" s="1"/>
  <c r="Z65" i="1"/>
  <c r="V65" i="1"/>
  <c r="S65" i="1"/>
  <c r="U65" i="1" s="1"/>
  <c r="AB65" i="1" s="1"/>
  <c r="N65" i="1"/>
  <c r="W65" i="1" s="1"/>
  <c r="X65" i="1" s="1"/>
  <c r="Y65" i="1" s="1"/>
  <c r="AA64" i="1"/>
  <c r="Z64" i="1"/>
  <c r="V64" i="1"/>
  <c r="S64" i="1"/>
  <c r="U64" i="1" s="1"/>
  <c r="AB64" i="1" s="1"/>
  <c r="N64" i="1"/>
  <c r="W64" i="1" s="1"/>
  <c r="X64" i="1" s="1"/>
  <c r="Y64" i="1" s="1"/>
  <c r="AA63" i="1"/>
  <c r="Z63" i="1"/>
  <c r="W63" i="1"/>
  <c r="X63" i="1" s="1"/>
  <c r="Y63" i="1" s="1"/>
  <c r="V63" i="1"/>
  <c r="U63" i="1"/>
  <c r="AB63" i="1" s="1"/>
  <c r="S63" i="1"/>
  <c r="N63" i="1"/>
  <c r="AB62" i="1"/>
  <c r="AA62" i="1"/>
  <c r="Z62" i="1"/>
  <c r="X62" i="1"/>
  <c r="Y62" i="1" s="1"/>
  <c r="W62" i="1"/>
  <c r="V62" i="1"/>
  <c r="U62" i="1"/>
  <c r="S62" i="1"/>
  <c r="N62" i="1"/>
  <c r="Z61" i="1"/>
  <c r="V61" i="1"/>
  <c r="S61" i="1"/>
  <c r="U61" i="1" s="1"/>
  <c r="N61" i="1"/>
  <c r="W61" i="1" s="1"/>
  <c r="X61" i="1" s="1"/>
  <c r="Y61" i="1" s="1"/>
  <c r="Z60" i="1"/>
  <c r="V60" i="1"/>
  <c r="S60" i="1"/>
  <c r="U60" i="1" s="1"/>
  <c r="AB60" i="1" s="1"/>
  <c r="N60" i="1"/>
  <c r="AB59" i="1"/>
  <c r="Z59" i="1"/>
  <c r="W59" i="1"/>
  <c r="X59" i="1" s="1"/>
  <c r="Y59" i="1" s="1"/>
  <c r="V59" i="1"/>
  <c r="S59" i="1"/>
  <c r="U59" i="1" s="1"/>
  <c r="N59" i="1"/>
  <c r="AA59" i="1" s="1"/>
  <c r="Z58" i="1"/>
  <c r="W58" i="1"/>
  <c r="X58" i="1" s="1"/>
  <c r="Y58" i="1" s="1"/>
  <c r="V58" i="1"/>
  <c r="S58" i="1"/>
  <c r="U58" i="1" s="1"/>
  <c r="AB58" i="1" s="1"/>
  <c r="N58" i="1"/>
  <c r="AA58" i="1" s="1"/>
  <c r="Z57" i="1"/>
  <c r="V57" i="1"/>
  <c r="S57" i="1"/>
  <c r="U57" i="1" s="1"/>
  <c r="N57" i="1"/>
  <c r="AA57" i="1" s="1"/>
  <c r="Z56" i="1"/>
  <c r="S56" i="1"/>
  <c r="U56" i="1" s="1"/>
  <c r="AB56" i="1" s="1"/>
  <c r="N56" i="1"/>
  <c r="W56" i="1" s="1"/>
  <c r="X56" i="1" s="1"/>
  <c r="Y56" i="1" s="1"/>
  <c r="Z55" i="1"/>
  <c r="V55" i="1"/>
  <c r="S55" i="1"/>
  <c r="U55" i="1" s="1"/>
  <c r="AB55" i="1" s="1"/>
  <c r="N55" i="1"/>
  <c r="AA54" i="1"/>
  <c r="Z54" i="1"/>
  <c r="W54" i="1"/>
  <c r="X54" i="1" s="1"/>
  <c r="Y54" i="1" s="1"/>
  <c r="S54" i="1"/>
  <c r="U54" i="1" s="1"/>
  <c r="AB54" i="1" s="1"/>
  <c r="N54" i="1"/>
  <c r="Z53" i="1"/>
  <c r="X53" i="1"/>
  <c r="Y53" i="1" s="1"/>
  <c r="W53" i="1"/>
  <c r="V53" i="1"/>
  <c r="S53" i="1"/>
  <c r="U53" i="1" s="1"/>
  <c r="AB53" i="1" s="1"/>
  <c r="N53" i="1"/>
  <c r="AA53" i="1" s="1"/>
  <c r="AA52" i="1"/>
  <c r="Z52" i="1"/>
  <c r="W52" i="1"/>
  <c r="X52" i="1" s="1"/>
  <c r="Y52" i="1" s="1"/>
  <c r="V52" i="1"/>
  <c r="S52" i="1"/>
  <c r="U52" i="1" s="1"/>
  <c r="AB52" i="1" s="1"/>
  <c r="N52" i="1"/>
  <c r="AA51" i="1"/>
  <c r="Z51" i="1"/>
  <c r="X51" i="1"/>
  <c r="Y51" i="1" s="1"/>
  <c r="W51" i="1"/>
  <c r="V51" i="1"/>
  <c r="S51" i="1"/>
  <c r="U51" i="1" s="1"/>
  <c r="AB51" i="1" s="1"/>
  <c r="N51" i="1"/>
  <c r="AA50" i="1"/>
  <c r="Z50" i="1"/>
  <c r="W50" i="1"/>
  <c r="X50" i="1" s="1"/>
  <c r="Y50" i="1" s="1"/>
  <c r="V50" i="1"/>
  <c r="S50" i="1"/>
  <c r="U50" i="1" s="1"/>
  <c r="AB50" i="1" s="1"/>
  <c r="N50" i="1"/>
  <c r="AB49" i="1"/>
  <c r="AA49" i="1"/>
  <c r="Z49" i="1"/>
  <c r="Y49" i="1"/>
  <c r="X49" i="1"/>
  <c r="W49" i="1"/>
  <c r="V49" i="1"/>
  <c r="U49" i="1"/>
  <c r="S49" i="1"/>
  <c r="N49" i="1"/>
  <c r="Z48" i="1"/>
  <c r="X48" i="1"/>
  <c r="Y48" i="1" s="1"/>
  <c r="V48" i="1"/>
  <c r="S48" i="1"/>
  <c r="U48" i="1" s="1"/>
  <c r="N48" i="1"/>
  <c r="W48" i="1" s="1"/>
  <c r="AB47" i="1"/>
  <c r="Z47" i="1"/>
  <c r="V47" i="1"/>
  <c r="U47" i="1"/>
  <c r="S47" i="1"/>
  <c r="N47" i="1"/>
  <c r="AA46" i="1"/>
  <c r="Z46" i="1"/>
  <c r="X46" i="1"/>
  <c r="Y46" i="1" s="1"/>
  <c r="V46" i="1"/>
  <c r="U46" i="1"/>
  <c r="AB46" i="1" s="1"/>
  <c r="S46" i="1"/>
  <c r="N46" i="1"/>
  <c r="Z45" i="1"/>
  <c r="X45" i="1"/>
  <c r="Y45" i="1" s="1"/>
  <c r="V45" i="1"/>
  <c r="S45" i="1"/>
  <c r="U45" i="1" s="1"/>
  <c r="AB45" i="1" s="1"/>
  <c r="N45" i="1"/>
  <c r="AA45" i="1" s="1"/>
  <c r="AA44" i="1"/>
  <c r="Z44" i="1"/>
  <c r="X44" i="1"/>
  <c r="Y44" i="1" s="1"/>
  <c r="V44" i="1"/>
  <c r="U44" i="1"/>
  <c r="AB44" i="1" s="1"/>
  <c r="S44" i="1"/>
  <c r="N44" i="1"/>
  <c r="W44" i="1" s="1"/>
  <c r="AA43" i="1"/>
  <c r="Z43" i="1"/>
  <c r="V43" i="1"/>
  <c r="S43" i="1"/>
  <c r="U43" i="1" s="1"/>
  <c r="AB43" i="1" s="1"/>
  <c r="N43" i="1"/>
  <c r="W43" i="1" s="1"/>
  <c r="X43" i="1" s="1"/>
  <c r="Y43" i="1" s="1"/>
  <c r="Z42" i="1"/>
  <c r="V42" i="1"/>
  <c r="S42" i="1"/>
  <c r="U42" i="1" s="1"/>
  <c r="AB42" i="1" s="1"/>
  <c r="N42" i="1"/>
  <c r="AB41" i="1"/>
  <c r="Z41" i="1"/>
  <c r="W41" i="1"/>
  <c r="X41" i="1" s="1"/>
  <c r="Y41" i="1" s="1"/>
  <c r="V41" i="1"/>
  <c r="S41" i="1"/>
  <c r="U41" i="1" s="1"/>
  <c r="N41" i="1"/>
  <c r="AA41" i="1" s="1"/>
  <c r="Z40" i="1"/>
  <c r="W40" i="1"/>
  <c r="X40" i="1" s="1"/>
  <c r="Y40" i="1" s="1"/>
  <c r="V40" i="1"/>
  <c r="S40" i="1"/>
  <c r="U40" i="1" s="1"/>
  <c r="AB40" i="1" s="1"/>
  <c r="N40" i="1"/>
  <c r="AA40" i="1" s="1"/>
  <c r="AA39" i="1"/>
  <c r="Z39" i="1"/>
  <c r="W39" i="1"/>
  <c r="X39" i="1" s="1"/>
  <c r="Y39" i="1" s="1"/>
  <c r="V39" i="1"/>
  <c r="S39" i="1"/>
  <c r="U39" i="1" s="1"/>
  <c r="N39" i="1"/>
  <c r="AA38" i="1"/>
  <c r="Z38" i="1"/>
  <c r="V38" i="1"/>
  <c r="S38" i="1"/>
  <c r="U38" i="1" s="1"/>
  <c r="AB38" i="1" s="1"/>
  <c r="N38" i="1"/>
  <c r="W38" i="1" s="1"/>
  <c r="X38" i="1" s="1"/>
  <c r="Y38" i="1" s="1"/>
  <c r="AA37" i="1"/>
  <c r="Z37" i="1"/>
  <c r="W37" i="1"/>
  <c r="X37" i="1" s="1"/>
  <c r="Y37" i="1" s="1"/>
  <c r="V37" i="1"/>
  <c r="U37" i="1"/>
  <c r="AB37" i="1" s="1"/>
  <c r="S37" i="1"/>
  <c r="N37" i="1"/>
  <c r="AB36" i="1"/>
  <c r="Z36" i="1"/>
  <c r="Y36" i="1"/>
  <c r="X36" i="1"/>
  <c r="V36" i="1"/>
  <c r="S36" i="1"/>
  <c r="U36" i="1" s="1"/>
  <c r="N36" i="1"/>
  <c r="AA36" i="1" s="1"/>
  <c r="AA35" i="1"/>
  <c r="Z35" i="1"/>
  <c r="X35" i="1"/>
  <c r="Y35" i="1" s="1"/>
  <c r="V35" i="1"/>
  <c r="S35" i="1"/>
  <c r="U35" i="1" s="1"/>
  <c r="AB35" i="1" s="1"/>
  <c r="N35" i="1"/>
  <c r="AA34" i="1"/>
  <c r="Z34" i="1"/>
  <c r="W34" i="1"/>
  <c r="X34" i="1" s="1"/>
  <c r="Y34" i="1" s="1"/>
  <c r="V34" i="1"/>
  <c r="S34" i="1"/>
  <c r="U34" i="1" s="1"/>
  <c r="AB34" i="1" s="1"/>
  <c r="N34" i="1"/>
  <c r="AA33" i="1"/>
  <c r="Z33" i="1"/>
  <c r="V33" i="1"/>
  <c r="S33" i="1"/>
  <c r="U33" i="1" s="1"/>
  <c r="AB33" i="1" s="1"/>
  <c r="N33" i="1"/>
  <c r="W33" i="1" s="1"/>
  <c r="X33" i="1" s="1"/>
  <c r="Y33" i="1" s="1"/>
  <c r="AA32" i="1"/>
  <c r="Z32" i="1"/>
  <c r="W32" i="1"/>
  <c r="X32" i="1" s="1"/>
  <c r="Y32" i="1" s="1"/>
  <c r="V32" i="1"/>
  <c r="S32" i="1"/>
  <c r="U32" i="1" s="1"/>
  <c r="AB32" i="1" s="1"/>
  <c r="N32" i="1"/>
  <c r="Z31" i="1"/>
  <c r="V31" i="1"/>
  <c r="U31" i="1"/>
  <c r="AB31" i="1" s="1"/>
  <c r="S31" i="1"/>
  <c r="N31" i="1"/>
  <c r="AA31" i="1" s="1"/>
  <c r="AB30" i="1"/>
  <c r="AA30" i="1"/>
  <c r="Z30" i="1"/>
  <c r="X30" i="1"/>
  <c r="Y30" i="1" s="1"/>
  <c r="V30" i="1"/>
  <c r="S30" i="1"/>
  <c r="U30" i="1" s="1"/>
  <c r="N30" i="1"/>
  <c r="W30" i="1" s="1"/>
  <c r="Z29" i="1"/>
  <c r="V29" i="1"/>
  <c r="S29" i="1"/>
  <c r="U29" i="1" s="1"/>
  <c r="AB29" i="1" s="1"/>
  <c r="N29" i="1"/>
  <c r="Z28" i="1"/>
  <c r="V28" i="1"/>
  <c r="S28" i="1"/>
  <c r="U28" i="1" s="1"/>
  <c r="AB28" i="1" s="1"/>
  <c r="N28" i="1"/>
  <c r="AA28" i="1" s="1"/>
  <c r="Z27" i="1"/>
  <c r="W27" i="1"/>
  <c r="X27" i="1" s="1"/>
  <c r="Y27" i="1" s="1"/>
  <c r="V27" i="1"/>
  <c r="S27" i="1"/>
  <c r="U27" i="1" s="1"/>
  <c r="AB27" i="1" s="1"/>
  <c r="N27" i="1"/>
  <c r="AA27" i="1" s="1"/>
  <c r="Z26" i="1"/>
  <c r="V26" i="1"/>
  <c r="S26" i="1"/>
  <c r="U26" i="1" s="1"/>
  <c r="N26" i="1"/>
  <c r="W26" i="1" s="1"/>
  <c r="X26" i="1" s="1"/>
  <c r="Y26" i="1" s="1"/>
  <c r="AA25" i="1"/>
  <c r="Z25" i="1"/>
  <c r="V25" i="1"/>
  <c r="S25" i="1"/>
  <c r="U25" i="1" s="1"/>
  <c r="AB25" i="1" s="1"/>
  <c r="N25" i="1"/>
  <c r="W25" i="1" s="1"/>
  <c r="X25" i="1" s="1"/>
  <c r="Y25" i="1" s="1"/>
  <c r="AA24" i="1"/>
  <c r="Z24" i="1"/>
  <c r="W24" i="1"/>
  <c r="X24" i="1" s="1"/>
  <c r="Y24" i="1" s="1"/>
  <c r="V24" i="1"/>
  <c r="S24" i="1"/>
  <c r="U24" i="1" s="1"/>
  <c r="AB24" i="1" s="1"/>
  <c r="N24" i="1"/>
  <c r="AB23" i="1"/>
  <c r="Z23" i="1"/>
  <c r="V23" i="1"/>
  <c r="U23" i="1"/>
  <c r="S23" i="1"/>
  <c r="N23" i="1"/>
  <c r="AA23" i="1" s="1"/>
  <c r="Z22" i="1"/>
  <c r="W22" i="1"/>
  <c r="X22" i="1" s="1"/>
  <c r="Y22" i="1" s="1"/>
  <c r="V22" i="1"/>
  <c r="S22" i="1"/>
  <c r="U22" i="1" s="1"/>
  <c r="AB22" i="1" s="1"/>
  <c r="N22" i="1"/>
  <c r="AA22" i="1" s="1"/>
  <c r="Z21" i="1"/>
  <c r="V21" i="1"/>
  <c r="S21" i="1"/>
  <c r="U21" i="1" s="1"/>
  <c r="AB21" i="1" s="1"/>
  <c r="N21" i="1"/>
  <c r="Z20" i="1"/>
  <c r="V20" i="1"/>
  <c r="S20" i="1"/>
  <c r="U20" i="1" s="1"/>
  <c r="AB20" i="1" s="1"/>
  <c r="N20" i="1"/>
  <c r="W20" i="1" s="1"/>
  <c r="X20" i="1" s="1"/>
  <c r="Y20" i="1" s="1"/>
  <c r="Z19" i="1"/>
  <c r="X19" i="1"/>
  <c r="Y19" i="1" s="1"/>
  <c r="W19" i="1"/>
  <c r="V19" i="1"/>
  <c r="S19" i="1"/>
  <c r="U19" i="1" s="1"/>
  <c r="AB19" i="1" s="1"/>
  <c r="N19" i="1"/>
  <c r="AA19" i="1" s="1"/>
  <c r="Z18" i="1"/>
  <c r="V18" i="1"/>
  <c r="S18" i="1"/>
  <c r="U18" i="1" s="1"/>
  <c r="AB18" i="1" s="1"/>
  <c r="N18" i="1"/>
  <c r="AA18" i="1" s="1"/>
  <c r="AA17" i="1"/>
  <c r="Z17" i="1"/>
  <c r="V17" i="1"/>
  <c r="S17" i="1"/>
  <c r="U17" i="1" s="1"/>
  <c r="AB17" i="1" s="1"/>
  <c r="N17" i="1"/>
  <c r="W17" i="1" s="1"/>
  <c r="X17" i="1" s="1"/>
  <c r="Y17" i="1" s="1"/>
  <c r="Z16" i="1"/>
  <c r="V16" i="1"/>
  <c r="S16" i="1"/>
  <c r="U16" i="1" s="1"/>
  <c r="AB16" i="1" s="1"/>
  <c r="N16" i="1"/>
  <c r="W16" i="1" s="1"/>
  <c r="X16" i="1" s="1"/>
  <c r="Y16" i="1" s="1"/>
  <c r="AB15" i="1"/>
  <c r="Z15" i="1"/>
  <c r="V15" i="1"/>
  <c r="U15" i="1"/>
  <c r="S15" i="1"/>
  <c r="N15" i="1"/>
  <c r="AA15" i="1" s="1"/>
  <c r="Z14" i="1"/>
  <c r="W14" i="1"/>
  <c r="X14" i="1" s="1"/>
  <c r="Y14" i="1" s="1"/>
  <c r="V14" i="1"/>
  <c r="S14" i="1"/>
  <c r="U14" i="1" s="1"/>
  <c r="AB14" i="1" s="1"/>
  <c r="N14" i="1"/>
  <c r="AA14" i="1" s="1"/>
  <c r="Z13" i="1"/>
  <c r="V13" i="1"/>
  <c r="S13" i="1"/>
  <c r="U13" i="1" s="1"/>
  <c r="AB13" i="1" s="1"/>
  <c r="N13" i="1"/>
  <c r="Z12" i="1"/>
  <c r="V12" i="1"/>
  <c r="S12" i="1"/>
  <c r="U12" i="1" s="1"/>
  <c r="AB12" i="1" s="1"/>
  <c r="N12" i="1"/>
  <c r="W12" i="1" s="1"/>
  <c r="X12" i="1" s="1"/>
  <c r="Y12" i="1" s="1"/>
  <c r="Z11" i="1"/>
  <c r="X11" i="1"/>
  <c r="Y11" i="1" s="1"/>
  <c r="W11" i="1"/>
  <c r="V11" i="1"/>
  <c r="S11" i="1"/>
  <c r="U11" i="1" s="1"/>
  <c r="AB11" i="1" s="1"/>
  <c r="N11" i="1"/>
  <c r="AA11" i="1" s="1"/>
  <c r="Z10" i="1"/>
  <c r="V10" i="1"/>
  <c r="S10" i="1"/>
  <c r="U10" i="1" s="1"/>
  <c r="AB10" i="1" s="1"/>
  <c r="N10" i="1"/>
  <c r="W10" i="1" s="1"/>
  <c r="X10" i="1" s="1"/>
  <c r="Y10" i="1" s="1"/>
  <c r="AA9" i="1"/>
  <c r="Z9" i="1"/>
  <c r="V9" i="1"/>
  <c r="S9" i="1"/>
  <c r="U9" i="1" s="1"/>
  <c r="AB9" i="1" s="1"/>
  <c r="N9" i="1"/>
  <c r="W9" i="1" s="1"/>
  <c r="X9" i="1" s="1"/>
  <c r="Y9" i="1" s="1"/>
  <c r="Z8" i="1"/>
  <c r="V8" i="1"/>
  <c r="S8" i="1"/>
  <c r="U8" i="1" s="1"/>
  <c r="AB8" i="1" s="1"/>
  <c r="N8" i="1"/>
  <c r="AA8" i="1" s="1"/>
  <c r="AB7" i="1"/>
  <c r="Z7" i="1"/>
  <c r="V7" i="1"/>
  <c r="U7" i="1"/>
  <c r="S7" i="1"/>
  <c r="N7" i="1"/>
  <c r="AA7" i="1" s="1"/>
  <c r="Z6" i="1"/>
  <c r="W6" i="1"/>
  <c r="X6" i="1" s="1"/>
  <c r="Y6" i="1" s="1"/>
  <c r="V6" i="1"/>
  <c r="S6" i="1"/>
  <c r="U6" i="1" s="1"/>
  <c r="AB6" i="1" s="1"/>
  <c r="N6" i="1"/>
  <c r="AA6" i="1" s="1"/>
  <c r="Z5" i="1"/>
  <c r="V5" i="1"/>
  <c r="S5" i="1"/>
  <c r="U5" i="1" s="1"/>
  <c r="AB5" i="1" s="1"/>
  <c r="N5" i="1"/>
  <c r="Z4" i="1"/>
  <c r="V4" i="1"/>
  <c r="U4" i="1"/>
  <c r="AB4" i="1" s="1"/>
  <c r="S4" i="1"/>
  <c r="N4" i="1"/>
  <c r="AA4" i="1" s="1"/>
  <c r="Z3" i="1"/>
  <c r="V3" i="1"/>
  <c r="S3" i="1"/>
  <c r="U3" i="1" s="1"/>
  <c r="AB3" i="1" s="1"/>
  <c r="N3" i="1"/>
  <c r="AA3" i="1" s="1"/>
  <c r="AA2" i="1"/>
  <c r="Z2" i="1"/>
  <c r="W2" i="1"/>
  <c r="X2" i="1" s="1"/>
  <c r="Y2" i="1" s="1"/>
  <c r="V2" i="1"/>
  <c r="S2" i="1"/>
  <c r="U2" i="1" s="1"/>
  <c r="N2" i="1"/>
  <c r="AB2" i="1" l="1"/>
  <c r="AB224" i="1"/>
  <c r="AA224" i="1"/>
  <c r="W224" i="1"/>
  <c r="X224" i="1" s="1"/>
  <c r="Y224" i="1" s="1"/>
  <c r="AB57" i="1"/>
  <c r="W170" i="1"/>
  <c r="X170" i="1" s="1"/>
  <c r="Y170" i="1" s="1"/>
  <c r="AA170" i="1"/>
  <c r="AA191" i="1"/>
  <c r="W191" i="1"/>
  <c r="X191" i="1" s="1"/>
  <c r="Y191" i="1" s="1"/>
  <c r="AB39" i="1"/>
  <c r="AB48" i="1"/>
  <c r="AB110" i="1"/>
  <c r="AA110" i="1"/>
  <c r="W110" i="1"/>
  <c r="X110" i="1" s="1"/>
  <c r="Y110" i="1" s="1"/>
  <c r="AB120" i="1"/>
  <c r="AA120" i="1"/>
  <c r="W120" i="1"/>
  <c r="X120" i="1" s="1"/>
  <c r="Y120" i="1" s="1"/>
  <c r="AB170" i="1"/>
  <c r="W57" i="1"/>
  <c r="X57" i="1" s="1"/>
  <c r="Y57" i="1" s="1"/>
  <c r="AA248" i="1"/>
  <c r="W248" i="1"/>
  <c r="X248" i="1" s="1"/>
  <c r="Y248" i="1" s="1"/>
  <c r="AA60" i="1"/>
  <c r="W60" i="1"/>
  <c r="X60" i="1" s="1"/>
  <c r="Y60" i="1" s="1"/>
  <c r="AB26" i="1"/>
  <c r="AA95" i="1"/>
  <c r="W95" i="1"/>
  <c r="X95" i="1" s="1"/>
  <c r="Y95" i="1" s="1"/>
  <c r="W79" i="1"/>
  <c r="X79" i="1" s="1"/>
  <c r="Y79" i="1" s="1"/>
  <c r="AA26" i="1"/>
  <c r="W93" i="1"/>
  <c r="X93" i="1" s="1"/>
  <c r="Y93" i="1" s="1"/>
  <c r="AB98" i="1"/>
  <c r="AB118" i="1"/>
  <c r="AA118" i="1"/>
  <c r="AA55" i="1"/>
  <c r="W55" i="1"/>
  <c r="X55" i="1" s="1"/>
  <c r="Y55" i="1" s="1"/>
  <c r="AA29" i="1"/>
  <c r="W29" i="1"/>
  <c r="X29" i="1" s="1"/>
  <c r="Y29" i="1" s="1"/>
  <c r="AA84" i="1"/>
  <c r="AB105" i="1"/>
  <c r="AA105" i="1"/>
  <c r="W105" i="1"/>
  <c r="X105" i="1" s="1"/>
  <c r="Y105" i="1" s="1"/>
  <c r="W18" i="1"/>
  <c r="X18" i="1" s="1"/>
  <c r="Y18" i="1" s="1"/>
  <c r="AA48" i="1"/>
  <c r="W8" i="1"/>
  <c r="X8" i="1" s="1"/>
  <c r="Y8" i="1" s="1"/>
  <c r="AA47" i="1"/>
  <c r="W47" i="1"/>
  <c r="X47" i="1" s="1"/>
  <c r="Y47" i="1" s="1"/>
  <c r="AB61" i="1"/>
  <c r="W96" i="1"/>
  <c r="X96" i="1" s="1"/>
  <c r="Y96" i="1" s="1"/>
  <c r="W98" i="1"/>
  <c r="X98" i="1" s="1"/>
  <c r="Y98" i="1" s="1"/>
  <c r="AA100" i="1"/>
  <c r="W4" i="1"/>
  <c r="X4" i="1" s="1"/>
  <c r="Y4" i="1" s="1"/>
  <c r="AA10" i="1"/>
  <c r="AA68" i="1"/>
  <c r="W68" i="1"/>
  <c r="X68" i="1" s="1"/>
  <c r="Y68" i="1" s="1"/>
  <c r="AB73" i="1"/>
  <c r="AB91" i="1"/>
  <c r="W91" i="1"/>
  <c r="X91" i="1" s="1"/>
  <c r="Y91" i="1" s="1"/>
  <c r="AA147" i="1"/>
  <c r="W147" i="1"/>
  <c r="X147" i="1" s="1"/>
  <c r="Y147" i="1" s="1"/>
  <c r="AB156" i="1"/>
  <c r="AA156" i="1"/>
  <c r="W156" i="1"/>
  <c r="X156" i="1" s="1"/>
  <c r="Y156" i="1" s="1"/>
  <c r="AA42" i="1"/>
  <c r="W42" i="1"/>
  <c r="X42" i="1" s="1"/>
  <c r="Y42" i="1" s="1"/>
  <c r="AB248" i="1"/>
  <c r="AA12" i="1"/>
  <c r="AA20" i="1"/>
  <c r="AA65" i="1"/>
  <c r="AB71" i="1"/>
  <c r="AA71" i="1"/>
  <c r="W71" i="1"/>
  <c r="X71" i="1" s="1"/>
  <c r="Y71" i="1" s="1"/>
  <c r="W116" i="1"/>
  <c r="X116" i="1" s="1"/>
  <c r="Y116" i="1" s="1"/>
  <c r="AA220" i="1"/>
  <c r="W220" i="1"/>
  <c r="X220" i="1" s="1"/>
  <c r="Y220" i="1" s="1"/>
  <c r="AB229" i="1"/>
  <c r="AA229" i="1"/>
  <c r="W229" i="1"/>
  <c r="X229" i="1" s="1"/>
  <c r="Y229" i="1" s="1"/>
  <c r="AA123" i="1"/>
  <c r="W123" i="1"/>
  <c r="X123" i="1" s="1"/>
  <c r="Y123" i="1" s="1"/>
  <c r="AA16" i="1"/>
  <c r="AA5" i="1"/>
  <c r="W5" i="1"/>
  <c r="X5" i="1" s="1"/>
  <c r="Y5" i="1" s="1"/>
  <c r="AA13" i="1"/>
  <c r="W13" i="1"/>
  <c r="X13" i="1" s="1"/>
  <c r="Y13" i="1" s="1"/>
  <c r="AA21" i="1"/>
  <c r="W21" i="1"/>
  <c r="X21" i="1" s="1"/>
  <c r="Y21" i="1" s="1"/>
  <c r="W3" i="1"/>
  <c r="X3" i="1" s="1"/>
  <c r="Y3" i="1" s="1"/>
  <c r="AK1" i="1" s="1"/>
  <c r="W73" i="1"/>
  <c r="X73" i="1" s="1"/>
  <c r="Y73" i="1" s="1"/>
  <c r="AA75" i="1"/>
  <c r="W114" i="1"/>
  <c r="X114" i="1" s="1"/>
  <c r="Y114" i="1" s="1"/>
  <c r="AB147" i="1"/>
  <c r="U153" i="1"/>
  <c r="AB153" i="1" s="1"/>
  <c r="AA164" i="1"/>
  <c r="W164" i="1"/>
  <c r="X164" i="1" s="1"/>
  <c r="Y164" i="1" s="1"/>
  <c r="AA198" i="1"/>
  <c r="W198" i="1"/>
  <c r="X198" i="1" s="1"/>
  <c r="Y198" i="1" s="1"/>
  <c r="AA210" i="1"/>
  <c r="W210" i="1"/>
  <c r="X210" i="1" s="1"/>
  <c r="Y210" i="1" s="1"/>
  <c r="AB220" i="1"/>
  <c r="AB162" i="1"/>
  <c r="AB100" i="1"/>
  <c r="AA56" i="1"/>
  <c r="AA61" i="1"/>
  <c r="AB86" i="1"/>
  <c r="AA86" i="1"/>
  <c r="W86" i="1"/>
  <c r="X86" i="1" s="1"/>
  <c r="Y86" i="1" s="1"/>
  <c r="AA91" i="1"/>
  <c r="AB139" i="1"/>
  <c r="AA139" i="1"/>
  <c r="W139" i="1"/>
  <c r="X139" i="1" s="1"/>
  <c r="Y139" i="1" s="1"/>
  <c r="AB180" i="1"/>
  <c r="AA180" i="1"/>
  <c r="W180" i="1"/>
  <c r="X180" i="1" s="1"/>
  <c r="Y180" i="1" s="1"/>
  <c r="W28" i="1"/>
  <c r="X28" i="1" s="1"/>
  <c r="Y28" i="1" s="1"/>
  <c r="AB171" i="1"/>
  <c r="AA171" i="1"/>
  <c r="W171" i="1"/>
  <c r="X171" i="1" s="1"/>
  <c r="Y171" i="1" s="1"/>
  <c r="W143" i="1"/>
  <c r="X143" i="1" s="1"/>
  <c r="Y143" i="1" s="1"/>
  <c r="AB93" i="1"/>
  <c r="W189" i="1"/>
  <c r="X189" i="1" s="1"/>
  <c r="Y189" i="1" s="1"/>
  <c r="W150" i="1"/>
  <c r="X150" i="1" s="1"/>
  <c r="Y150" i="1" s="1"/>
  <c r="AB164" i="1"/>
  <c r="AA206" i="1"/>
  <c r="AB206" i="1"/>
  <c r="AA223" i="1"/>
  <c r="W78" i="1"/>
  <c r="X78" i="1" s="1"/>
  <c r="Y78" i="1" s="1"/>
  <c r="W83" i="1"/>
  <c r="X83" i="1" s="1"/>
  <c r="Y83" i="1" s="1"/>
  <c r="W88" i="1"/>
  <c r="X88" i="1" s="1"/>
  <c r="Y88" i="1" s="1"/>
  <c r="W108" i="1"/>
  <c r="X108" i="1" s="1"/>
  <c r="Y108" i="1" s="1"/>
  <c r="W113" i="1"/>
  <c r="X113" i="1" s="1"/>
  <c r="Y113" i="1" s="1"/>
  <c r="W142" i="1"/>
  <c r="X142" i="1" s="1"/>
  <c r="Y142" i="1" s="1"/>
  <c r="W149" i="1"/>
  <c r="X149" i="1" s="1"/>
  <c r="Y149" i="1" s="1"/>
  <c r="W161" i="1"/>
  <c r="X161" i="1" s="1"/>
  <c r="Y161" i="1" s="1"/>
  <c r="W169" i="1"/>
  <c r="X169" i="1" s="1"/>
  <c r="Y169" i="1" s="1"/>
  <c r="W188" i="1"/>
  <c r="X188" i="1" s="1"/>
  <c r="Y188" i="1" s="1"/>
  <c r="W222" i="1"/>
  <c r="X222" i="1" s="1"/>
  <c r="Y222" i="1" s="1"/>
  <c r="W233" i="1"/>
  <c r="X233" i="1" s="1"/>
  <c r="Y233" i="1" s="1"/>
  <c r="AA133" i="1"/>
  <c r="W137" i="1"/>
  <c r="X137" i="1" s="1"/>
  <c r="Y137" i="1" s="1"/>
  <c r="AA201" i="1"/>
  <c r="W203" i="1"/>
  <c r="X203" i="1" s="1"/>
  <c r="Y203" i="1" s="1"/>
  <c r="W207" i="1"/>
  <c r="X207" i="1" s="1"/>
  <c r="Y207" i="1" s="1"/>
  <c r="W217" i="1"/>
  <c r="X217" i="1" s="1"/>
  <c r="Y217" i="1" s="1"/>
  <c r="W243" i="1"/>
  <c r="X243" i="1" s="1"/>
  <c r="Y243" i="1" s="1"/>
  <c r="AA183" i="1"/>
  <c r="T209" i="1"/>
  <c r="U209" i="1" s="1"/>
  <c r="AB209" i="1" s="1"/>
  <c r="W238" i="1"/>
  <c r="X238" i="1" s="1"/>
  <c r="Y238" i="1" s="1"/>
  <c r="AA149" i="1"/>
  <c r="T153" i="1"/>
  <c r="AA161" i="1"/>
  <c r="W7" i="1"/>
  <c r="X7" i="1" s="1"/>
  <c r="Y7" i="1" s="1"/>
  <c r="W15" i="1"/>
  <c r="X15" i="1" s="1"/>
  <c r="Y15" i="1" s="1"/>
  <c r="W23" i="1"/>
  <c r="X23" i="1" s="1"/>
  <c r="Y23" i="1" s="1"/>
  <c r="W31" i="1"/>
  <c r="X31" i="1" s="1"/>
  <c r="Y31" i="1" s="1"/>
  <c r="W132" i="1"/>
  <c r="X132" i="1" s="1"/>
  <c r="Y132" i="1" s="1"/>
  <c r="W158" i="1"/>
  <c r="X158" i="1" s="1"/>
  <c r="Y158" i="1" s="1"/>
  <c r="W175" i="1"/>
  <c r="X175" i="1" s="1"/>
  <c r="Y175" i="1" s="1"/>
  <c r="W195" i="1"/>
  <c r="X195" i="1" s="1"/>
  <c r="Y195" i="1" s="1"/>
  <c r="W200" i="1"/>
  <c r="X200" i="1" s="1"/>
  <c r="Y200" i="1" s="1"/>
  <c r="W226" i="1"/>
  <c r="X226" i="1" s="1"/>
  <c r="Y226" i="1" s="1"/>
  <c r="W240" i="1"/>
  <c r="X240" i="1" s="1"/>
  <c r="Y240" i="1" s="1"/>
  <c r="W245" i="1"/>
  <c r="X245" i="1" s="1"/>
  <c r="Y245" i="1" s="1"/>
  <c r="W250" i="1"/>
  <c r="X250" i="1" s="1"/>
  <c r="Y250" i="1" s="1"/>
  <c r="AG1" i="1" l="1"/>
  <c r="AE1" i="1"/>
  <c r="AM1" i="1" s="1"/>
  <c r="AI1" i="1" s="1"/>
</calcChain>
</file>

<file path=xl/sharedStrings.xml><?xml version="1.0" encoding="utf-8"?>
<sst xmlns="http://schemas.openxmlformats.org/spreadsheetml/2006/main" count="14971" uniqueCount="910">
  <si>
    <t>ISIN</t>
    <phoneticPr fontId="5" type="noConversion"/>
  </si>
  <si>
    <t>公司名</t>
    <phoneticPr fontId="6" type="noConversion"/>
  </si>
  <si>
    <t>債券類別</t>
    <phoneticPr fontId="6" type="noConversion"/>
  </si>
  <si>
    <t>交易對象</t>
    <phoneticPr fontId="5" type="noConversion"/>
  </si>
  <si>
    <t>商品名稱</t>
    <phoneticPr fontId="5" type="noConversion"/>
  </si>
  <si>
    <t>發行機構</t>
    <phoneticPr fontId="5" type="noConversion"/>
  </si>
  <si>
    <t>產業</t>
    <phoneticPr fontId="5" type="noConversion"/>
  </si>
  <si>
    <t>投資幣別</t>
    <phoneticPr fontId="5" type="noConversion"/>
  </si>
  <si>
    <t>信評(M/S/F)</t>
    <phoneticPr fontId="5" type="noConversion"/>
  </si>
  <si>
    <t>信評等級</t>
    <phoneticPr fontId="5" type="noConversion"/>
  </si>
  <si>
    <t>票面利率</t>
    <phoneticPr fontId="5" type="noConversion"/>
  </si>
  <si>
    <t>配息頻率</t>
    <phoneticPr fontId="5" type="noConversion"/>
  </si>
  <si>
    <t>下單日</t>
    <phoneticPr fontId="5" type="noConversion"/>
  </si>
  <si>
    <t>存續期間</t>
    <phoneticPr fontId="5" type="noConversion"/>
  </si>
  <si>
    <t>到期日</t>
    <phoneticPr fontId="5" type="noConversion"/>
  </si>
  <si>
    <t>買入價</t>
    <phoneticPr fontId="5" type="noConversion"/>
  </si>
  <si>
    <t>殖利率</t>
    <phoneticPr fontId="5" type="noConversion"/>
  </si>
  <si>
    <t>投資面額</t>
    <phoneticPr fontId="5" type="noConversion"/>
  </si>
  <si>
    <t>應付本金</t>
    <phoneticPr fontId="5" type="noConversion"/>
  </si>
  <si>
    <t>前手息</t>
    <phoneticPr fontId="5" type="noConversion"/>
  </si>
  <si>
    <t>交割金額</t>
    <phoneticPr fontId="5" type="noConversion"/>
  </si>
  <si>
    <t>交割日</t>
    <phoneticPr fontId="5" type="noConversion"/>
  </si>
  <si>
    <t>付息次數</t>
    <phoneticPr fontId="4" type="noConversion"/>
  </si>
  <si>
    <t>應收利息</t>
    <phoneticPr fontId="4" type="noConversion"/>
  </si>
  <si>
    <t>本利合計</t>
    <phoneticPr fontId="4" type="noConversion"/>
  </si>
  <si>
    <t>殖利率區間</t>
    <phoneticPr fontId="4" type="noConversion"/>
  </si>
  <si>
    <t>存續期區間</t>
    <phoneticPr fontId="4" type="noConversion"/>
  </si>
  <si>
    <t>加權投資成本</t>
    <phoneticPr fontId="4" type="noConversion"/>
  </si>
  <si>
    <t>總投資</t>
    <phoneticPr fontId="4" type="noConversion"/>
  </si>
  <si>
    <t>平均投資年限</t>
    <phoneticPr fontId="4" type="noConversion"/>
  </si>
  <si>
    <t>年平均收益率</t>
    <phoneticPr fontId="4" type="noConversion"/>
  </si>
  <si>
    <t>總收益</t>
    <phoneticPr fontId="4" type="noConversion"/>
  </si>
  <si>
    <t>總收益率</t>
    <phoneticPr fontId="4" type="noConversion"/>
  </si>
  <si>
    <t>US91127LAD29</t>
    <phoneticPr fontId="5" type="noConversion"/>
  </si>
  <si>
    <t>Silitech</t>
    <phoneticPr fontId="6" type="noConversion"/>
  </si>
  <si>
    <t>金融債</t>
    <phoneticPr fontId="5" type="noConversion"/>
  </si>
  <si>
    <t>花旗銀行</t>
    <phoneticPr fontId="5" type="noConversion"/>
  </si>
  <si>
    <t>UNITED OVERSEAS BANK LTD</t>
    <phoneticPr fontId="5" type="noConversion"/>
  </si>
  <si>
    <t>大華銀行</t>
    <phoneticPr fontId="5" type="noConversion"/>
  </si>
  <si>
    <t>Finance</t>
    <phoneticPr fontId="5" type="noConversion"/>
  </si>
  <si>
    <t>USD</t>
    <phoneticPr fontId="5" type="noConversion"/>
  </si>
  <si>
    <t>Aa1/AA-</t>
    <phoneticPr fontId="6" type="noConversion"/>
  </si>
  <si>
    <t>USG91139AF57</t>
    <phoneticPr fontId="5" type="noConversion"/>
  </si>
  <si>
    <t>公司債</t>
    <phoneticPr fontId="6" type="noConversion"/>
  </si>
  <si>
    <t>TSMC GLOBAL LTD</t>
    <phoneticPr fontId="5" type="noConversion"/>
  </si>
  <si>
    <t>TSMC全球</t>
    <phoneticPr fontId="6" type="noConversion"/>
  </si>
  <si>
    <t>半導體</t>
    <phoneticPr fontId="5" type="noConversion"/>
  </si>
  <si>
    <t>USD</t>
    <phoneticPr fontId="6" type="noConversion"/>
  </si>
  <si>
    <t>Aa3/AA-</t>
    <phoneticPr fontId="5" type="noConversion"/>
  </si>
  <si>
    <t>US172967KN09</t>
    <phoneticPr fontId="5" type="noConversion"/>
  </si>
  <si>
    <t>CITIGROUP INC</t>
    <phoneticPr fontId="5" type="noConversion"/>
  </si>
  <si>
    <t>花旗集團</t>
    <phoneticPr fontId="5" type="noConversion"/>
  </si>
  <si>
    <t>A3/BBB+</t>
    <phoneticPr fontId="6" type="noConversion"/>
  </si>
  <si>
    <t>US459200JZ55</t>
    <phoneticPr fontId="5" type="noConversion"/>
  </si>
  <si>
    <t>WTC</t>
    <phoneticPr fontId="6" type="noConversion"/>
  </si>
  <si>
    <t>IBM</t>
    <phoneticPr fontId="5" type="noConversion"/>
  </si>
  <si>
    <t>國際商業機器</t>
    <phoneticPr fontId="6" type="noConversion"/>
  </si>
  <si>
    <t>電腦硬軟體</t>
    <phoneticPr fontId="5" type="noConversion"/>
  </si>
  <si>
    <t>A3/A-/WD</t>
    <phoneticPr fontId="5" type="noConversion"/>
  </si>
  <si>
    <t>US166764BL33</t>
    <phoneticPr fontId="5" type="noConversion"/>
  </si>
  <si>
    <t>公司債</t>
    <phoneticPr fontId="5" type="noConversion"/>
  </si>
  <si>
    <t>Morgan Stanley</t>
    <phoneticPr fontId="5" type="noConversion"/>
  </si>
  <si>
    <t>Chevron Corp</t>
    <phoneticPr fontId="5" type="noConversion"/>
  </si>
  <si>
    <t>雪弗龍能源</t>
    <phoneticPr fontId="5" type="noConversion"/>
  </si>
  <si>
    <t>能源</t>
    <phoneticPr fontId="5" type="noConversion"/>
  </si>
  <si>
    <t>Aa2/AA-/NR</t>
    <phoneticPr fontId="6" type="noConversion"/>
  </si>
  <si>
    <t>US404280BB43</t>
    <phoneticPr fontId="5" type="noConversion"/>
  </si>
  <si>
    <t>金融債</t>
    <phoneticPr fontId="6" type="noConversion"/>
  </si>
  <si>
    <t>HSBC HOLDINGS PLC</t>
    <phoneticPr fontId="5" type="noConversion"/>
  </si>
  <si>
    <t>匯豐控股</t>
    <phoneticPr fontId="6" type="noConversion"/>
  </si>
  <si>
    <t>A3/A-</t>
    <phoneticPr fontId="5" type="noConversion"/>
  </si>
  <si>
    <t>US912828U246</t>
    <phoneticPr fontId="5" type="noConversion"/>
  </si>
  <si>
    <t>公債</t>
    <phoneticPr fontId="6" type="noConversion"/>
  </si>
  <si>
    <t xml:space="preserve">US TREASURY </t>
    <phoneticPr fontId="5" type="noConversion"/>
  </si>
  <si>
    <t>美國公債</t>
    <phoneticPr fontId="6" type="noConversion"/>
  </si>
  <si>
    <t>政府公債</t>
    <phoneticPr fontId="5" type="noConversion"/>
  </si>
  <si>
    <t>Aaa/AA+</t>
    <phoneticPr fontId="5" type="noConversion"/>
  </si>
  <si>
    <t>HSB</t>
    <phoneticPr fontId="6" type="noConversion"/>
  </si>
  <si>
    <t>UNITED STATES TREASURY</t>
    <phoneticPr fontId="5" type="noConversion"/>
  </si>
  <si>
    <t>AAA/AA+/AAA</t>
    <phoneticPr fontId="5" type="noConversion"/>
  </si>
  <si>
    <t>US717081EA70</t>
    <phoneticPr fontId="5" type="noConversion"/>
  </si>
  <si>
    <t>PFIZER INC</t>
    <phoneticPr fontId="5" type="noConversion"/>
  </si>
  <si>
    <t>輝瑞大藥廠</t>
    <phoneticPr fontId="5" type="noConversion"/>
  </si>
  <si>
    <t>製藥</t>
    <phoneticPr fontId="5" type="noConversion"/>
  </si>
  <si>
    <t>A1/A+</t>
    <phoneticPr fontId="6" type="noConversion"/>
  </si>
  <si>
    <t>US594918BY93</t>
    <phoneticPr fontId="5" type="noConversion"/>
  </si>
  <si>
    <t>Microsoft Corp</t>
    <phoneticPr fontId="5" type="noConversion"/>
  </si>
  <si>
    <t>微軟</t>
    <phoneticPr fontId="5" type="noConversion"/>
  </si>
  <si>
    <t>科技軟體</t>
    <phoneticPr fontId="5" type="noConversion"/>
  </si>
  <si>
    <t>Aaa/AAA/WD</t>
    <phoneticPr fontId="6" type="noConversion"/>
  </si>
  <si>
    <t>US023135CF19</t>
    <phoneticPr fontId="5" type="noConversion"/>
  </si>
  <si>
    <t>PDC</t>
    <phoneticPr fontId="6" type="noConversion"/>
  </si>
  <si>
    <t>AMAZON.COM INC</t>
    <phoneticPr fontId="5" type="noConversion"/>
  </si>
  <si>
    <t>亞馬遜公司</t>
    <phoneticPr fontId="6" type="noConversion"/>
  </si>
  <si>
    <t>科技網路</t>
    <phoneticPr fontId="5" type="noConversion"/>
  </si>
  <si>
    <t>A1/AA/AA-</t>
    <phoneticPr fontId="5" type="noConversion"/>
  </si>
  <si>
    <t>US872898AF83</t>
    <phoneticPr fontId="5" type="noConversion"/>
  </si>
  <si>
    <t>TSMC ARIZONA CORP</t>
    <phoneticPr fontId="5" type="noConversion"/>
  </si>
  <si>
    <t>TSMC亞利桑那</t>
    <phoneticPr fontId="5" type="noConversion"/>
  </si>
  <si>
    <t>Aa3/AA-/AA-</t>
    <phoneticPr fontId="6" type="noConversion"/>
  </si>
  <si>
    <t>US89236TKJ33</t>
    <phoneticPr fontId="5" type="noConversion"/>
  </si>
  <si>
    <t>GBM</t>
    <phoneticPr fontId="6" type="noConversion"/>
  </si>
  <si>
    <t>Toyota Motor Credit Corp. 4,55% 22/27</t>
    <phoneticPr fontId="5" type="noConversion"/>
  </si>
  <si>
    <t>豐田汽車</t>
    <phoneticPr fontId="6" type="noConversion"/>
  </si>
  <si>
    <t>汽車</t>
    <phoneticPr fontId="5" type="noConversion"/>
  </si>
  <si>
    <t>A1 / A+</t>
    <phoneticPr fontId="5" type="noConversion"/>
  </si>
  <si>
    <t>US713448DY13</t>
    <phoneticPr fontId="5" type="noConversion"/>
  </si>
  <si>
    <t>PEPSICO INC</t>
    <phoneticPr fontId="5" type="noConversion"/>
  </si>
  <si>
    <t>百事可樂</t>
    <phoneticPr fontId="6" type="noConversion"/>
  </si>
  <si>
    <t>食品</t>
    <phoneticPr fontId="5" type="noConversion"/>
  </si>
  <si>
    <t>A1/A+</t>
    <phoneticPr fontId="5" type="noConversion"/>
  </si>
  <si>
    <t>US037833DK32</t>
    <phoneticPr fontId="5" type="noConversion"/>
  </si>
  <si>
    <t>APPLE INC</t>
    <phoneticPr fontId="5" type="noConversion"/>
  </si>
  <si>
    <t>蘋果公司</t>
    <phoneticPr fontId="6" type="noConversion"/>
  </si>
  <si>
    <t>手機電腦</t>
    <phoneticPr fontId="5" type="noConversion"/>
  </si>
  <si>
    <t>蘋果公司</t>
    <phoneticPr fontId="5" type="noConversion"/>
  </si>
  <si>
    <t xml:space="preserve">Aaa/AA+ </t>
    <phoneticPr fontId="6" type="noConversion"/>
  </si>
  <si>
    <t>US91282CGD74</t>
    <phoneticPr fontId="5" type="noConversion"/>
  </si>
  <si>
    <t>US05578BAJ52</t>
    <phoneticPr fontId="5" type="noConversion"/>
  </si>
  <si>
    <t>ITC</t>
    <phoneticPr fontId="6" type="noConversion"/>
  </si>
  <si>
    <t>BPCE</t>
    <phoneticPr fontId="5" type="noConversion"/>
  </si>
  <si>
    <t>A1/A/AA-</t>
    <phoneticPr fontId="6" type="noConversion"/>
  </si>
  <si>
    <t>BPCE</t>
    <phoneticPr fontId="6" type="noConversion"/>
  </si>
  <si>
    <t>A1/A/AA-</t>
    <phoneticPr fontId="5" type="noConversion"/>
  </si>
  <si>
    <t>US05578BAY20</t>
    <phoneticPr fontId="5" type="noConversion"/>
  </si>
  <si>
    <t>A1/A/A+</t>
    <phoneticPr fontId="6" type="noConversion"/>
  </si>
  <si>
    <t>US459200KX88</t>
    <phoneticPr fontId="5" type="noConversion"/>
  </si>
  <si>
    <t>A3 / A-</t>
    <phoneticPr fontId="5" type="noConversion"/>
  </si>
  <si>
    <t>國際商業機器</t>
    <phoneticPr fontId="5" type="noConversion"/>
  </si>
  <si>
    <t>A3 / A-</t>
    <phoneticPr fontId="6" type="noConversion"/>
  </si>
  <si>
    <t>US06407F2G68</t>
    <phoneticPr fontId="5" type="noConversion"/>
  </si>
  <si>
    <t>BANK OF NEW ZEALAND</t>
    <phoneticPr fontId="5" type="noConversion"/>
  </si>
  <si>
    <t>紐西蘭西太平洋銀行</t>
    <phoneticPr fontId="5" type="noConversion"/>
  </si>
  <si>
    <t>A1/AA-</t>
    <phoneticPr fontId="6" type="noConversion"/>
  </si>
  <si>
    <t>US458140CE86</t>
    <phoneticPr fontId="5" type="noConversion"/>
  </si>
  <si>
    <t>Morgan stanley</t>
    <phoneticPr fontId="5" type="noConversion"/>
  </si>
  <si>
    <t>INTEL CORP</t>
    <phoneticPr fontId="5" type="noConversion"/>
  </si>
  <si>
    <t>INTEL</t>
    <phoneticPr fontId="6" type="noConversion"/>
  </si>
  <si>
    <t>A</t>
    <phoneticPr fontId="6" type="noConversion"/>
  </si>
  <si>
    <t>US22550L2M24</t>
    <phoneticPr fontId="5" type="noConversion"/>
  </si>
  <si>
    <t>UBS 7 1/2 02/15/28</t>
    <phoneticPr fontId="5" type="noConversion"/>
  </si>
  <si>
    <t>瑞信紐約股份有限公司</t>
    <phoneticPr fontId="6" type="noConversion"/>
  </si>
  <si>
    <t>Aa2/A+/A+</t>
    <phoneticPr fontId="5" type="noConversion"/>
  </si>
  <si>
    <t>US96122QAA13</t>
    <phoneticPr fontId="5" type="noConversion"/>
  </si>
  <si>
    <t>WESTPAC NEW ZEALAND LTD</t>
    <phoneticPr fontId="5" type="noConversion"/>
  </si>
  <si>
    <t>西太平洋銀行紐西蘭有限公司</t>
    <phoneticPr fontId="5" type="noConversion"/>
  </si>
  <si>
    <t>USU2339CDB10</t>
    <phoneticPr fontId="5" type="noConversion"/>
  </si>
  <si>
    <t>Mercedes-Benz Finance North America LLC</t>
    <phoneticPr fontId="5" type="noConversion"/>
  </si>
  <si>
    <t>梅賽德斯-賓士金融北美有限責</t>
    <phoneticPr fontId="6" type="noConversion"/>
  </si>
  <si>
    <t>A2/A</t>
    <phoneticPr fontId="5" type="noConversion"/>
  </si>
  <si>
    <t xml:space="preserve">WESTPAC NEW ZEALAND LTD </t>
    <phoneticPr fontId="5" type="noConversion"/>
  </si>
  <si>
    <t>西太平洋銀行紐西蘭有限公司</t>
    <phoneticPr fontId="6" type="noConversion"/>
  </si>
  <si>
    <t>A1 /AA-</t>
    <phoneticPr fontId="5" type="noConversion"/>
  </si>
  <si>
    <t>A1/AA-</t>
    <phoneticPr fontId="5" type="noConversion"/>
  </si>
  <si>
    <t>A2 / A</t>
    <phoneticPr fontId="6" type="noConversion"/>
  </si>
  <si>
    <t>USJ7771YSA66</t>
    <phoneticPr fontId="5" type="noConversion"/>
  </si>
  <si>
    <t xml:space="preserve">SUMITOMO </t>
    <phoneticPr fontId="5" type="noConversion"/>
  </si>
  <si>
    <t>三井住友信託</t>
    <phoneticPr fontId="6" type="noConversion"/>
  </si>
  <si>
    <t>A1/A/A-</t>
    <phoneticPr fontId="5" type="noConversion"/>
  </si>
  <si>
    <t>SUMITOMO MITSUI TRUST BANK LTD</t>
    <phoneticPr fontId="5" type="noConversion"/>
  </si>
  <si>
    <t>US92343VGH15</t>
    <phoneticPr fontId="5" type="noConversion"/>
  </si>
  <si>
    <t>Verizon Communications Inc</t>
    <phoneticPr fontId="5" type="noConversion"/>
  </si>
  <si>
    <t>威訊通訊</t>
    <phoneticPr fontId="5" type="noConversion"/>
  </si>
  <si>
    <t>通訊</t>
    <phoneticPr fontId="5" type="noConversion"/>
  </si>
  <si>
    <t>Baa1/BBB+</t>
    <phoneticPr fontId="6" type="noConversion"/>
  </si>
  <si>
    <t>USG21819AA80</t>
    <phoneticPr fontId="5" type="noConversion"/>
  </si>
  <si>
    <t>CK HUTCHISON HOLDINGS LTD</t>
    <phoneticPr fontId="5" type="noConversion"/>
  </si>
  <si>
    <t>長江和記實業</t>
    <phoneticPr fontId="6" type="noConversion"/>
  </si>
  <si>
    <t>綜合製造</t>
    <phoneticPr fontId="5" type="noConversion"/>
  </si>
  <si>
    <t>US30303M8L96</t>
    <phoneticPr fontId="5" type="noConversion"/>
  </si>
  <si>
    <t>META PLATFORMS INC</t>
    <phoneticPr fontId="5" type="noConversion"/>
  </si>
  <si>
    <t>Meta平台</t>
    <phoneticPr fontId="5" type="noConversion"/>
  </si>
  <si>
    <t>資訊平台</t>
    <phoneticPr fontId="5" type="noConversion"/>
  </si>
  <si>
    <t>US931142EE96</t>
    <phoneticPr fontId="5" type="noConversion"/>
  </si>
  <si>
    <t>WALMART INC</t>
    <phoneticPr fontId="5" type="noConversion"/>
  </si>
  <si>
    <t>沃爾瑪公司</t>
    <phoneticPr fontId="6" type="noConversion"/>
  </si>
  <si>
    <t>零售通路</t>
    <phoneticPr fontId="5" type="noConversion"/>
  </si>
  <si>
    <t>Aa2/AA</t>
    <phoneticPr fontId="5" type="noConversion"/>
  </si>
  <si>
    <t>US037833EH93</t>
    <phoneticPr fontId="5" type="noConversion"/>
  </si>
  <si>
    <t>Aaa/AA+</t>
    <phoneticPr fontId="6" type="noConversion"/>
  </si>
  <si>
    <t>US05964HAU95</t>
    <phoneticPr fontId="5" type="noConversion"/>
  </si>
  <si>
    <t>Banco Santander, S.A.</t>
    <phoneticPr fontId="5" type="noConversion"/>
  </si>
  <si>
    <t>西班牙國際銀行</t>
    <phoneticPr fontId="6" type="noConversion"/>
  </si>
  <si>
    <t>A2/A+/A-</t>
    <phoneticPr fontId="5" type="noConversion"/>
  </si>
  <si>
    <t>2024/3/22</t>
    <phoneticPr fontId="6" type="noConversion"/>
  </si>
  <si>
    <t>US00182FBU93</t>
    <phoneticPr fontId="5" type="noConversion"/>
  </si>
  <si>
    <t>ANZNZ 5.355 08/14/28</t>
    <phoneticPr fontId="5" type="noConversion"/>
  </si>
  <si>
    <t>澳盛銀行紐西蘭國際公司</t>
    <phoneticPr fontId="6" type="noConversion"/>
  </si>
  <si>
    <t>A1 / AA-</t>
    <phoneticPr fontId="5" type="noConversion"/>
  </si>
  <si>
    <t>US902674ZW39</t>
    <phoneticPr fontId="5" type="noConversion"/>
  </si>
  <si>
    <t xml:space="preserve">UBS AG </t>
    <phoneticPr fontId="5" type="noConversion"/>
  </si>
  <si>
    <r>
      <t>瑞士銀行</t>
    </r>
    <r>
      <rPr>
        <sz val="12"/>
        <color rgb="FFFF0000"/>
        <rFont val="Calibri"/>
        <family val="2"/>
      </rPr>
      <t/>
    </r>
    <phoneticPr fontId="5" type="noConversion"/>
  </si>
  <si>
    <t>Aa3/A+/A+</t>
    <phoneticPr fontId="6" type="noConversion"/>
  </si>
  <si>
    <t>USU74078CL57</t>
    <phoneticPr fontId="5" type="noConversion"/>
  </si>
  <si>
    <t>NESTLE HOLDINGS INC</t>
    <phoneticPr fontId="5" type="noConversion"/>
  </si>
  <si>
    <t>雀巢控股</t>
    <phoneticPr fontId="6" type="noConversion"/>
  </si>
  <si>
    <t>雀巢控股</t>
    <phoneticPr fontId="5" type="noConversion"/>
  </si>
  <si>
    <t>Aa3/AA-</t>
    <phoneticPr fontId="6" type="noConversion"/>
  </si>
  <si>
    <t>US44891CCN11</t>
    <phoneticPr fontId="5" type="noConversion"/>
  </si>
  <si>
    <t>Hyundai Capital America 6.1%</t>
    <phoneticPr fontId="5" type="noConversion"/>
  </si>
  <si>
    <t>現代資本美國</t>
    <phoneticPr fontId="5" type="noConversion"/>
  </si>
  <si>
    <t>A3/BBB+/NR</t>
    <phoneticPr fontId="6" type="noConversion"/>
  </si>
  <si>
    <t>US822582CB65</t>
    <phoneticPr fontId="5" type="noConversion"/>
  </si>
  <si>
    <t>SHELL INTERNATIONAL FINANCE BV</t>
    <phoneticPr fontId="5" type="noConversion"/>
  </si>
  <si>
    <t>殼牌</t>
    <phoneticPr fontId="6" type="noConversion"/>
  </si>
  <si>
    <t>Aa2/A+/AA-</t>
    <phoneticPr fontId="5" type="noConversion"/>
  </si>
  <si>
    <t>殼牌</t>
    <phoneticPr fontId="5" type="noConversion"/>
  </si>
  <si>
    <t>Aa2/A+/AA-</t>
    <phoneticPr fontId="6" type="noConversion"/>
  </si>
  <si>
    <t>Aa2/A+</t>
    <phoneticPr fontId="5" type="noConversion"/>
  </si>
  <si>
    <t>US912810FF04</t>
    <phoneticPr fontId="5" type="noConversion"/>
  </si>
  <si>
    <t>公債</t>
    <phoneticPr fontId="5" type="noConversion"/>
  </si>
  <si>
    <t>美國公債</t>
    <phoneticPr fontId="5" type="noConversion"/>
  </si>
  <si>
    <t>Aa3/A+</t>
    <phoneticPr fontId="6" type="noConversion"/>
  </si>
  <si>
    <t>US111021AL54</t>
    <phoneticPr fontId="5" type="noConversion"/>
  </si>
  <si>
    <t>British Telecommunications</t>
    <phoneticPr fontId="5" type="noConversion"/>
  </si>
  <si>
    <t>英國電信</t>
    <phoneticPr fontId="6" type="noConversion"/>
  </si>
  <si>
    <t>電信</t>
    <phoneticPr fontId="5" type="noConversion"/>
  </si>
  <si>
    <t>Baa2/BBB</t>
    <phoneticPr fontId="5" type="noConversion"/>
  </si>
  <si>
    <t>USU75000BW55</t>
    <phoneticPr fontId="5" type="noConversion"/>
  </si>
  <si>
    <t>ROSW</t>
    <phoneticPr fontId="5" type="noConversion"/>
  </si>
  <si>
    <t>羅氏控股</t>
    <phoneticPr fontId="6" type="noConversion"/>
  </si>
  <si>
    <t>Aa2 / AA</t>
    <phoneticPr fontId="5" type="noConversion"/>
  </si>
  <si>
    <t>USU5876JAR69</t>
    <phoneticPr fontId="5" type="noConversion"/>
  </si>
  <si>
    <t>Inpaq</t>
    <phoneticPr fontId="6" type="noConversion"/>
  </si>
  <si>
    <t>國泰世華</t>
    <phoneticPr fontId="5" type="noConversion"/>
  </si>
  <si>
    <t>MBGGR 4.85 01/11/29</t>
    <phoneticPr fontId="5" type="noConversion"/>
  </si>
  <si>
    <t>梅賽德斯-賓士金融北美有限責</t>
    <phoneticPr fontId="5" type="noConversion"/>
  </si>
  <si>
    <t xml:space="preserve">USD </t>
    <phoneticPr fontId="6" type="noConversion"/>
  </si>
  <si>
    <t>A2 / A / Au</t>
    <phoneticPr fontId="6" type="noConversion"/>
  </si>
  <si>
    <t>US44891CCR25</t>
    <phoneticPr fontId="5" type="noConversion"/>
  </si>
  <si>
    <t>HYUNDAI CAPITAL AMERICA</t>
    <phoneticPr fontId="5" type="noConversion"/>
  </si>
  <si>
    <t xml:space="preserve">A3/ BBB+/NR </t>
    <phoneticPr fontId="6" type="noConversion"/>
  </si>
  <si>
    <t>XS2756976218</t>
    <phoneticPr fontId="4" type="noConversion"/>
  </si>
  <si>
    <t>WTC</t>
    <phoneticPr fontId="4" type="noConversion"/>
  </si>
  <si>
    <t>QNBK 4 7/8 01/30/29</t>
    <phoneticPr fontId="6" type="noConversion"/>
  </si>
  <si>
    <t>卡達國家銀行金融有限公司</t>
    <phoneticPr fontId="5" type="noConversion"/>
  </si>
  <si>
    <t>USD</t>
    <phoneticPr fontId="4" type="noConversion"/>
  </si>
  <si>
    <t xml:space="preserve">Aa3 / A+ / A+ </t>
    <phoneticPr fontId="6" type="noConversion"/>
  </si>
  <si>
    <t>US06407FAH55</t>
    <phoneticPr fontId="5" type="noConversion"/>
  </si>
  <si>
    <t>BZLNZ 5.076 01/30/29</t>
    <phoneticPr fontId="5" type="noConversion"/>
  </si>
  <si>
    <t>紐西蘭西太平洋銀行</t>
    <phoneticPr fontId="6" type="noConversion"/>
  </si>
  <si>
    <t xml:space="preserve">A1 / AA- / NR </t>
    <phoneticPr fontId="5" type="noConversion"/>
  </si>
  <si>
    <t>US92343VES97</t>
    <phoneticPr fontId="5" type="noConversion"/>
  </si>
  <si>
    <t>威訊通訊</t>
    <phoneticPr fontId="6" type="noConversion"/>
  </si>
  <si>
    <t>Baa1/ BBB / A-</t>
    <phoneticPr fontId="5" type="noConversion"/>
  </si>
  <si>
    <t>US96122QAC78</t>
    <phoneticPr fontId="5" type="noConversion"/>
  </si>
  <si>
    <t xml:space="preserve">WESTPAC NEW ZEALAND LIMITED </t>
    <phoneticPr fontId="5" type="noConversion"/>
  </si>
  <si>
    <t>A1/AA-/NR</t>
    <phoneticPr fontId="6" type="noConversion"/>
  </si>
  <si>
    <t>XS2765576538</t>
    <phoneticPr fontId="5" type="noConversion"/>
  </si>
  <si>
    <t>FABUH 5 02/28/29</t>
    <phoneticPr fontId="5" type="noConversion"/>
  </si>
  <si>
    <t>第一阿布比銀</t>
    <phoneticPr fontId="5" type="noConversion"/>
  </si>
  <si>
    <t xml:space="preserve">Aa3 / AA- / AA- </t>
    <phoneticPr fontId="6" type="noConversion"/>
  </si>
  <si>
    <t>WSTPNZ 5.195 02/28/29</t>
    <phoneticPr fontId="5" type="noConversion"/>
  </si>
  <si>
    <t>US02665WFE66</t>
    <phoneticPr fontId="5" type="noConversion"/>
  </si>
  <si>
    <t xml:space="preserve">American Honda Finance Corporation </t>
    <phoneticPr fontId="5" type="noConversion"/>
  </si>
  <si>
    <t>美國本田金融公司</t>
    <phoneticPr fontId="6" type="noConversion"/>
  </si>
  <si>
    <t>A3-A-/NR</t>
    <phoneticPr fontId="5" type="noConversion"/>
  </si>
  <si>
    <t>USU9273AEC54</t>
    <phoneticPr fontId="5" type="noConversion"/>
  </si>
  <si>
    <t>VOLKSWAGEN GROUP OF AMERICA FINANCE LLC</t>
    <phoneticPr fontId="5" type="noConversion"/>
  </si>
  <si>
    <t>福斯集團(美國)金融</t>
    <phoneticPr fontId="6" type="noConversion"/>
  </si>
  <si>
    <t xml:space="preserve">A3/ BBB+/A- </t>
    <phoneticPr fontId="5" type="noConversion"/>
  </si>
  <si>
    <t>Volkswagen Group of America Finance, LLC 5.25%</t>
    <phoneticPr fontId="5" type="noConversion"/>
  </si>
  <si>
    <t>福斯集團(美國)金融</t>
    <phoneticPr fontId="5" type="noConversion"/>
  </si>
  <si>
    <t>A3/BBB+/A-</t>
    <phoneticPr fontId="6" type="noConversion"/>
  </si>
  <si>
    <t>US11271LAD47</t>
    <phoneticPr fontId="5" type="noConversion"/>
  </si>
  <si>
    <t>Brookfield Finance Inc. 4,85% 19/29</t>
    <phoneticPr fontId="5" type="noConversion"/>
  </si>
  <si>
    <t>布魯克菲爾德金融公司</t>
    <phoneticPr fontId="6" type="noConversion"/>
  </si>
  <si>
    <t>資管</t>
    <phoneticPr fontId="5" type="noConversion"/>
  </si>
  <si>
    <t>A3 / A- / A-</t>
    <phoneticPr fontId="5" type="noConversion"/>
  </si>
  <si>
    <t xml:space="preserve">A3/A-/A- </t>
    <phoneticPr fontId="6" type="noConversion"/>
  </si>
  <si>
    <t>USF2893TBD75</t>
    <phoneticPr fontId="4" type="noConversion"/>
  </si>
  <si>
    <t>OCBC</t>
    <phoneticPr fontId="4" type="noConversion"/>
  </si>
  <si>
    <t>EDF 5.65 04/22/29</t>
    <phoneticPr fontId="4" type="noConversion"/>
  </si>
  <si>
    <t>法國電力</t>
    <phoneticPr fontId="4" type="noConversion"/>
  </si>
  <si>
    <t>能源</t>
    <phoneticPr fontId="4" type="noConversion"/>
  </si>
  <si>
    <t xml:space="preserve">USD </t>
    <phoneticPr fontId="4" type="noConversion"/>
  </si>
  <si>
    <t>Baa1 / BBB / BBB+</t>
    <phoneticPr fontId="4" type="noConversion"/>
  </si>
  <si>
    <t>US02364WBH79</t>
    <phoneticPr fontId="5" type="noConversion"/>
  </si>
  <si>
    <t>America Movil, S.A.B. de C.V. 3.625%</t>
    <phoneticPr fontId="5" type="noConversion"/>
  </si>
  <si>
    <t>America Movil</t>
    <phoneticPr fontId="5" type="noConversion"/>
  </si>
  <si>
    <t>Baa1 / A- / A-</t>
    <phoneticPr fontId="6" type="noConversion"/>
  </si>
  <si>
    <t>America Movil</t>
    <phoneticPr fontId="6" type="noConversion"/>
  </si>
  <si>
    <t xml:space="preserve">Baa1/A-/A- </t>
    <phoneticPr fontId="5" type="noConversion"/>
  </si>
  <si>
    <t>US251526CW79</t>
    <phoneticPr fontId="4" type="noConversion"/>
  </si>
  <si>
    <t>DB 5.414 05/10/29</t>
    <phoneticPr fontId="6" type="noConversion"/>
  </si>
  <si>
    <t>德意志銀行股份有限公司/紐約</t>
    <phoneticPr fontId="5" type="noConversion"/>
  </si>
  <si>
    <t>A1 / A / A</t>
    <phoneticPr fontId="6" type="noConversion"/>
  </si>
  <si>
    <t>US459200KA85</t>
    <phoneticPr fontId="5" type="noConversion"/>
  </si>
  <si>
    <t>A3/A-/WD</t>
    <phoneticPr fontId="6" type="noConversion"/>
  </si>
  <si>
    <t>USG6382G7P18</t>
    <phoneticPr fontId="5" type="noConversion"/>
  </si>
  <si>
    <t>NWG 5.41 05/17/29</t>
    <phoneticPr fontId="5" type="noConversion"/>
  </si>
  <si>
    <t>國民西敏寺銀行公開有限公司</t>
    <phoneticPr fontId="5" type="noConversion"/>
  </si>
  <si>
    <t>US05581LAF67</t>
    <phoneticPr fontId="5" type="noConversion"/>
  </si>
  <si>
    <t>BNP 5.335 06/12/29</t>
    <phoneticPr fontId="5" type="noConversion"/>
  </si>
  <si>
    <t>法國巴黎銀行</t>
    <phoneticPr fontId="5" type="noConversion"/>
  </si>
  <si>
    <t>A1 / NR A+</t>
    <phoneticPr fontId="6" type="noConversion"/>
  </si>
  <si>
    <t>法國巴黎銀行</t>
    <phoneticPr fontId="6" type="noConversion"/>
  </si>
  <si>
    <t>A1 / NR A+</t>
    <phoneticPr fontId="5" type="noConversion"/>
  </si>
  <si>
    <t xml:space="preserve"> Aa3 / A+ / AA- </t>
    <phoneticPr fontId="6" type="noConversion"/>
  </si>
  <si>
    <t>US05971KAC36</t>
    <phoneticPr fontId="5" type="noConversion"/>
  </si>
  <si>
    <t xml:space="preserve">Banco Santander, S.A. </t>
    <phoneticPr fontId="5" type="noConversion"/>
  </si>
  <si>
    <t>西班牙國際銀行</t>
    <phoneticPr fontId="5" type="noConversion"/>
  </si>
  <si>
    <t>A2/A+/A</t>
    <phoneticPr fontId="6" type="noConversion"/>
  </si>
  <si>
    <t>USJ43830FH65</t>
    <phoneticPr fontId="4" type="noConversion"/>
  </si>
  <si>
    <t>ITC</t>
    <phoneticPr fontId="4" type="noConversion"/>
  </si>
  <si>
    <t>MITCO 5 07/02/29</t>
    <phoneticPr fontId="6" type="noConversion"/>
  </si>
  <si>
    <t>三菱商事股份有限公司</t>
    <phoneticPr fontId="5" type="noConversion"/>
  </si>
  <si>
    <t>商社</t>
    <phoneticPr fontId="5" type="noConversion"/>
  </si>
  <si>
    <t xml:space="preserve">A2/A    </t>
    <phoneticPr fontId="6" type="noConversion"/>
  </si>
  <si>
    <t>OCBC</t>
    <phoneticPr fontId="5" type="noConversion"/>
  </si>
  <si>
    <t>US458140BH27</t>
    <phoneticPr fontId="5" type="noConversion"/>
  </si>
  <si>
    <t>US88579YBJ91</t>
    <phoneticPr fontId="5" type="noConversion"/>
  </si>
  <si>
    <t>MMM 2 3/8 08/26/29</t>
    <phoneticPr fontId="5" type="noConversion"/>
  </si>
  <si>
    <t>3M</t>
    <phoneticPr fontId="5" type="noConversion"/>
  </si>
  <si>
    <t>3M CO 2.375%</t>
    <phoneticPr fontId="5" type="noConversion"/>
  </si>
  <si>
    <t>A1/A/NA</t>
    <phoneticPr fontId="6" type="noConversion"/>
  </si>
  <si>
    <t>XS2046591413</t>
    <phoneticPr fontId="5" type="noConversion"/>
  </si>
  <si>
    <t>SINGAPORE TELECOMMUNICATIONS LTD</t>
    <phoneticPr fontId="5" type="noConversion"/>
  </si>
  <si>
    <t>新加坡電信有限公司</t>
    <phoneticPr fontId="5" type="noConversion"/>
  </si>
  <si>
    <t xml:space="preserve">A /A </t>
    <phoneticPr fontId="5" type="noConversion"/>
  </si>
  <si>
    <t>USU6S68YAF56</t>
    <phoneticPr fontId="4" type="noConversion"/>
  </si>
  <si>
    <t>Inpaq</t>
    <phoneticPr fontId="4" type="noConversion"/>
  </si>
  <si>
    <t>MITHCC 5.15 10/24/29</t>
    <phoneticPr fontId="6" type="noConversion"/>
  </si>
  <si>
    <t>Mitsubishi HC Finance America</t>
    <phoneticPr fontId="5" type="noConversion"/>
  </si>
  <si>
    <t xml:space="preserve">A3 / A- / NR </t>
    <phoneticPr fontId="6" type="noConversion"/>
  </si>
  <si>
    <t>GBM</t>
    <phoneticPr fontId="4" type="noConversion"/>
  </si>
  <si>
    <t>A3 / A- / NR</t>
    <phoneticPr fontId="6" type="noConversion"/>
  </si>
  <si>
    <t>USG15820DY96</t>
    <phoneticPr fontId="5" type="noConversion"/>
  </si>
  <si>
    <t>英國電信</t>
    <phoneticPr fontId="5" type="noConversion"/>
  </si>
  <si>
    <t>Baa2/BBB</t>
    <phoneticPr fontId="6" type="noConversion"/>
  </si>
  <si>
    <t>USU5876JBA26</t>
    <phoneticPr fontId="5" type="noConversion"/>
  </si>
  <si>
    <t>MBGGR 5.1 11/15/29 Corp</t>
    <phoneticPr fontId="5" type="noConversion"/>
  </si>
  <si>
    <t>XS2747598444</t>
    <phoneticPr fontId="4" type="noConversion"/>
  </si>
  <si>
    <t>KSA 4 3/4 01/16/30</t>
    <phoneticPr fontId="6" type="noConversion"/>
  </si>
  <si>
    <t>Saudi Government Internation</t>
    <phoneticPr fontId="5" type="noConversion"/>
  </si>
  <si>
    <t>主權債</t>
    <phoneticPr fontId="5" type="noConversion"/>
  </si>
  <si>
    <t xml:space="preserve">A1 / NR / A+ </t>
    <phoneticPr fontId="6" type="noConversion"/>
  </si>
  <si>
    <t>US459200LG47</t>
    <phoneticPr fontId="5" type="noConversion"/>
  </si>
  <si>
    <t>CTBC</t>
    <phoneticPr fontId="5" type="noConversion"/>
  </si>
  <si>
    <t>IBM 4.8 02/10/30</t>
    <phoneticPr fontId="5" type="noConversion"/>
  </si>
  <si>
    <t>國際商業機器公司</t>
    <phoneticPr fontId="5" type="noConversion"/>
  </si>
  <si>
    <t xml:space="preserve">A3 / A- / A- </t>
    <phoneticPr fontId="5" type="noConversion"/>
  </si>
  <si>
    <t>US458140CF51</t>
    <phoneticPr fontId="5" type="noConversion"/>
  </si>
  <si>
    <t>US718172DA46</t>
    <phoneticPr fontId="5" type="noConversion"/>
  </si>
  <si>
    <t>PM 5 1/8 02/15/30</t>
    <phoneticPr fontId="5" type="noConversion"/>
  </si>
  <si>
    <t>菲利浦莫里斯國際公司</t>
    <phoneticPr fontId="6" type="noConversion"/>
  </si>
  <si>
    <t>菸草</t>
    <phoneticPr fontId="5" type="noConversion"/>
  </si>
  <si>
    <t>USD</t>
  </si>
  <si>
    <t xml:space="preserve">A2 / A- / A </t>
    <phoneticPr fontId="5" type="noConversion"/>
  </si>
  <si>
    <t>US91324PEQ19</t>
    <phoneticPr fontId="5" type="noConversion"/>
  </si>
  <si>
    <t xml:space="preserve">UNH </t>
    <phoneticPr fontId="5" type="noConversion"/>
  </si>
  <si>
    <t>聯合健康</t>
    <phoneticPr fontId="5" type="noConversion"/>
  </si>
  <si>
    <t>醫療保健</t>
    <phoneticPr fontId="5" type="noConversion"/>
  </si>
  <si>
    <t>A2 / A+</t>
    <phoneticPr fontId="5" type="noConversion"/>
  </si>
  <si>
    <t>A2/NR</t>
    <phoneticPr fontId="6" type="noConversion"/>
  </si>
  <si>
    <t>USU64106CA08</t>
    <phoneticPr fontId="5" type="noConversion"/>
  </si>
  <si>
    <t>US742718FH71</t>
    <phoneticPr fontId="5" type="noConversion"/>
  </si>
  <si>
    <t>PROCTER &amp; GAMBLE CO</t>
    <phoneticPr fontId="5" type="noConversion"/>
  </si>
  <si>
    <t>寶僑公司</t>
    <phoneticPr fontId="5" type="noConversion"/>
  </si>
  <si>
    <t>日用品</t>
    <phoneticPr fontId="5" type="noConversion"/>
  </si>
  <si>
    <t>US654106AK94</t>
    <phoneticPr fontId="5" type="noConversion"/>
  </si>
  <si>
    <t>NIKE Inc. 2,85% 20/30</t>
    <phoneticPr fontId="4" type="noConversion"/>
  </si>
  <si>
    <t>NIKE</t>
    <phoneticPr fontId="6" type="noConversion"/>
  </si>
  <si>
    <t>US874060AX48</t>
    <phoneticPr fontId="4" type="noConversion"/>
  </si>
  <si>
    <t>HSB</t>
    <phoneticPr fontId="4" type="noConversion"/>
  </si>
  <si>
    <t>TACHEM 2.05 03/31/30</t>
    <phoneticPr fontId="6" type="noConversion"/>
  </si>
  <si>
    <t>武田藥品有限公司</t>
    <phoneticPr fontId="5" type="noConversion"/>
  </si>
  <si>
    <t>Baa1 / BBB+ / NR</t>
    <phoneticPr fontId="6" type="noConversion"/>
  </si>
  <si>
    <t>US404280CF48</t>
    <phoneticPr fontId="5" type="noConversion"/>
  </si>
  <si>
    <t>匯豐控股</t>
    <phoneticPr fontId="5" type="noConversion"/>
  </si>
  <si>
    <t>A3/A-</t>
    <phoneticPr fontId="6" type="noConversion"/>
  </si>
  <si>
    <t>US67066GAF19</t>
    <phoneticPr fontId="5" type="noConversion"/>
  </si>
  <si>
    <t>NVIDIA CORP</t>
    <phoneticPr fontId="5" type="noConversion"/>
  </si>
  <si>
    <t>輝達公司</t>
    <phoneticPr fontId="6" type="noConversion"/>
  </si>
  <si>
    <t>US822905AB18</t>
    <phoneticPr fontId="5" type="noConversion"/>
  </si>
  <si>
    <t>OCBC</t>
    <phoneticPr fontId="6" type="noConversion"/>
  </si>
  <si>
    <t>RDSALN 2 ¾ 04/06/30 Corp</t>
    <phoneticPr fontId="5" type="noConversion"/>
  </si>
  <si>
    <t>US44891CBL63</t>
    <phoneticPr fontId="4" type="noConversion"/>
  </si>
  <si>
    <t>HYNMTR 6 3/8 04/08/30</t>
    <phoneticPr fontId="6" type="noConversion"/>
  </si>
  <si>
    <t xml:space="preserve">A3 / A- / A- </t>
    <phoneticPr fontId="6" type="noConversion"/>
  </si>
  <si>
    <t>USU09513HY80</t>
    <phoneticPr fontId="5" type="noConversion"/>
  </si>
  <si>
    <t>BMW 4.15 04/09/30</t>
    <phoneticPr fontId="5" type="noConversion"/>
  </si>
  <si>
    <t>寶馬美國資本有限責任公司</t>
    <phoneticPr fontId="6" type="noConversion"/>
  </si>
  <si>
    <t>A2 / A / NR</t>
    <phoneticPr fontId="5" type="noConversion"/>
  </si>
  <si>
    <t>USJ4706DLV03</t>
    <phoneticPr fontId="4" type="noConversion"/>
  </si>
  <si>
    <t>MITHCC 3.967 04/13/30</t>
    <phoneticPr fontId="6" type="noConversion"/>
  </si>
  <si>
    <t>三菱日聯租賃有限公司</t>
    <phoneticPr fontId="5" type="noConversion"/>
  </si>
  <si>
    <t xml:space="preserve">USJ4706DLV03 </t>
    <phoneticPr fontId="6" type="noConversion"/>
  </si>
  <si>
    <t>HSB</t>
    <phoneticPr fontId="5" type="noConversion"/>
  </si>
  <si>
    <t xml:space="preserve">MITHCC 3.967 04/13/30 </t>
    <phoneticPr fontId="6" type="noConversion"/>
  </si>
  <si>
    <t xml:space="preserve">USD </t>
    <phoneticPr fontId="5" type="noConversion"/>
  </si>
  <si>
    <t xml:space="preserve">A3/ A- /NR </t>
    <phoneticPr fontId="6" type="noConversion"/>
  </si>
  <si>
    <t>US744330AA93</t>
    <phoneticPr fontId="5" type="noConversion"/>
  </si>
  <si>
    <t>Prudential plc</t>
    <phoneticPr fontId="5" type="noConversion"/>
  </si>
  <si>
    <t>英國保誠集團</t>
    <phoneticPr fontId="6" type="noConversion"/>
  </si>
  <si>
    <t>A2/A/NR</t>
    <phoneticPr fontId="5" type="noConversion"/>
  </si>
  <si>
    <t xml:space="preserve">PRUDENTIAL FUNDING ASIA PLC </t>
    <phoneticPr fontId="5" type="noConversion"/>
  </si>
  <si>
    <t>英國保誠集團</t>
    <phoneticPr fontId="5" type="noConversion"/>
  </si>
  <si>
    <t>A2/A/NR</t>
    <phoneticPr fontId="6" type="noConversion"/>
  </si>
  <si>
    <t>US74435KAA34</t>
    <phoneticPr fontId="5" type="noConversion"/>
  </si>
  <si>
    <t>PRUDENTIAL FDG ASIA PLC</t>
    <phoneticPr fontId="5" type="noConversion"/>
  </si>
  <si>
    <t>US92826CAM47</t>
    <phoneticPr fontId="5" type="noConversion"/>
  </si>
  <si>
    <t>VISA INC</t>
    <phoneticPr fontId="5" type="noConversion"/>
  </si>
  <si>
    <t>Visa</t>
    <phoneticPr fontId="5" type="noConversion"/>
  </si>
  <si>
    <t>Aa3 / AA-</t>
    <phoneticPr fontId="6" type="noConversion"/>
  </si>
  <si>
    <t>US931142FC22</t>
    <phoneticPr fontId="5" type="noConversion"/>
  </si>
  <si>
    <t>Aa /AA</t>
    <phoneticPr fontId="5" type="noConversion"/>
  </si>
  <si>
    <t>US22160KAP03</t>
    <phoneticPr fontId="5" type="noConversion"/>
  </si>
  <si>
    <t>COST 1.6 04/20/30 Corp</t>
    <phoneticPr fontId="5" type="noConversion"/>
  </si>
  <si>
    <t>COSTCO WHOLESALE CORP</t>
    <phoneticPr fontId="6" type="noConversion"/>
  </si>
  <si>
    <t>Consumer, Cyclical</t>
    <phoneticPr fontId="5" type="noConversion"/>
  </si>
  <si>
    <t>Aa3</t>
    <phoneticPr fontId="5" type="noConversion"/>
  </si>
  <si>
    <t>USY68856AT38</t>
    <phoneticPr fontId="5" type="noConversion"/>
  </si>
  <si>
    <t>PETRONAS Capital Limited 3.5%</t>
    <phoneticPr fontId="5" type="noConversion"/>
  </si>
  <si>
    <t>國油資本</t>
    <phoneticPr fontId="5" type="noConversion"/>
  </si>
  <si>
    <t>綜合性石油業</t>
    <phoneticPr fontId="5" type="noConversion"/>
  </si>
  <si>
    <t>A2/ A-/ NR  </t>
    <phoneticPr fontId="6" type="noConversion"/>
  </si>
  <si>
    <t>PETMK 3 1/2 04/21/30</t>
    <phoneticPr fontId="5" type="noConversion"/>
  </si>
  <si>
    <t>國油資本</t>
    <phoneticPr fontId="6" type="noConversion"/>
  </si>
  <si>
    <t>A2/ A- / NR  </t>
    <phoneticPr fontId="5" type="noConversion"/>
  </si>
  <si>
    <t>Petroliam Nasional Berhad</t>
    <phoneticPr fontId="5" type="noConversion"/>
  </si>
  <si>
    <t xml:space="preserve">A2/ A- / NR  </t>
    <phoneticPr fontId="5" type="noConversion"/>
  </si>
  <si>
    <t xml:space="preserve">A2/ A- / NR </t>
    <phoneticPr fontId="5" type="noConversion"/>
  </si>
  <si>
    <t>US58933YBJ38</t>
    <phoneticPr fontId="5" type="noConversion"/>
  </si>
  <si>
    <t>MERCK &amp; CO INC</t>
    <phoneticPr fontId="5" type="noConversion"/>
  </si>
  <si>
    <t>默克藥廠</t>
    <phoneticPr fontId="6" type="noConversion"/>
  </si>
  <si>
    <t xml:space="preserve">A1/A+ </t>
    <phoneticPr fontId="5" type="noConversion"/>
  </si>
  <si>
    <t>US980236AT06</t>
    <phoneticPr fontId="5" type="noConversion"/>
  </si>
  <si>
    <t>WTC</t>
    <phoneticPr fontId="5" type="noConversion"/>
  </si>
  <si>
    <t>WDSAU 5.4 05/19/30</t>
    <phoneticPr fontId="5" type="noConversion"/>
  </si>
  <si>
    <t>伍德賽金融有限公司</t>
    <phoneticPr fontId="5" type="noConversion"/>
  </si>
  <si>
    <t>BBB1/BBB+/-</t>
    <phoneticPr fontId="5" type="noConversion"/>
  </si>
  <si>
    <t>US716973AD41</t>
    <phoneticPr fontId="5" type="noConversion"/>
  </si>
  <si>
    <t>Pfizer Investment Enterprise</t>
    <phoneticPr fontId="5" type="noConversion"/>
  </si>
  <si>
    <t>A1 / A+</t>
    <phoneticPr fontId="6" type="noConversion"/>
  </si>
  <si>
    <t xml:space="preserve"> A1 / A+ </t>
    <phoneticPr fontId="6" type="noConversion"/>
  </si>
  <si>
    <t>US29446MAK80</t>
    <phoneticPr fontId="5" type="noConversion"/>
  </si>
  <si>
    <t>EQNR 2 3/8 05/22/30</t>
    <phoneticPr fontId="5" type="noConversion"/>
  </si>
  <si>
    <t>挪威國家石油公司</t>
    <phoneticPr fontId="6" type="noConversion"/>
  </si>
  <si>
    <t xml:space="preserve">Aa2 / AA- / NR </t>
    <phoneticPr fontId="5" type="noConversion"/>
  </si>
  <si>
    <t>US70450YAH62</t>
    <phoneticPr fontId="5" type="noConversion"/>
  </si>
  <si>
    <t>PayPal Holdings, Inc.</t>
    <phoneticPr fontId="5" type="noConversion"/>
  </si>
  <si>
    <t>Paypal控股有限公司</t>
    <phoneticPr fontId="6" type="noConversion"/>
  </si>
  <si>
    <t>A3/A-/A-</t>
    <phoneticPr fontId="5" type="noConversion"/>
  </si>
  <si>
    <t>PYPL 2.3 06/01/30</t>
    <phoneticPr fontId="5" type="noConversion"/>
  </si>
  <si>
    <t>Paypal控股有限公司</t>
    <phoneticPr fontId="5" type="noConversion"/>
  </si>
  <si>
    <t>US25156PAC77</t>
    <phoneticPr fontId="6" type="noConversion"/>
  </si>
  <si>
    <t>DT 8 1/4 06/15/30</t>
    <phoneticPr fontId="6" type="noConversion"/>
  </si>
  <si>
    <t>Deutsche Telekom</t>
    <phoneticPr fontId="5" type="noConversion"/>
  </si>
  <si>
    <t xml:space="preserve">Baa1/BBB+/BBB+ </t>
    <phoneticPr fontId="6" type="noConversion"/>
  </si>
  <si>
    <t>US58933YAZ88</t>
    <phoneticPr fontId="4" type="noConversion"/>
  </si>
  <si>
    <t>MRK 1.45 06/24/30</t>
    <phoneticPr fontId="4" type="noConversion"/>
  </si>
  <si>
    <t>默克藥廠</t>
    <phoneticPr fontId="4" type="noConversion"/>
  </si>
  <si>
    <t>Pharmaceuticals</t>
    <phoneticPr fontId="5" type="noConversion"/>
  </si>
  <si>
    <t>A1 / A+ / WD</t>
    <phoneticPr fontId="4" type="noConversion"/>
  </si>
  <si>
    <t>US438127AE20</t>
    <phoneticPr fontId="5" type="noConversion"/>
  </si>
  <si>
    <t>HNDA 4.688 07/08/30</t>
    <phoneticPr fontId="5" type="noConversion"/>
  </si>
  <si>
    <t>本田汽車</t>
    <phoneticPr fontId="6" type="noConversion"/>
  </si>
  <si>
    <t xml:space="preserve">A3/ A-/NR </t>
    <phoneticPr fontId="5" type="noConversion"/>
  </si>
  <si>
    <t>US084659AV35</t>
    <phoneticPr fontId="5" type="noConversion"/>
  </si>
  <si>
    <t>BRKHEC 3.7 07/15/30</t>
    <phoneticPr fontId="5" type="noConversion"/>
  </si>
  <si>
    <t>波克夏海瑟威能源公司</t>
    <phoneticPr fontId="6" type="noConversion"/>
  </si>
  <si>
    <t xml:space="preserve">A3 / A- / NR </t>
    <phoneticPr fontId="5" type="noConversion"/>
  </si>
  <si>
    <t>BRKHEC 3.7 07/15/30 Corp</t>
    <phoneticPr fontId="5" type="noConversion"/>
  </si>
  <si>
    <t>US084659AV35</t>
    <phoneticPr fontId="4" type="noConversion"/>
  </si>
  <si>
    <t>BRKHEC 3.7 07/15/30</t>
    <phoneticPr fontId="4" type="noConversion"/>
  </si>
  <si>
    <t>波克夏海瑟威能源公司</t>
    <phoneticPr fontId="4" type="noConversion"/>
  </si>
  <si>
    <t>Electric Utilities</t>
    <phoneticPr fontId="5" type="noConversion"/>
  </si>
  <si>
    <t>A3 / A- / NR</t>
    <phoneticPr fontId="4" type="noConversion"/>
  </si>
  <si>
    <t>US718172DD84</t>
    <phoneticPr fontId="5" type="noConversion"/>
  </si>
  <si>
    <t>Philip Morris International Inc.</t>
    <phoneticPr fontId="5" type="noConversion"/>
  </si>
  <si>
    <t>菲利浦莫里斯國際公司</t>
    <phoneticPr fontId="5" type="noConversion"/>
  </si>
  <si>
    <t>A2/A-/A</t>
    <phoneticPr fontId="6" type="noConversion"/>
  </si>
  <si>
    <t>US055451BD93</t>
    <phoneticPr fontId="5" type="noConversion"/>
  </si>
  <si>
    <t xml:space="preserve">BHP Billiton Finance (USA) Limited </t>
    <phoneticPr fontId="5" type="noConversion"/>
  </si>
  <si>
    <t>必和必拓金融(美國)有限公司</t>
    <phoneticPr fontId="6" type="noConversion"/>
  </si>
  <si>
    <t>礦業</t>
    <phoneticPr fontId="5" type="noConversion"/>
  </si>
  <si>
    <t>A1/A-/Au</t>
    <phoneticPr fontId="5" type="noConversion"/>
  </si>
  <si>
    <t>US92343VFX73</t>
    <phoneticPr fontId="5" type="noConversion"/>
  </si>
  <si>
    <t>VZ 1.68 10/30/30</t>
    <phoneticPr fontId="5" type="noConversion"/>
  </si>
  <si>
    <t>威瑞森電信公司</t>
    <phoneticPr fontId="5" type="noConversion"/>
  </si>
  <si>
    <t>Baa1/BBB+/A-</t>
    <phoneticPr fontId="5" type="noConversion"/>
  </si>
  <si>
    <t>2025/11/25</t>
    <phoneticPr fontId="5" type="noConversion"/>
  </si>
  <si>
    <t>US91282CAV37</t>
    <phoneticPr fontId="5" type="noConversion"/>
  </si>
  <si>
    <t>XS2262853265</t>
    <phoneticPr fontId="4" type="noConversion"/>
  </si>
  <si>
    <t>ARAMCO 2 1/4 11/24/30</t>
    <phoneticPr fontId="4" type="noConversion"/>
  </si>
  <si>
    <t>沙烏地阿拉伯國家石油公司</t>
    <phoneticPr fontId="4" type="noConversion"/>
  </si>
  <si>
    <t>Aa3 / NR / A+</t>
    <phoneticPr fontId="4" type="noConversion"/>
  </si>
  <si>
    <t>ARAMCO 2 1/4 11/24/30</t>
    <phoneticPr fontId="6" type="noConversion"/>
  </si>
  <si>
    <t>沙烏地阿拉伯國家石油公司</t>
    <phoneticPr fontId="5" type="noConversion"/>
  </si>
  <si>
    <t>Aa3 /AA-/A+</t>
    <phoneticPr fontId="6" type="noConversion"/>
  </si>
  <si>
    <t>XS2262853265</t>
    <phoneticPr fontId="5" type="noConversion"/>
  </si>
  <si>
    <t>ARAMCO 2 1/4 11/24/30</t>
    <phoneticPr fontId="5" type="noConversion"/>
  </si>
  <si>
    <t>US254687FX90</t>
    <phoneticPr fontId="4" type="noConversion"/>
  </si>
  <si>
    <t>DIS 2.65 01/13/31</t>
    <phoneticPr fontId="4" type="noConversion"/>
  </si>
  <si>
    <t>華特迪士尼</t>
    <phoneticPr fontId="4" type="noConversion"/>
  </si>
  <si>
    <t>文旅</t>
    <phoneticPr fontId="5" type="noConversion"/>
  </si>
  <si>
    <t>A2 / A / A-</t>
    <phoneticPr fontId="4" type="noConversion"/>
  </si>
  <si>
    <t>US254687FX90</t>
    <phoneticPr fontId="5" type="noConversion"/>
  </si>
  <si>
    <t>WALT DISNEY CO</t>
    <phoneticPr fontId="5" type="noConversion"/>
  </si>
  <si>
    <t>華特迪士尼</t>
    <phoneticPr fontId="6" type="noConversion"/>
  </si>
  <si>
    <t>A2 / A-</t>
    <phoneticPr fontId="5" type="noConversion"/>
  </si>
  <si>
    <t>US233835AQ08</t>
    <phoneticPr fontId="4" type="noConversion"/>
  </si>
  <si>
    <t>MBGGR 8 1/2 01/18/31</t>
    <phoneticPr fontId="6" type="noConversion"/>
  </si>
  <si>
    <t>US233835AQ08</t>
    <phoneticPr fontId="6" type="noConversion"/>
  </si>
  <si>
    <r>
      <t>MBGGR 8 1/2 01/18/31</t>
    </r>
    <r>
      <rPr>
        <sz val="12"/>
        <color rgb="FF000000"/>
        <rFont val="Times New Roman"/>
        <family val="1"/>
      </rPr>
      <t xml:space="preserve"> </t>
    </r>
    <phoneticPr fontId="5" type="noConversion"/>
  </si>
  <si>
    <r>
      <t>梅賽德斯</t>
    </r>
    <r>
      <rPr>
        <sz val="10"/>
        <color rgb="FF000000"/>
        <rFont val="微軟正黑體"/>
        <family val="2"/>
        <charset val="136"/>
      </rPr>
      <t>-賓士金融北美有限責</t>
    </r>
    <r>
      <rPr>
        <sz val="12"/>
        <color rgb="FF000000"/>
        <rFont val="微軟正黑體"/>
        <family val="2"/>
        <charset val="136"/>
      </rPr>
      <t xml:space="preserve"> </t>
    </r>
    <phoneticPr fontId="5" type="noConversion"/>
  </si>
  <si>
    <t>A2 / A / Au </t>
    <phoneticPr fontId="6" type="noConversion"/>
  </si>
  <si>
    <t>MBGGR 8 1/2 01/18/31</t>
    <phoneticPr fontId="5" type="noConversion"/>
  </si>
  <si>
    <t>US233835AQ08</t>
    <phoneticPr fontId="5" type="noConversion"/>
  </si>
  <si>
    <t>A2 / A / Au</t>
    <phoneticPr fontId="5" type="noConversion"/>
  </si>
  <si>
    <t>US449276AD68</t>
    <phoneticPr fontId="5" type="noConversion"/>
  </si>
  <si>
    <t xml:space="preserve">IBM International Capital Pte. Ltd </t>
    <phoneticPr fontId="5" type="noConversion"/>
  </si>
  <si>
    <t>US718172DH98</t>
    <phoneticPr fontId="5" type="noConversion"/>
  </si>
  <si>
    <t>PM 5 1/8 02/13/31</t>
    <phoneticPr fontId="5" type="noConversion"/>
  </si>
  <si>
    <t>US695114DC94</t>
    <phoneticPr fontId="4" type="noConversion"/>
  </si>
  <si>
    <t>BRKHEC 5.3 02/15/31</t>
    <phoneticPr fontId="6" type="noConversion"/>
  </si>
  <si>
    <t>太平洋電力公司</t>
    <phoneticPr fontId="5" type="noConversion"/>
  </si>
  <si>
    <t xml:space="preserve">A2 / A / NR </t>
    <phoneticPr fontId="6" type="noConversion"/>
  </si>
  <si>
    <t xml:space="preserve"> A2 / A / NR </t>
    <phoneticPr fontId="6" type="noConversion"/>
  </si>
  <si>
    <t>US110122EG99</t>
    <phoneticPr fontId="5" type="noConversion"/>
  </si>
  <si>
    <t xml:space="preserve">Bristol-Myers Squibb Company </t>
    <phoneticPr fontId="5" type="noConversion"/>
  </si>
  <si>
    <t>必治妥施貴寶</t>
    <phoneticPr fontId="5" type="noConversion"/>
  </si>
  <si>
    <t>US191216DE73</t>
    <phoneticPr fontId="4" type="noConversion"/>
  </si>
  <si>
    <t>KO 1 3/8 03/15/31</t>
    <phoneticPr fontId="4" type="noConversion"/>
  </si>
  <si>
    <t>可口可樂公司</t>
    <phoneticPr fontId="4" type="noConversion"/>
  </si>
  <si>
    <t>Beverages</t>
    <phoneticPr fontId="5" type="noConversion"/>
  </si>
  <si>
    <t>US92343VGJ70</t>
    <phoneticPr fontId="5" type="noConversion"/>
  </si>
  <si>
    <t>VZ 2.55 03/21/31</t>
    <phoneticPr fontId="6" type="noConversion"/>
  </si>
  <si>
    <t xml:space="preserve">Baa1 / BBB+ / A- </t>
    <phoneticPr fontId="6" type="noConversion"/>
  </si>
  <si>
    <t>US92343VGJ70</t>
    <phoneticPr fontId="4" type="noConversion"/>
  </si>
  <si>
    <t>Baa1 / BBB+ / A-</t>
    <phoneticPr fontId="6" type="noConversion"/>
  </si>
  <si>
    <t>US89236TLZ65</t>
    <phoneticPr fontId="5" type="noConversion"/>
  </si>
  <si>
    <t>TOYOTA 5.1 03/21/31</t>
    <phoneticPr fontId="5" type="noConversion"/>
  </si>
  <si>
    <t>A1//A+/A+</t>
    <phoneticPr fontId="5" type="noConversion"/>
  </si>
  <si>
    <t>VZ 2.55 03/21/31</t>
    <phoneticPr fontId="5" type="noConversion"/>
  </si>
  <si>
    <t>USJ5S39RAE49</t>
    <phoneticPr fontId="5" type="noConversion"/>
  </si>
  <si>
    <t xml:space="preserve">Nippon Telegraph and Telephone Corporation </t>
    <phoneticPr fontId="5" type="noConversion"/>
  </si>
  <si>
    <t>日本電信電話金融公司</t>
    <phoneticPr fontId="5" type="noConversion"/>
  </si>
  <si>
    <t>A1/A/NR</t>
    <phoneticPr fontId="6" type="noConversion"/>
  </si>
  <si>
    <t>NIPPON TELEGRAPH AND TELEPHONE CORP</t>
    <phoneticPr fontId="5" type="noConversion"/>
  </si>
  <si>
    <t>A /A</t>
    <phoneticPr fontId="6" type="noConversion"/>
  </si>
  <si>
    <t>US87264ABW45</t>
    <phoneticPr fontId="5" type="noConversion"/>
  </si>
  <si>
    <t>TMUS 3 1/2 04/15/31</t>
    <phoneticPr fontId="5" type="noConversion"/>
  </si>
  <si>
    <t>T-Mobile US, Inc.</t>
    <phoneticPr fontId="5" type="noConversion"/>
  </si>
  <si>
    <t>BBB2/BBB/BBB+</t>
    <phoneticPr fontId="5" type="noConversion"/>
  </si>
  <si>
    <t>USG91139AH14</t>
    <phoneticPr fontId="5" type="noConversion"/>
  </si>
  <si>
    <t>XS2338173680</t>
    <phoneticPr fontId="4" type="noConversion"/>
  </si>
  <si>
    <t>ABDPOC 2 1/2 05/06/31</t>
    <phoneticPr fontId="6" type="noConversion"/>
  </si>
  <si>
    <t>Abu Dhabi Ports Co PJSC</t>
    <phoneticPr fontId="5" type="noConversion"/>
  </si>
  <si>
    <t>Transport Infrastructure</t>
    <phoneticPr fontId="5" type="noConversion"/>
  </si>
  <si>
    <t xml:space="preserve">NR / A+ / AA- </t>
    <phoneticPr fontId="6" type="noConversion"/>
  </si>
  <si>
    <t>US842400JE48</t>
    <phoneticPr fontId="4" type="noConversion"/>
  </si>
  <si>
    <t>EIX 5.45 06/01/31</t>
    <phoneticPr fontId="6" type="noConversion"/>
  </si>
  <si>
    <t>南加州愛迪生公司</t>
    <phoneticPr fontId="5" type="noConversion"/>
  </si>
  <si>
    <t>A2 / A- / A-</t>
    <phoneticPr fontId="6" type="noConversion"/>
  </si>
  <si>
    <t>US40434LAJ44</t>
    <phoneticPr fontId="4" type="noConversion"/>
  </si>
  <si>
    <t>HPQ 2.65 06/17/31</t>
    <phoneticPr fontId="6" type="noConversion"/>
  </si>
  <si>
    <t>惠普公司</t>
    <phoneticPr fontId="5" type="noConversion"/>
  </si>
  <si>
    <t>Computers</t>
    <phoneticPr fontId="5" type="noConversion"/>
  </si>
  <si>
    <t xml:space="preserve">Baa2 / BBB / BBB+ </t>
    <phoneticPr fontId="6" type="noConversion"/>
  </si>
  <si>
    <t>XS2352862119</t>
    <phoneticPr fontId="4" type="noConversion"/>
  </si>
  <si>
    <t>ARAMCO 2.694 06/17/31</t>
    <phoneticPr fontId="6" type="noConversion"/>
  </si>
  <si>
    <t>SA Global Sukuk Ltd</t>
    <phoneticPr fontId="5" type="noConversion"/>
  </si>
  <si>
    <t>A1 / NR / A+</t>
    <phoneticPr fontId="6" type="noConversion"/>
  </si>
  <si>
    <t>US44891CDD20</t>
    <phoneticPr fontId="4" type="noConversion"/>
  </si>
  <si>
    <t>HYNMTR 5.4 06/24/31</t>
    <phoneticPr fontId="6" type="noConversion"/>
  </si>
  <si>
    <t>A3 / A- / A-</t>
    <phoneticPr fontId="6" type="noConversion"/>
  </si>
  <si>
    <t>USJ5S39RAN48</t>
    <phoneticPr fontId="4" type="noConversion"/>
  </si>
  <si>
    <t>NTT 5.136 07/02/31</t>
    <phoneticPr fontId="6" type="noConversion"/>
  </si>
  <si>
    <t xml:space="preserve">A1 / A / NR </t>
    <phoneticPr fontId="6" type="noConversion"/>
  </si>
  <si>
    <t>USJ5S39RAN48</t>
    <phoneticPr fontId="6" type="noConversion"/>
  </si>
  <si>
    <t>US02665WFL00</t>
    <phoneticPr fontId="4" type="noConversion"/>
  </si>
  <si>
    <t>HNDA 5.05 07/10/31</t>
    <phoneticPr fontId="6" type="noConversion"/>
  </si>
  <si>
    <t>美國本田金融公司</t>
    <phoneticPr fontId="5" type="noConversion"/>
  </si>
  <si>
    <t>US05964HBG92</t>
    <phoneticPr fontId="5" type="noConversion"/>
  </si>
  <si>
    <t>SANTAN 5.439 07/15/31</t>
    <phoneticPr fontId="5" type="noConversion"/>
  </si>
  <si>
    <t>A2/A+/A+</t>
    <phoneticPr fontId="5" type="noConversion"/>
  </si>
  <si>
    <t>2031/7/15</t>
  </si>
  <si>
    <t>US05964HBG92</t>
    <phoneticPr fontId="4" type="noConversion"/>
  </si>
  <si>
    <t>SANTAN 5.439 07/15/31</t>
    <phoneticPr fontId="6" type="noConversion"/>
  </si>
  <si>
    <t xml:space="preserve">A2 / A+ / A </t>
    <phoneticPr fontId="6" type="noConversion"/>
  </si>
  <si>
    <t>銀行</t>
    <phoneticPr fontId="5" type="noConversion"/>
  </si>
  <si>
    <t>US87973RBA77</t>
    <phoneticPr fontId="5" type="noConversion"/>
  </si>
  <si>
    <t>TEMASEK HOLDINGS (PVT)</t>
    <phoneticPr fontId="5" type="noConversion"/>
  </si>
  <si>
    <t>淡馬錫</t>
    <phoneticPr fontId="5" type="noConversion"/>
  </si>
  <si>
    <t>Aaa/AAA</t>
    <phoneticPr fontId="6" type="noConversion"/>
  </si>
  <si>
    <t>淡馬錫</t>
    <phoneticPr fontId="6" type="noConversion"/>
  </si>
  <si>
    <t>Aaa/AAA</t>
    <phoneticPr fontId="5" type="noConversion"/>
  </si>
  <si>
    <t>TEMASEK FINANCIAL I LTD</t>
    <phoneticPr fontId="5" type="noConversion"/>
  </si>
  <si>
    <t>US037833EJ59</t>
    <phoneticPr fontId="5" type="noConversion"/>
  </si>
  <si>
    <t>USU74078CM31</t>
    <phoneticPr fontId="4" type="noConversion"/>
  </si>
  <si>
    <t>NESNVX 1 7/8 09/14/31</t>
    <phoneticPr fontId="6" type="noConversion"/>
  </si>
  <si>
    <t>雀巢控股公司</t>
    <phoneticPr fontId="5" type="noConversion"/>
  </si>
  <si>
    <t>Food &amp; Beverages</t>
    <phoneticPr fontId="5" type="noConversion"/>
  </si>
  <si>
    <t>Aa3 / AA- / A+u</t>
    <phoneticPr fontId="6" type="noConversion"/>
  </si>
  <si>
    <t>US437076CJ91</t>
    <phoneticPr fontId="5" type="noConversion"/>
  </si>
  <si>
    <t>HOME DEPOT INC</t>
    <phoneticPr fontId="5" type="noConversion"/>
  </si>
  <si>
    <t>家得寶</t>
    <phoneticPr fontId="5" type="noConversion"/>
  </si>
  <si>
    <t>家得寶</t>
    <phoneticPr fontId="6" type="noConversion"/>
  </si>
  <si>
    <t>US02665WFU09</t>
    <phoneticPr fontId="6" type="noConversion"/>
  </si>
  <si>
    <r>
      <t>HNDA 4.85 10/23/31</t>
    </r>
    <r>
      <rPr>
        <sz val="12"/>
        <color rgb="FF000000"/>
        <rFont val="Times New Roman"/>
        <family val="1"/>
      </rPr>
      <t xml:space="preserve"> </t>
    </r>
    <phoneticPr fontId="5" type="noConversion"/>
  </si>
  <si>
    <t>US025816DN68</t>
    <phoneticPr fontId="5" type="noConversion"/>
  </si>
  <si>
    <t xml:space="preserve">American Express Company </t>
    <phoneticPr fontId="5" type="noConversion"/>
  </si>
  <si>
    <t>美國運通</t>
    <phoneticPr fontId="5" type="noConversion"/>
  </si>
  <si>
    <t>A2/BBB+/A</t>
    <phoneticPr fontId="6" type="noConversion"/>
  </si>
  <si>
    <t>US718172DP15</t>
    <phoneticPr fontId="4" type="noConversion"/>
  </si>
  <si>
    <t>PM 4 3/4 11/01/31</t>
    <phoneticPr fontId="4" type="noConversion"/>
  </si>
  <si>
    <t>菲利浦莫里斯國際公司</t>
    <phoneticPr fontId="4" type="noConversion"/>
  </si>
  <si>
    <t>A2/A-/A</t>
    <phoneticPr fontId="4" type="noConversion"/>
  </si>
  <si>
    <t>USY79985AD29</t>
    <phoneticPr fontId="4" type="noConversion"/>
  </si>
  <si>
    <t>STSP 7 3/8 12/01/31</t>
    <phoneticPr fontId="6" type="noConversion"/>
  </si>
  <si>
    <t xml:space="preserve">A1 / A / WD </t>
    <phoneticPr fontId="6" type="noConversion"/>
  </si>
  <si>
    <t>USU75000BX39</t>
    <phoneticPr fontId="4" type="noConversion"/>
  </si>
  <si>
    <t>ROSW 2.076 12/13/31</t>
    <phoneticPr fontId="4" type="noConversion"/>
  </si>
  <si>
    <t>羅氏控股</t>
    <phoneticPr fontId="4" type="noConversion"/>
  </si>
  <si>
    <t xml:space="preserve">Aa2 / AA / AA </t>
    <phoneticPr fontId="4" type="noConversion"/>
  </si>
  <si>
    <t>USU2340BAH07</t>
    <phoneticPr fontId="5" type="noConversion"/>
  </si>
  <si>
    <t>Daimler Trucks Finance North America LLC</t>
    <phoneticPr fontId="5" type="noConversion"/>
  </si>
  <si>
    <t>姆勒卡車股份</t>
    <phoneticPr fontId="6" type="noConversion"/>
  </si>
  <si>
    <t>A3/BBB+/NR</t>
    <phoneticPr fontId="5" type="noConversion"/>
  </si>
  <si>
    <t>US62878V2E94</t>
    <phoneticPr fontId="4" type="noConversion"/>
  </si>
  <si>
    <t>NBNAUS 2 1/2 01/08/32</t>
    <phoneticPr fontId="6" type="noConversion"/>
  </si>
  <si>
    <t>NBN Co Ltd</t>
    <phoneticPr fontId="5" type="noConversion"/>
  </si>
  <si>
    <t>Telecommunications Services</t>
    <phoneticPr fontId="5" type="noConversion"/>
  </si>
  <si>
    <t xml:space="preserve">Aa3 / NR / AA+ </t>
    <phoneticPr fontId="6" type="noConversion"/>
  </si>
  <si>
    <t>US59217HDD61</t>
    <phoneticPr fontId="5" type="noConversion"/>
  </si>
  <si>
    <t>MET 2.4 01/11/32</t>
    <phoneticPr fontId="5" type="noConversion"/>
  </si>
  <si>
    <t>大都會人壽全球融資</t>
    <phoneticPr fontId="6" type="noConversion"/>
  </si>
  <si>
    <t>Aa3 / AA-</t>
    <phoneticPr fontId="5" type="noConversion"/>
  </si>
  <si>
    <t>大都會人壽全球融資</t>
    <phoneticPr fontId="5" type="noConversion"/>
  </si>
  <si>
    <t>US91324PFH01</t>
    <phoneticPr fontId="4" type="noConversion"/>
  </si>
  <si>
    <t>UNH 4.95 01/15/32</t>
    <phoneticPr fontId="4" type="noConversion"/>
  </si>
  <si>
    <t>聯合健康</t>
    <phoneticPr fontId="4" type="noConversion"/>
  </si>
  <si>
    <t>健康保險</t>
    <phoneticPr fontId="5" type="noConversion"/>
  </si>
  <si>
    <t>A2 / A+ / A</t>
    <phoneticPr fontId="4" type="noConversion"/>
  </si>
  <si>
    <t>UNH 4.95 01/15/32</t>
    <phoneticPr fontId="6" type="noConversion"/>
  </si>
  <si>
    <t>A2 / A+ / A</t>
    <phoneticPr fontId="6" type="noConversion"/>
  </si>
  <si>
    <t>USU0300QAC07</t>
    <phoneticPr fontId="4" type="noConversion"/>
  </si>
  <si>
    <t>FE 2.65 01/15/32</t>
    <phoneticPr fontId="6" type="noConversion"/>
  </si>
  <si>
    <t>American Transmission System</t>
    <phoneticPr fontId="5" type="noConversion"/>
  </si>
  <si>
    <t>A3 / A- / A</t>
    <phoneticPr fontId="6" type="noConversion"/>
  </si>
  <si>
    <t>US459200LH20</t>
    <phoneticPr fontId="6" type="noConversion"/>
  </si>
  <si>
    <r>
      <t>IBM 5 02/10/32</t>
    </r>
    <r>
      <rPr>
        <sz val="12"/>
        <color rgb="FF000000"/>
        <rFont val="Times New Roman"/>
        <family val="1"/>
      </rPr>
      <t xml:space="preserve"> </t>
    </r>
    <phoneticPr fontId="5" type="noConversion"/>
  </si>
  <si>
    <t>US055451BK37</t>
    <phoneticPr fontId="6" type="noConversion"/>
  </si>
  <si>
    <t xml:space="preserve">BHP 5 1/8 02/21/32 </t>
    <phoneticPr fontId="5" type="noConversion"/>
  </si>
  <si>
    <t>礦業</t>
    <phoneticPr fontId="6" type="noConversion"/>
  </si>
  <si>
    <t xml:space="preserve">A1/NR/A </t>
    <phoneticPr fontId="6" type="noConversion"/>
  </si>
  <si>
    <t>US808513CA10</t>
    <phoneticPr fontId="5" type="noConversion"/>
  </si>
  <si>
    <t>CHARLES SCHWAB CORP/THE</t>
    <phoneticPr fontId="5" type="noConversion"/>
  </si>
  <si>
    <t>嘉信理財公司</t>
    <phoneticPr fontId="6" type="noConversion"/>
  </si>
  <si>
    <t xml:space="preserve">A2/A-/A </t>
    <phoneticPr fontId="5" type="noConversion"/>
  </si>
  <si>
    <t>The Charles Schwab Corporation 2.9%</t>
    <phoneticPr fontId="5" type="noConversion"/>
  </si>
  <si>
    <t>A2 / A- / A</t>
    <phoneticPr fontId="5" type="noConversion"/>
  </si>
  <si>
    <t>US76720AAT34</t>
    <phoneticPr fontId="4" type="noConversion"/>
  </si>
  <si>
    <t xml:space="preserve">RIOLN 5 03/14/32 </t>
    <phoneticPr fontId="6" type="noConversion"/>
  </si>
  <si>
    <t xml:space="preserve">力拓金融（美國）公開有限公司 </t>
    <phoneticPr fontId="5" type="noConversion"/>
  </si>
  <si>
    <t>US76720AAT34</t>
    <phoneticPr fontId="6" type="noConversion"/>
  </si>
  <si>
    <r>
      <t>RIOLN 5 03/14/32</t>
    </r>
    <r>
      <rPr>
        <sz val="12"/>
        <color rgb="FF000000"/>
        <rFont val="Times New Roman"/>
        <family val="1"/>
      </rPr>
      <t xml:space="preserve"> </t>
    </r>
    <phoneticPr fontId="5" type="noConversion"/>
  </si>
  <si>
    <t>力拓金融（美國）公開有限公司</t>
    <phoneticPr fontId="5" type="noConversion"/>
  </si>
  <si>
    <t>力拓金融（美國）公開有限公司</t>
    <phoneticPr fontId="6" type="noConversion"/>
  </si>
  <si>
    <t>US36962GXZ26</t>
    <phoneticPr fontId="4" type="noConversion"/>
  </si>
  <si>
    <t>GE Aerospace 6,75% 02/32</t>
    <phoneticPr fontId="6" type="noConversion"/>
  </si>
  <si>
    <t>奇異公司</t>
    <phoneticPr fontId="5" type="noConversion"/>
  </si>
  <si>
    <t xml:space="preserve">Baa1 / BBB+ / BBB+ </t>
    <phoneticPr fontId="6" type="noConversion"/>
  </si>
  <si>
    <t>US92343VGN82</t>
    <phoneticPr fontId="5" type="noConversion"/>
  </si>
  <si>
    <t>VERIZON COMMUNICATIONS INC</t>
    <phoneticPr fontId="5" type="noConversion"/>
  </si>
  <si>
    <t xml:space="preserve">Baa1/BBB+/A- </t>
    <phoneticPr fontId="6" type="noConversion"/>
  </si>
  <si>
    <t>US084664DA63</t>
    <phoneticPr fontId="5" type="noConversion"/>
  </si>
  <si>
    <t>BERKSHIRE HATHAWAY INC</t>
    <phoneticPr fontId="5" type="noConversion"/>
  </si>
  <si>
    <t>波克夏海瑟威</t>
    <phoneticPr fontId="6" type="noConversion"/>
  </si>
  <si>
    <t>Aa/AA</t>
    <phoneticPr fontId="5" type="noConversion"/>
  </si>
  <si>
    <t>US744330AB76</t>
    <phoneticPr fontId="4" type="noConversion"/>
  </si>
  <si>
    <t>PRUFIN 3 5/8 03/24/32</t>
    <phoneticPr fontId="6" type="noConversion"/>
  </si>
  <si>
    <t>Prudential Funding Asia PLC</t>
    <phoneticPr fontId="5" type="noConversion"/>
  </si>
  <si>
    <t>A2 / A / NR</t>
    <phoneticPr fontId="6" type="noConversion"/>
  </si>
  <si>
    <t>USU49504AA82</t>
    <phoneticPr fontId="5" type="noConversion"/>
  </si>
  <si>
    <t>KKR GROUP FINANCE CO. XII LLC 4.85%</t>
    <phoneticPr fontId="5" type="noConversion"/>
  </si>
  <si>
    <t>KKR集團</t>
    <phoneticPr fontId="5" type="noConversion"/>
  </si>
  <si>
    <t>NR/A/A</t>
    <phoneticPr fontId="6" type="noConversion"/>
  </si>
  <si>
    <t>US02665WGF23</t>
    <phoneticPr fontId="5" type="noConversion"/>
  </si>
  <si>
    <t>HNDA 5.15 07/09/32</t>
    <phoneticPr fontId="5" type="noConversion"/>
  </si>
  <si>
    <t>A3 / A- / NR</t>
    <phoneticPr fontId="5" type="noConversion"/>
  </si>
  <si>
    <t>2032/7/9</t>
  </si>
  <si>
    <t>US11135FCL31</t>
    <phoneticPr fontId="5" type="noConversion"/>
  </si>
  <si>
    <t>AVGO 4.9 07/15/32</t>
    <phoneticPr fontId="5" type="noConversion"/>
  </si>
  <si>
    <t>Boardcom Inc.</t>
    <phoneticPr fontId="5" type="noConversion"/>
  </si>
  <si>
    <t>電子業</t>
    <phoneticPr fontId="5" type="noConversion"/>
  </si>
  <si>
    <t>A3/A-/BBB+</t>
    <phoneticPr fontId="5" type="noConversion"/>
  </si>
  <si>
    <t>US22541LAE39</t>
    <phoneticPr fontId="5" type="noConversion"/>
  </si>
  <si>
    <t>UBS 7 1/8 07/15/32</t>
    <phoneticPr fontId="5" type="noConversion"/>
  </si>
  <si>
    <t>瑞信集團美國公司</t>
    <phoneticPr fontId="6" type="noConversion"/>
  </si>
  <si>
    <t>Aa2 / A+ / A+</t>
    <phoneticPr fontId="6" type="noConversion"/>
  </si>
  <si>
    <t>US22541LAE39</t>
    <phoneticPr fontId="4" type="noConversion"/>
  </si>
  <si>
    <t>UBS 7 1/8 07/15/32</t>
    <phoneticPr fontId="6" type="noConversion"/>
  </si>
  <si>
    <t>瑞信集團美國公司</t>
    <phoneticPr fontId="5" type="noConversion"/>
  </si>
  <si>
    <t xml:space="preserve">Aa2 / A+ / A+ </t>
    <phoneticPr fontId="6" type="noConversion"/>
  </si>
  <si>
    <t xml:space="preserve">US22541LAE39 </t>
    <phoneticPr fontId="6" type="noConversion"/>
  </si>
  <si>
    <t xml:space="preserve">US05964HBG92 </t>
    <phoneticPr fontId="6" type="noConversion"/>
  </si>
  <si>
    <t xml:space="preserve"> SANTAN 5.439 07/15/31 </t>
    <phoneticPr fontId="6" type="noConversion"/>
  </si>
  <si>
    <t>USJ5S39RAU80</t>
    <phoneticPr fontId="5" type="noConversion"/>
  </si>
  <si>
    <t>NTT 5.171 07/16/32</t>
    <phoneticPr fontId="5" type="noConversion"/>
  </si>
  <si>
    <t>US459200KU40</t>
    <phoneticPr fontId="5" type="noConversion"/>
  </si>
  <si>
    <t>IBM 4.4 07/27/32</t>
    <phoneticPr fontId="5" type="noConversion"/>
  </si>
  <si>
    <t>US30303M8H84</t>
    <phoneticPr fontId="5" type="noConversion"/>
  </si>
  <si>
    <t>META PLATFORMS</t>
    <phoneticPr fontId="5" type="noConversion"/>
  </si>
  <si>
    <t>Meta平台</t>
    <phoneticPr fontId="6" type="noConversion"/>
  </si>
  <si>
    <t>US45866FAN42</t>
    <phoneticPr fontId="5" type="noConversion"/>
  </si>
  <si>
    <t>INTERCONTINENTAL EXCHANGE INC</t>
    <phoneticPr fontId="5" type="noConversion"/>
  </si>
  <si>
    <t>洲際交易所</t>
    <phoneticPr fontId="5" type="noConversion"/>
  </si>
  <si>
    <t xml:space="preserve">A3/ A-/NR </t>
    <phoneticPr fontId="6" type="noConversion"/>
  </si>
  <si>
    <t>Intercontinental Exchange, Inc. 1.85%</t>
    <phoneticPr fontId="5" type="noConversion"/>
  </si>
  <si>
    <t>洲際交易所</t>
    <phoneticPr fontId="6" type="noConversion"/>
  </si>
  <si>
    <t>US58933YBY05</t>
    <phoneticPr fontId="5" type="noConversion"/>
  </si>
  <si>
    <t>DBS</t>
    <phoneticPr fontId="5" type="noConversion"/>
  </si>
  <si>
    <t>MRK 4.45 12/4/32</t>
    <phoneticPr fontId="5" type="noConversion"/>
  </si>
  <si>
    <t>Aa3 / A+ / -</t>
    <phoneticPr fontId="5" type="noConversion"/>
  </si>
  <si>
    <t>US458140CG35</t>
    <phoneticPr fontId="5" type="noConversion"/>
  </si>
  <si>
    <t>A2/A</t>
    <phoneticPr fontId="6" type="noConversion"/>
  </si>
  <si>
    <t>US10373QBU31</t>
    <phoneticPr fontId="4" type="noConversion"/>
  </si>
  <si>
    <t>BP PLC</t>
    <phoneticPr fontId="6" type="noConversion"/>
  </si>
  <si>
    <t>BP Capital Markets America</t>
    <phoneticPr fontId="5" type="noConversion"/>
  </si>
  <si>
    <t>A1/A-/A+</t>
    <phoneticPr fontId="6" type="noConversion"/>
  </si>
  <si>
    <t>US91324PER91</t>
    <phoneticPr fontId="4" type="noConversion"/>
  </si>
  <si>
    <t>UNH 5.35 02/15/33</t>
    <phoneticPr fontId="6" type="noConversion"/>
  </si>
  <si>
    <t>2033/2/15</t>
  </si>
  <si>
    <t>US718172DB29</t>
    <phoneticPr fontId="5" type="noConversion"/>
  </si>
  <si>
    <t>PM 5 3/8 02/15/33</t>
    <phoneticPr fontId="5" type="noConversion"/>
  </si>
  <si>
    <t xml:space="preserve">USU6S68YAA69 </t>
    <phoneticPr fontId="5" type="noConversion"/>
  </si>
  <si>
    <t xml:space="preserve"> MITHCC 5.658 02/28/33 </t>
    <phoneticPr fontId="5" type="noConversion"/>
  </si>
  <si>
    <t>Mitsubishi HC Finance America</t>
    <phoneticPr fontId="6" type="noConversion"/>
  </si>
  <si>
    <t xml:space="preserve"> A3 / A- / NR  </t>
    <phoneticPr fontId="5" type="noConversion"/>
  </si>
  <si>
    <t>US055451BA54</t>
    <phoneticPr fontId="5" type="noConversion"/>
  </si>
  <si>
    <t>BHP BILLITON FINANCE USA</t>
    <phoneticPr fontId="5" type="noConversion"/>
  </si>
  <si>
    <t xml:space="preserve">A1/A-/Au </t>
    <phoneticPr fontId="5" type="noConversion"/>
  </si>
  <si>
    <t>BHP Billiton Finance (USA) Limited 4.9%</t>
    <phoneticPr fontId="5" type="noConversion"/>
  </si>
  <si>
    <t>A1 / A- / Au</t>
    <phoneticPr fontId="5" type="noConversion"/>
  </si>
  <si>
    <t>US22535EAG26</t>
    <phoneticPr fontId="5" type="noConversion"/>
  </si>
  <si>
    <t>ACAFP 5.514 07/05/33</t>
    <phoneticPr fontId="5" type="noConversion"/>
  </si>
  <si>
    <t>法國農業信貸銀行</t>
    <phoneticPr fontId="6" type="noConversion"/>
  </si>
  <si>
    <t>Aa3 / A+ / AA-</t>
    <phoneticPr fontId="5" type="noConversion"/>
  </si>
  <si>
    <t>US025816DA48</t>
    <phoneticPr fontId="5" type="noConversion"/>
  </si>
  <si>
    <t>American Express co</t>
    <phoneticPr fontId="5" type="noConversion"/>
  </si>
  <si>
    <t>美國運通</t>
    <phoneticPr fontId="6" type="noConversion"/>
  </si>
  <si>
    <t>配息日</t>
  </si>
  <si>
    <t>應收利息</t>
  </si>
  <si>
    <t>本利合計</t>
  </si>
  <si>
    <t>US00182FBU93</t>
  </si>
  <si>
    <t>US02364WBH79</t>
  </si>
  <si>
    <t>US025816DA48</t>
  </si>
  <si>
    <t>US025816DN68</t>
  </si>
  <si>
    <t>US02665WFE66</t>
  </si>
  <si>
    <t>US055451BA54</t>
  </si>
  <si>
    <t>US055451BD93</t>
  </si>
  <si>
    <t>Silitech</t>
  </si>
  <si>
    <t>US05578BAJ52</t>
    <phoneticPr fontId="6" type="noConversion"/>
  </si>
  <si>
    <t>US05581LAF67</t>
  </si>
  <si>
    <t>US05964HAU95</t>
  </si>
  <si>
    <t>US05964HBG92</t>
  </si>
  <si>
    <t xml:space="preserve">US05964HBG92 </t>
    <phoneticPr fontId="5" type="noConversion"/>
  </si>
  <si>
    <t>US05971KAC36</t>
  </si>
  <si>
    <t>US06407F2G68</t>
  </si>
  <si>
    <t>US06407FAH55</t>
  </si>
  <si>
    <t>US110122EG99</t>
  </si>
  <si>
    <t>US111021AL54</t>
    <phoneticPr fontId="6" type="noConversion"/>
  </si>
  <si>
    <t>US11271LAD47</t>
  </si>
  <si>
    <t>US172967KN09</t>
  </si>
  <si>
    <t>US22535EAG26</t>
    <phoneticPr fontId="4" type="noConversion"/>
  </si>
  <si>
    <t>US22535EAG26</t>
  </si>
  <si>
    <t>US22541LAE39</t>
  </si>
  <si>
    <t xml:space="preserve">US22541LAE39 </t>
    <phoneticPr fontId="5" type="noConversion"/>
  </si>
  <si>
    <t>US22550L2M24</t>
  </si>
  <si>
    <t>US251526CW79</t>
    <phoneticPr fontId="5" type="noConversion"/>
  </si>
  <si>
    <t>US251526CW79</t>
  </si>
  <si>
    <t>US25156PAC77</t>
    <phoneticPr fontId="5" type="noConversion"/>
  </si>
  <si>
    <t>US25156PAC77</t>
  </si>
  <si>
    <t>US254687FX90</t>
  </si>
  <si>
    <t>US36962GXZ26</t>
    <phoneticPr fontId="5" type="noConversion"/>
  </si>
  <si>
    <t>US36962GXZ26</t>
  </si>
  <si>
    <t>US404280BB43</t>
  </si>
  <si>
    <t>US404280CF48</t>
    <phoneticPr fontId="6" type="noConversion"/>
  </si>
  <si>
    <t>US404280CF48</t>
  </si>
  <si>
    <t>US437076CJ91</t>
  </si>
  <si>
    <t>US44891CCN11</t>
  </si>
  <si>
    <t>US44891CCR25</t>
  </si>
  <si>
    <t>US449276AD68</t>
  </si>
  <si>
    <t>US458140CE86</t>
  </si>
  <si>
    <t>US45866FAN42</t>
  </si>
  <si>
    <t>US459200KX88</t>
  </si>
  <si>
    <t>US59217HDD61</t>
  </si>
  <si>
    <t>US654106AK94</t>
  </si>
  <si>
    <t>US695114DC94</t>
    <phoneticPr fontId="5" type="noConversion"/>
  </si>
  <si>
    <t>US695114DC94</t>
  </si>
  <si>
    <t>US70450YAH62</t>
  </si>
  <si>
    <t>US716973AD41</t>
  </si>
  <si>
    <t>US718172DD84</t>
  </si>
  <si>
    <t>US718172DH98</t>
  </si>
  <si>
    <t>US744330AA93</t>
  </si>
  <si>
    <t>US744330AB76</t>
    <phoneticPr fontId="5" type="noConversion"/>
  </si>
  <si>
    <t>US744330AB76</t>
  </si>
  <si>
    <t>US74435KAA34</t>
    <phoneticPr fontId="6" type="noConversion"/>
  </si>
  <si>
    <t>US808513CA10</t>
  </si>
  <si>
    <t>US842400JE48</t>
    <phoneticPr fontId="5" type="noConversion"/>
  </si>
  <si>
    <t>US842400JE48</t>
  </si>
  <si>
    <t>US874060AX48</t>
    <phoneticPr fontId="5" type="noConversion"/>
  </si>
  <si>
    <t>US874060AX48</t>
  </si>
  <si>
    <t>US88579YBJ91</t>
  </si>
  <si>
    <t>US89236TLZ65</t>
  </si>
  <si>
    <t>US902674ZW39</t>
  </si>
  <si>
    <t>US91127LAD29</t>
  </si>
  <si>
    <t>US912810FF04</t>
  </si>
  <si>
    <t>US91282CGD74</t>
    <phoneticPr fontId="6" type="noConversion"/>
  </si>
  <si>
    <t>US91324PEQ19</t>
  </si>
  <si>
    <t>US91324PFH01</t>
    <phoneticPr fontId="5" type="noConversion"/>
  </si>
  <si>
    <t>US91324PFH01</t>
  </si>
  <si>
    <t>US92343VES97</t>
    <phoneticPr fontId="6" type="noConversion"/>
  </si>
  <si>
    <t>US92343VGH15</t>
    <phoneticPr fontId="6" type="noConversion"/>
  </si>
  <si>
    <t>US92343VGJ70</t>
  </si>
  <si>
    <t>US92343VGN82</t>
  </si>
  <si>
    <t>US92826CAM47</t>
  </si>
  <si>
    <t>US96122QAA13</t>
  </si>
  <si>
    <t>US96122QAC78</t>
  </si>
  <si>
    <t>USG6382G7P18</t>
  </si>
  <si>
    <t>USG91139AF57</t>
  </si>
  <si>
    <t>USG91139AH14</t>
  </si>
  <si>
    <t>USJ4706DLV03</t>
    <phoneticPr fontId="5" type="noConversion"/>
  </si>
  <si>
    <t>USJ4706DLV03</t>
  </si>
  <si>
    <t>USJ5S39RAE49</t>
  </si>
  <si>
    <t>USJ5S39RAN48</t>
    <phoneticPr fontId="5" type="noConversion"/>
  </si>
  <si>
    <t>USJ5S39RAN48</t>
  </si>
  <si>
    <t>USJ7771YSA66</t>
    <phoneticPr fontId="6" type="noConversion"/>
  </si>
  <si>
    <t>USJ7771YSA66</t>
  </si>
  <si>
    <t>USU0300QAC07</t>
    <phoneticPr fontId="5" type="noConversion"/>
  </si>
  <si>
    <t>USU0300QAC07</t>
  </si>
  <si>
    <t>USU2339CDB10</t>
  </si>
  <si>
    <t>USU2340BAH07</t>
  </si>
  <si>
    <t>USU49504AA82</t>
  </si>
  <si>
    <t>USU6S68YAA69</t>
    <phoneticPr fontId="5" type="noConversion"/>
  </si>
  <si>
    <t>USU6S68YAA69</t>
  </si>
  <si>
    <t>USU75000BW55</t>
  </si>
  <si>
    <t>USU9273AEC54</t>
  </si>
  <si>
    <t>USY68856AT38</t>
  </si>
  <si>
    <t>XS2262853265</t>
  </si>
  <si>
    <t>XS2747598444</t>
    <phoneticPr fontId="5" type="noConversion"/>
  </si>
  <si>
    <t>XS2747598444</t>
  </si>
  <si>
    <t>XS2756976218</t>
    <phoneticPr fontId="5" type="noConversion"/>
  </si>
  <si>
    <t>XS2756976218</t>
  </si>
  <si>
    <t>XS2765576538</t>
  </si>
  <si>
    <t>XS2352862119</t>
    <phoneticPr fontId="5" type="noConversion"/>
  </si>
  <si>
    <t>XS2352862119</t>
  </si>
  <si>
    <t>USY79985AD29</t>
    <phoneticPr fontId="5" type="noConversion"/>
  </si>
  <si>
    <t>USY79985AD29</t>
  </si>
  <si>
    <t>USU6S68YAF56</t>
    <phoneticPr fontId="5" type="noConversion"/>
  </si>
  <si>
    <t>USU6S68YAF56</t>
  </si>
  <si>
    <t>USJ5S39RAN49</t>
  </si>
  <si>
    <t>USJ5S39RAN50</t>
  </si>
  <si>
    <t>USJ5S39RAN51</t>
  </si>
  <si>
    <t>USJ5S39RAN52</t>
  </si>
  <si>
    <t>USJ5S39RAN53</t>
  </si>
  <si>
    <t>USJ5S39RAN54</t>
  </si>
  <si>
    <t>USJ5S39RAN55</t>
  </si>
  <si>
    <t>USJ5S39RAN56</t>
  </si>
  <si>
    <t>USJ5S39RAN57</t>
  </si>
  <si>
    <t>USJ5S39RAN58</t>
  </si>
  <si>
    <t>USJ5S39RAN59</t>
  </si>
  <si>
    <t>USJ5S39RAN60</t>
  </si>
  <si>
    <t>USJ5S39RAN61</t>
  </si>
  <si>
    <t>US44891CBL63</t>
    <phoneticPr fontId="5" type="noConversion"/>
  </si>
  <si>
    <t>US44891CBL63</t>
  </si>
  <si>
    <t>US02665WFL00</t>
    <phoneticPr fontId="5" type="noConversion"/>
  </si>
  <si>
    <t>US02665WFL00</t>
  </si>
  <si>
    <t>XS2338173680</t>
    <phoneticPr fontId="5" type="noConversion"/>
  </si>
  <si>
    <t>XS2338173680</t>
  </si>
  <si>
    <t>US62878V2E94</t>
    <phoneticPr fontId="5" type="noConversion"/>
  </si>
  <si>
    <t>US62878V2E94</t>
  </si>
  <si>
    <t>USJ43830FH65</t>
  </si>
  <si>
    <t>US40434LAJ44</t>
  </si>
  <si>
    <t>USF2893TBD75</t>
  </si>
  <si>
    <t>US58933YAZ88</t>
  </si>
  <si>
    <t>US084659AV35</t>
  </si>
  <si>
    <t>US822905AB18</t>
  </si>
  <si>
    <t>US29446MAK80</t>
  </si>
  <si>
    <t>US718172DA46</t>
  </si>
  <si>
    <t>US22160KAP03</t>
  </si>
  <si>
    <t>USU5876JBA26</t>
  </si>
  <si>
    <t>USU09513HY80</t>
    <phoneticPr fontId="4" type="noConversion"/>
  </si>
  <si>
    <t>US191216DE73</t>
  </si>
  <si>
    <t>US76720AAT34</t>
  </si>
  <si>
    <t>US10373QBU31</t>
    <phoneticPr fontId="6" type="noConversion"/>
  </si>
  <si>
    <t>CTBC</t>
    <phoneticPr fontId="6" type="noConversion"/>
  </si>
  <si>
    <t>US91324PER91</t>
    <phoneticPr fontId="6" type="noConversion"/>
  </si>
  <si>
    <t>US459200KU40</t>
    <phoneticPr fontId="6" type="noConversion"/>
  </si>
  <si>
    <t>US459200KU40</t>
  </si>
  <si>
    <t>US459200LG47</t>
    <phoneticPr fontId="6" type="noConversion"/>
  </si>
  <si>
    <t>US459200LG47</t>
  </si>
  <si>
    <t>USU5876JAR69</t>
    <phoneticPr fontId="6" type="noConversion"/>
  </si>
  <si>
    <t>US980236AT06</t>
    <phoneticPr fontId="6" type="noConversion"/>
  </si>
  <si>
    <t>Silitech</t>
    <phoneticPr fontId="5" type="noConversion"/>
  </si>
  <si>
    <t>US87264ABW45</t>
    <phoneticPr fontId="6" type="noConversion"/>
  </si>
  <si>
    <t>US438127AE20</t>
    <phoneticPr fontId="6" type="noConversion"/>
  </si>
  <si>
    <t>US438127AE20</t>
  </si>
  <si>
    <t>US92343VFX73</t>
    <phoneticPr fontId="6" type="noConversion"/>
  </si>
  <si>
    <t>US92343VFX73</t>
  </si>
  <si>
    <t>US11135FCL31</t>
    <phoneticPr fontId="6" type="noConversion"/>
  </si>
  <si>
    <t>US11135FCL31</t>
  </si>
  <si>
    <t>USJ5S39RAU80</t>
    <phoneticPr fontId="6" type="noConversion"/>
  </si>
  <si>
    <t>US02665WGF23</t>
    <phoneticPr fontId="6" type="noConversion"/>
  </si>
  <si>
    <t>US58933YBY05</t>
    <phoneticPr fontId="6" type="noConversion"/>
  </si>
  <si>
    <t>US718172DB29</t>
    <phoneticPr fontId="6" type="noConversion"/>
  </si>
  <si>
    <t>US718172DB29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</si>
</sst>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_(* #,##0.00_);_(* \(#,##0.00\);_(* &quot;-&quot;??_);_(@_)"/>
    <numFmt numFmtId="177" formatCode="_(* #,##0_);_(* \(#,##0\);_(* &quot;-&quot;??_);_(@_)"/>
    <numFmt numFmtId="178" formatCode="0.0"/>
    <numFmt numFmtId="179" formatCode="0.000%"/>
    <numFmt numFmtId="180" formatCode="0.00_);[Red]\(0.00\)"/>
    <numFmt numFmtId="181" formatCode="_-* #,##0_-;\-* #,##0_-;_-* \-??_-;_-@_-"/>
    <numFmt numFmtId="182" formatCode="_-* #,##0_-;\-* #,##0_-;_-* &quot;-&quot;??_-;_-@_-"/>
    <numFmt numFmtId="183" formatCode="m&quot;月&quot;d&quot;日&quot;"/>
    <numFmt numFmtId="184" formatCode="0_);[Red]\(0\)"/>
    <numFmt numFmtId="185" formatCode="_(* #,##0_);_(* \(#,##0\);_(* &quot;-&quot;???_);_(@_)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0"/>
      <color rgb="FFFFFF0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rgb="FFFF0000"/>
      <name val="Calibri"/>
      <family val="2"/>
    </font>
    <font>
      <sz val="12"/>
      <color theme="1"/>
      <name val="Liberation Sans"/>
      <family val="2"/>
    </font>
    <font>
      <sz val="12"/>
      <color rgb="FF000000"/>
      <name val="Times New Roman"/>
      <family val="1"/>
    </font>
    <font>
      <sz val="10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7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176" fontId="7" fillId="0" borderId="0" applyFont="0" applyFill="0" applyBorder="0" applyAlignment="0" applyProtection="0"/>
  </cellStyleXfs>
  <cellXfs count="122">
    <xf numFmtId="0" fontId="0" fillId="0" borderId="0" xfId="0">
      <alignment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left" vertical="center" wrapText="1"/>
    </xf>
    <xf numFmtId="10" fontId="3" fillId="2" borderId="2" xfId="2" applyNumberFormat="1" applyFont="1" applyFill="1" applyBorder="1" applyAlignment="1">
      <alignment horizontal="center" vertical="center" wrapText="1"/>
    </xf>
    <xf numFmtId="176" fontId="3" fillId="2" borderId="2" xfId="3" applyNumberFormat="1" applyFont="1" applyFill="1" applyBorder="1" applyAlignment="1">
      <alignment horizontal="center" vertical="center" wrapText="1"/>
    </xf>
    <xf numFmtId="177" fontId="3" fillId="2" borderId="2" xfId="1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  <protection hidden="1"/>
    </xf>
    <xf numFmtId="0" fontId="3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77" fontId="8" fillId="5" borderId="0" xfId="1" applyNumberFormat="1" applyFont="1" applyFill="1" applyAlignment="1">
      <alignment horizontal="center" vertical="center" wrapText="1"/>
    </xf>
    <xf numFmtId="178" fontId="8" fillId="5" borderId="0" xfId="0" applyNumberFormat="1" applyFont="1" applyFill="1" applyAlignment="1">
      <alignment horizontal="center" vertical="center" wrapText="1"/>
    </xf>
    <xf numFmtId="10" fontId="8" fillId="5" borderId="0" xfId="2" applyNumberFormat="1" applyFont="1" applyFill="1" applyAlignment="1">
      <alignment horizontal="center" vertical="center" wrapText="1"/>
    </xf>
    <xf numFmtId="9" fontId="8" fillId="5" borderId="0" xfId="2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0" xfId="4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14" fontId="9" fillId="6" borderId="0" xfId="4" applyNumberFormat="1" applyFont="1" applyFill="1" applyAlignment="1">
      <alignment horizontal="center" vertical="center" wrapText="1"/>
    </xf>
    <xf numFmtId="179" fontId="9" fillId="6" borderId="0" xfId="2" applyNumberFormat="1" applyFont="1" applyFill="1" applyBorder="1" applyAlignment="1">
      <alignment horizontal="center" vertical="center" wrapText="1"/>
    </xf>
    <xf numFmtId="14" fontId="9" fillId="6" borderId="0" xfId="0" quotePrefix="1" applyNumberFormat="1" applyFont="1" applyFill="1" applyAlignment="1">
      <alignment horizontal="right" vertical="center" wrapText="1"/>
    </xf>
    <xf numFmtId="180" fontId="9" fillId="6" borderId="0" xfId="4" applyNumberFormat="1" applyFont="1" applyFill="1" applyAlignment="1">
      <alignment horizontal="center" vertical="center" wrapText="1"/>
    </xf>
    <xf numFmtId="14" fontId="9" fillId="7" borderId="0" xfId="0" applyNumberFormat="1" applyFont="1" applyFill="1" applyAlignment="1">
      <alignment horizontal="right" vertical="center" wrapText="1"/>
    </xf>
    <xf numFmtId="43" fontId="9" fillId="6" borderId="0" xfId="1" applyFont="1" applyFill="1" applyBorder="1" applyAlignment="1">
      <alignment horizontal="center" vertical="center" wrapText="1"/>
    </xf>
    <xf numFmtId="10" fontId="9" fillId="8" borderId="0" xfId="2" applyNumberFormat="1" applyFont="1" applyFill="1" applyBorder="1" applyAlignment="1">
      <alignment horizontal="center" vertical="center" wrapText="1"/>
    </xf>
    <xf numFmtId="177" fontId="9" fillId="7" borderId="0" xfId="1" applyNumberFormat="1" applyFont="1" applyFill="1" applyBorder="1" applyAlignment="1">
      <alignment horizontal="center" vertical="center" wrapText="1"/>
    </xf>
    <xf numFmtId="181" fontId="9" fillId="6" borderId="0" xfId="1" applyNumberFormat="1" applyFont="1" applyFill="1" applyBorder="1" applyAlignment="1">
      <alignment horizontal="center" vertical="center" wrapText="1"/>
    </xf>
    <xf numFmtId="177" fontId="9" fillId="6" borderId="0" xfId="1" applyNumberFormat="1" applyFont="1" applyFill="1" applyBorder="1" applyAlignment="1">
      <alignment horizontal="center" vertical="center" wrapText="1"/>
    </xf>
    <xf numFmtId="14" fontId="9" fillId="6" borderId="0" xfId="0" applyNumberFormat="1" applyFont="1" applyFill="1" applyAlignment="1">
      <alignment horizontal="right" vertical="center" wrapText="1"/>
    </xf>
    <xf numFmtId="182" fontId="9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83" fontId="9" fillId="6" borderId="0" xfId="0" applyNumberFormat="1" applyFont="1" applyFill="1" applyAlignment="1">
      <alignment horizontal="center" vertical="center" wrapText="1"/>
    </xf>
    <xf numFmtId="183" fontId="9" fillId="6" borderId="0" xfId="0" applyNumberFormat="1" applyFont="1" applyFill="1" applyAlignment="1">
      <alignment horizontal="left" vertical="center" wrapText="1"/>
    </xf>
    <xf numFmtId="0" fontId="9" fillId="0" borderId="0" xfId="4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4" fontId="9" fillId="0" borderId="0" xfId="4" applyNumberFormat="1" applyFont="1" applyAlignment="1">
      <alignment horizontal="center" vertical="center" wrapText="1"/>
    </xf>
    <xf numFmtId="179" fontId="9" fillId="0" borderId="0" xfId="2" applyNumberFormat="1" applyFont="1" applyFill="1" applyBorder="1" applyAlignment="1">
      <alignment horizontal="center" vertical="center" wrapText="1"/>
    </xf>
    <xf numFmtId="14" fontId="9" fillId="0" borderId="0" xfId="0" quotePrefix="1" applyNumberFormat="1" applyFont="1" applyAlignment="1">
      <alignment horizontal="right" vertical="center" wrapText="1"/>
    </xf>
    <xf numFmtId="180" fontId="9" fillId="0" borderId="0" xfId="4" applyNumberFormat="1" applyFont="1" applyAlignment="1">
      <alignment horizontal="center" vertical="center" wrapText="1"/>
    </xf>
    <xf numFmtId="43" fontId="9" fillId="0" borderId="0" xfId="1" applyFont="1" applyFill="1" applyBorder="1" applyAlignment="1">
      <alignment horizontal="center" vertical="center" wrapText="1"/>
    </xf>
    <xf numFmtId="181" fontId="9" fillId="0" borderId="0" xfId="1" applyNumberFormat="1" applyFont="1" applyFill="1" applyBorder="1" applyAlignment="1">
      <alignment horizontal="center" vertical="center" wrapText="1"/>
    </xf>
    <xf numFmtId="177" fontId="9" fillId="0" borderId="0" xfId="1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 wrapText="1"/>
    </xf>
    <xf numFmtId="182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83" fontId="9" fillId="0" borderId="0" xfId="0" applyNumberFormat="1" applyFont="1" applyAlignment="1">
      <alignment horizontal="center" vertical="center" wrapText="1"/>
    </xf>
    <xf numFmtId="183" fontId="9" fillId="0" borderId="0" xfId="0" applyNumberFormat="1" applyFont="1" applyAlignment="1">
      <alignment horizontal="left" vertical="center" wrapText="1"/>
    </xf>
    <xf numFmtId="14" fontId="9" fillId="9" borderId="0" xfId="0" applyNumberFormat="1" applyFont="1" applyFill="1" applyAlignment="1">
      <alignment horizontal="right" vertical="center" wrapText="1"/>
    </xf>
    <xf numFmtId="10" fontId="9" fillId="9" borderId="0" xfId="2" applyNumberFormat="1" applyFont="1" applyFill="1" applyBorder="1" applyAlignment="1">
      <alignment horizontal="center" vertical="center" wrapText="1"/>
    </xf>
    <xf numFmtId="177" fontId="9" fillId="9" borderId="0" xfId="1" applyNumberFormat="1" applyFont="1" applyFill="1" applyBorder="1" applyAlignment="1">
      <alignment horizontal="center" vertical="center" wrapText="1"/>
    </xf>
    <xf numFmtId="10" fontId="9" fillId="0" borderId="0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5" applyFont="1" applyAlignment="1">
      <alignment horizontal="left" vertical="center"/>
    </xf>
    <xf numFmtId="0" fontId="10" fillId="0" borderId="0" xfId="5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5" applyFont="1" applyAlignment="1">
      <alignment horizontal="left" vertical="center" wrapText="1"/>
    </xf>
    <xf numFmtId="179" fontId="10" fillId="0" borderId="0" xfId="5" applyNumberFormat="1" applyFont="1" applyAlignment="1">
      <alignment horizontal="center" vertical="center"/>
    </xf>
    <xf numFmtId="180" fontId="10" fillId="0" borderId="0" xfId="5" applyNumberFormat="1" applyFont="1" applyAlignment="1">
      <alignment horizontal="center" vertical="center"/>
    </xf>
    <xf numFmtId="14" fontId="10" fillId="0" borderId="0" xfId="5" applyNumberFormat="1" applyFont="1" applyAlignment="1">
      <alignment horizontal="right" vertical="center"/>
    </xf>
    <xf numFmtId="43" fontId="10" fillId="0" borderId="0" xfId="1" applyFont="1" applyFill="1" applyBorder="1" applyAlignment="1">
      <alignment horizontal="center" vertical="center"/>
    </xf>
    <xf numFmtId="10" fontId="10" fillId="0" borderId="0" xfId="5" applyNumberFormat="1" applyFont="1" applyAlignment="1">
      <alignment horizontal="center" vertical="center"/>
    </xf>
    <xf numFmtId="177" fontId="10" fillId="0" borderId="0" xfId="1" applyNumberFormat="1" applyFont="1" applyFill="1" applyAlignment="1">
      <alignment horizontal="center" vertical="center" wrapText="1"/>
    </xf>
    <xf numFmtId="177" fontId="10" fillId="0" borderId="0" xfId="1" applyNumberFormat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right" vertical="center" wrapText="1"/>
    </xf>
    <xf numFmtId="182" fontId="10" fillId="0" borderId="0" xfId="1" applyNumberFormat="1" applyFont="1" applyFill="1" applyBorder="1" applyAlignment="1">
      <alignment horizontal="center" vertical="center"/>
    </xf>
    <xf numFmtId="177" fontId="9" fillId="0" borderId="0" xfId="1" applyNumberFormat="1" applyFont="1" applyFill="1" applyAlignment="1">
      <alignment horizontal="center" vertical="center" wrapText="1"/>
    </xf>
    <xf numFmtId="184" fontId="9" fillId="0" borderId="0" xfId="4" applyNumberFormat="1" applyFont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0" fontId="9" fillId="6" borderId="0" xfId="2" applyNumberFormat="1" applyFont="1" applyFill="1" applyBorder="1" applyAlignment="1">
      <alignment horizontal="center" vertical="center" wrapText="1"/>
    </xf>
    <xf numFmtId="14" fontId="9" fillId="0" borderId="0" xfId="4" applyNumberFormat="1" applyFont="1" applyAlignment="1">
      <alignment horizontal="left" vertical="center" wrapText="1"/>
    </xf>
    <xf numFmtId="179" fontId="9" fillId="0" borderId="0" xfId="0" applyNumberFormat="1" applyFont="1" applyAlignment="1">
      <alignment horizontal="center" vertical="center" wrapText="1"/>
    </xf>
    <xf numFmtId="43" fontId="9" fillId="0" borderId="0" xfId="1" applyFont="1" applyFill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177" fontId="10" fillId="0" borderId="0" xfId="1" applyNumberFormat="1" applyFont="1" applyAlignment="1">
      <alignment horizontal="center" vertical="center" wrapText="1"/>
    </xf>
    <xf numFmtId="182" fontId="9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176" fontId="10" fillId="0" borderId="0" xfId="0" applyNumberFormat="1" applyFont="1" applyAlignment="1">
      <alignment horizontal="center" vertical="center" wrapText="1"/>
    </xf>
    <xf numFmtId="0" fontId="10" fillId="0" borderId="0" xfId="0" applyFont="1">
      <alignment vertical="center"/>
    </xf>
    <xf numFmtId="0" fontId="3" fillId="2" borderId="0" xfId="3" applyFont="1" applyFill="1" applyAlignment="1" applyProtection="1">
      <alignment horizontal="center" vertical="center" wrapText="1"/>
      <protection hidden="1"/>
    </xf>
    <xf numFmtId="14" fontId="3" fillId="4" borderId="0" xfId="6" applyNumberFormat="1" applyFont="1" applyFill="1" applyBorder="1" applyAlignment="1">
      <alignment horizontal="center" vertical="center" wrapText="1"/>
    </xf>
    <xf numFmtId="177" fontId="3" fillId="4" borderId="0" xfId="6" applyNumberFormat="1" applyFont="1" applyFill="1" applyAlignment="1">
      <alignment horizontal="center" vertical="center" wrapText="1"/>
    </xf>
    <xf numFmtId="0" fontId="0" fillId="0" borderId="0" xfId="0" applyAlignment="1"/>
    <xf numFmtId="0" fontId="9" fillId="10" borderId="0" xfId="0" applyFont="1" applyFill="1" applyAlignment="1">
      <alignment horizontal="center" vertical="center" wrapText="1"/>
    </xf>
    <xf numFmtId="183" fontId="9" fillId="10" borderId="0" xfId="0" applyNumberFormat="1" applyFont="1" applyFill="1" applyAlignment="1">
      <alignment horizontal="center" vertical="center" wrapText="1"/>
    </xf>
    <xf numFmtId="14" fontId="9" fillId="10" borderId="0" xfId="0" applyNumberFormat="1" applyFont="1" applyFill="1" applyAlignment="1">
      <alignment horizontal="center" vertical="center" wrapText="1"/>
    </xf>
    <xf numFmtId="177" fontId="9" fillId="10" borderId="0" xfId="6" applyNumberFormat="1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77" fontId="9" fillId="0" borderId="0" xfId="6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77" fontId="10" fillId="0" borderId="0" xfId="6" applyNumberFormat="1" applyFont="1" applyAlignment="1">
      <alignment horizontal="center" vertical="center" wrapText="1"/>
    </xf>
    <xf numFmtId="177" fontId="9" fillId="0" borderId="0" xfId="6" applyNumberFormat="1" applyFont="1" applyFill="1" applyAlignment="1">
      <alignment horizontal="center" vertical="center" wrapText="1"/>
    </xf>
    <xf numFmtId="0" fontId="9" fillId="10" borderId="0" xfId="4" applyFont="1" applyFill="1" applyAlignment="1">
      <alignment horizontal="center" vertical="center" wrapText="1"/>
    </xf>
    <xf numFmtId="177" fontId="10" fillId="10" borderId="0" xfId="0" applyNumberFormat="1" applyFont="1" applyFill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81" fontId="9" fillId="0" borderId="0" xfId="6" applyNumberFormat="1" applyFont="1" applyFill="1" applyBorder="1" applyAlignment="1">
      <alignment horizontal="center" vertical="center" wrapText="1"/>
    </xf>
    <xf numFmtId="177" fontId="9" fillId="0" borderId="0" xfId="6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183" fontId="9" fillId="8" borderId="0" xfId="0" applyNumberFormat="1" applyFont="1" applyFill="1" applyAlignment="1">
      <alignment horizontal="center" vertical="center" wrapText="1"/>
    </xf>
    <xf numFmtId="14" fontId="9" fillId="8" borderId="0" xfId="0" applyNumberFormat="1" applyFont="1" applyFill="1" applyAlignment="1">
      <alignment horizontal="center" vertical="center" wrapText="1"/>
    </xf>
    <xf numFmtId="177" fontId="9" fillId="8" borderId="0" xfId="6" applyNumberFormat="1" applyFont="1" applyFill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/>
    </xf>
    <xf numFmtId="0" fontId="10" fillId="4" borderId="0" xfId="5" applyFont="1" applyFill="1" applyAlignment="1">
      <alignment horizontal="center" vertical="center"/>
    </xf>
    <xf numFmtId="183" fontId="9" fillId="4" borderId="0" xfId="0" applyNumberFormat="1" applyFont="1" applyFill="1" applyAlignment="1">
      <alignment horizontal="center" vertical="center" wrapText="1"/>
    </xf>
    <xf numFmtId="0" fontId="9" fillId="4" borderId="0" xfId="4" applyFont="1" applyFill="1" applyAlignment="1">
      <alignment horizontal="center" vertical="center" wrapText="1"/>
    </xf>
    <xf numFmtId="14" fontId="10" fillId="4" borderId="0" xfId="0" applyNumberFormat="1" applyFont="1" applyFill="1" applyAlignment="1">
      <alignment horizontal="center" vertical="center" wrapText="1"/>
    </xf>
    <xf numFmtId="177" fontId="9" fillId="4" borderId="0" xfId="6" applyNumberFormat="1" applyFont="1" applyFill="1" applyAlignment="1">
      <alignment horizontal="center" vertical="center" wrapText="1"/>
    </xf>
    <xf numFmtId="0" fontId="10" fillId="11" borderId="0" xfId="5" applyFont="1" applyFill="1" applyAlignment="1">
      <alignment horizontal="center" vertical="center"/>
    </xf>
    <xf numFmtId="183" fontId="9" fillId="11" borderId="0" xfId="0" applyNumberFormat="1" applyFont="1" applyFill="1" applyAlignment="1">
      <alignment horizontal="center" vertical="center" wrapText="1"/>
    </xf>
    <xf numFmtId="0" fontId="9" fillId="11" borderId="0" xfId="4" applyFont="1" applyFill="1" applyAlignment="1">
      <alignment horizontal="center" vertical="center" wrapText="1"/>
    </xf>
    <xf numFmtId="185" fontId="10" fillId="4" borderId="0" xfId="0" applyNumberFormat="1" applyFont="1" applyFill="1" applyAlignment="1">
      <alignment horizontal="center" vertical="center" wrapText="1"/>
    </xf>
    <xf numFmtId="185" fontId="10" fillId="0" borderId="0" xfId="0" applyNumberFormat="1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 wrapText="1"/>
    </xf>
    <xf numFmtId="0" fontId="10" fillId="6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</cellXfs>
  <cellStyles count="7">
    <cellStyle name="一般" xfId="0" builtinId="0"/>
    <cellStyle name="一般 127" xfId="3" xr:uid="{5935C8A1-9045-4E88-BC2A-034DF5D8D1F4}"/>
    <cellStyle name="一般 128" xfId="4" xr:uid="{50420E54-6D6B-42D5-9FA1-5A3A6FA61C2C}"/>
    <cellStyle name="一般 2" xfId="5" xr:uid="{0261AD55-650F-43EE-B6AD-CEFC655A66F3}"/>
    <cellStyle name="千分位" xfId="1" builtinId="3"/>
    <cellStyle name="千分位 4" xfId="6" xr:uid="{741D503B-805A-4B25-B3D9-445C67D79DE4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88</xdr:row>
      <xdr:rowOff>0</xdr:rowOff>
    </xdr:from>
    <xdr:to>
      <xdr:col>29</xdr:col>
      <xdr:colOff>238124</xdr:colOff>
      <xdr:row>91</xdr:row>
      <xdr:rowOff>11955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11F25C3-5D9E-4E83-928A-D6D50A9DA08D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16506825"/>
          <a:ext cx="304799" cy="62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88</xdr:row>
      <xdr:rowOff>0</xdr:rowOff>
    </xdr:from>
    <xdr:to>
      <xdr:col>29</xdr:col>
      <xdr:colOff>238124</xdr:colOff>
      <xdr:row>91</xdr:row>
      <xdr:rowOff>11955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E6EA5F1-64AF-4D35-8545-8B8F428972AB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16506825"/>
          <a:ext cx="304799" cy="62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88</xdr:row>
      <xdr:rowOff>0</xdr:rowOff>
    </xdr:from>
    <xdr:to>
      <xdr:col>29</xdr:col>
      <xdr:colOff>238124</xdr:colOff>
      <xdr:row>91</xdr:row>
      <xdr:rowOff>11955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DC955C1-8203-48C0-A52C-100B07502F09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16506825"/>
          <a:ext cx="304799" cy="62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88</xdr:row>
      <xdr:rowOff>0</xdr:rowOff>
    </xdr:from>
    <xdr:to>
      <xdr:col>29</xdr:col>
      <xdr:colOff>238124</xdr:colOff>
      <xdr:row>91</xdr:row>
      <xdr:rowOff>11955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3122A1F-B6F9-48D4-A224-68E612BE37DF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16506825"/>
          <a:ext cx="304799" cy="62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88</xdr:row>
      <xdr:rowOff>0</xdr:rowOff>
    </xdr:from>
    <xdr:to>
      <xdr:col>29</xdr:col>
      <xdr:colOff>238124</xdr:colOff>
      <xdr:row>91</xdr:row>
      <xdr:rowOff>11955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0BAF759-8531-4053-A6CA-C6148CBA0AF5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16506825"/>
          <a:ext cx="304799" cy="62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311395</xdr:colOff>
      <xdr:row>53</xdr:row>
      <xdr:rowOff>427403</xdr:rowOff>
    </xdr:from>
    <xdr:to>
      <xdr:col>30</xdr:col>
      <xdr:colOff>37417</xdr:colOff>
      <xdr:row>56</xdr:row>
      <xdr:rowOff>2017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F9F3ECBC-8F5A-41D7-B80A-31DE83D51FF5}"/>
            </a:ext>
          </a:extLst>
        </xdr:cNvPr>
        <xdr:cNvSpPr>
          <a:spLocks noChangeAspect="1" noChangeArrowheads="1"/>
        </xdr:cNvSpPr>
      </xdr:nvSpPr>
      <xdr:spPr bwMode="auto">
        <a:xfrm>
          <a:off x="32644008" y="10171479"/>
          <a:ext cx="326097" cy="39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688F7A6-5D4F-4791-90AA-8916AE71F066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2A8A652-9376-4B26-9A0D-41AA30165E37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E607EA09-5C8A-4D27-B07D-AAF8AE2CC81F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4970D400-EA2F-45D3-A7C7-660CBFE9C697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A45A5B68-8103-4B10-B043-87FC22992412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65E4FAD7-0A2D-456F-BF7F-F86735AA6B53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A703618-348A-454A-813A-1AC1CB08FF63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9568AA5F-BAC5-40D2-BCF0-D8784981740D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CFF77574-77F5-4ABE-A3B8-4A95B3461E26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9A8D6174-63E7-4D19-B0A5-3706568DC675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182</xdr:row>
      <xdr:rowOff>0</xdr:rowOff>
    </xdr:from>
    <xdr:ext cx="304800" cy="961232"/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FEEA6EB2-DB8C-4C71-B8AE-F5C5B536B1E3}"/>
            </a:ext>
          </a:extLst>
        </xdr:cNvPr>
        <xdr:cNvSpPr>
          <a:spLocks noChangeAspect="1" noChangeArrowheads="1"/>
        </xdr:cNvSpPr>
      </xdr:nvSpPr>
      <xdr:spPr bwMode="auto">
        <a:xfrm>
          <a:off x="32265938" y="32508825"/>
          <a:ext cx="304800" cy="961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D60608D-A790-4E55-869E-2E13C80A830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A57A9B4-6CA5-4921-A6E2-AF7B8E266F0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2F2E791-6F1C-4C72-8994-024467C927A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3B06D28-2497-4576-91E1-BB77826BF09F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91EB4C2-629F-422D-8EE4-94C9ED61FDB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CBE30171-4886-4949-AFB9-5F0C37A559B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29993E03-E87B-4671-9DF7-0B62A88579B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2863</xdr:row>
      <xdr:rowOff>87958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B297AAFD-3DCD-4B31-9ED0-3A177ABB5A6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98564C3-D809-44E5-85F4-84D555BF65C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E9539C6-FCEA-4041-86A0-AFF8DE6A7D0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34140263-6BB3-4BF7-BC24-F27EE7D9BDF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F268460F-527D-4167-973C-C41F87D7BFC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D1F6A95-DD24-4229-8CC6-0D1F4B8A5667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E02B88E-19AB-4F35-B6E3-F9215CD88E9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5E378C4E-380B-4C7A-94DE-222D87BB115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2855</xdr:row>
      <xdr:rowOff>0</xdr:rowOff>
    </xdr:from>
    <xdr:to>
      <xdr:col>2</xdr:col>
      <xdr:colOff>304800</xdr:colOff>
      <xdr:row>2861</xdr:row>
      <xdr:rowOff>105414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28A440CC-D53F-4338-9A0C-ABBB1570A6C9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1066EFB-DF85-46D9-94E9-8CF28784BCEB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7FC09ED-0C48-4E57-BF23-A4AE754E1E2B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16B35A91-490B-4D9E-9B53-3F4066C9831D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035AAAF7-CBB9-4418-ACDD-20563DFDE6C9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B0598FB-BD32-4BDF-BD4B-3EA23D43412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ECDACC4F-7ABA-4EB9-8E3F-6643C2DC309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38CF9798-16F5-4A2B-A3ED-12477DAF4DE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3274</xdr:row>
      <xdr:rowOff>19882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05AF8214-F073-433E-8AE3-01667D4365C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A0E76FF-C2C7-411F-B2CB-B3D44E42F1C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B4BD03D-DCAC-4389-BF14-2958AC542D8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C399FC6A-8720-4B51-92C8-A5D0796F748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31A1D3E6-DC38-459F-9EA0-07C0BD156FD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E4180733-E6A1-413B-86D0-0B0DB01D22E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721BF45B-0C56-4727-84A7-4EE1ED6311E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397AA400-D128-4CC8-899E-2CA084530DC9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2853</xdr:row>
      <xdr:rowOff>0</xdr:rowOff>
    </xdr:from>
    <xdr:to>
      <xdr:col>2</xdr:col>
      <xdr:colOff>304800</xdr:colOff>
      <xdr:row>3272</xdr:row>
      <xdr:rowOff>135430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03E2EA26-97A6-4A9F-A0F2-B7BFC5386D9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2655648D-7092-4C93-BCB1-F524E895CB8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D7A40F8E-9593-4803-96FD-6945826CFE2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6" name="AutoShape 3">
          <a:extLst>
            <a:ext uri="{FF2B5EF4-FFF2-40B4-BE49-F238E27FC236}">
              <a16:creationId xmlns:a16="http://schemas.microsoft.com/office/drawing/2014/main" id="{E0698EA7-0B96-4D96-9ED8-74A2B2FF118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764ACA7E-1D1C-4E83-823A-7182B8029D5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F88F670-1293-4B06-B909-ED7AF557F51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C1CAEDCD-F4CB-4AC1-AB76-BAA3E652D71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42184D7C-E956-4C7B-9554-F367AEDF9E4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2863</xdr:row>
      <xdr:rowOff>87958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C4EFAD5-02A7-4082-B965-D0C315892AB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7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36AEFA4-DD59-4672-AC73-BD178461108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3D6FE449-605B-46BC-9811-2AF7054074F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5B8E6FA4-A56F-435B-AC2F-9D04EBBCB1F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2279814F-6843-43ED-A48E-003B1BABDE3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45B6F2C-34BB-48C8-8036-0EEFD761B94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41A99BE9-D8D1-412E-80C3-286F5C1CB81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7D9241B2-334F-488F-BDB5-EDF35FC31CA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2855</xdr:row>
      <xdr:rowOff>0</xdr:rowOff>
    </xdr:from>
    <xdr:to>
      <xdr:col>4</xdr:col>
      <xdr:colOff>304800</xdr:colOff>
      <xdr:row>2861</xdr:row>
      <xdr:rowOff>105414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EA363611-524D-4F22-B9FD-FB8F2BCD969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877500"/>
          <a:ext cx="304800" cy="1362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FCBDA84-79EB-4F16-B728-92DEE7C2AA0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61338791-38F2-4D27-80A0-989DE6DF02A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47E02074-319D-4296-9396-C39991BA3CA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EF7685D5-86CE-4A38-AFD8-781EF4F32B6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4F00700-62AC-4D2A-BE17-F21B3587835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B0FEEB55-9E6A-449C-A38A-28F83C60571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6" name="AutoShape 3">
          <a:extLst>
            <a:ext uri="{FF2B5EF4-FFF2-40B4-BE49-F238E27FC236}">
              <a16:creationId xmlns:a16="http://schemas.microsoft.com/office/drawing/2014/main" id="{758A291B-1BDE-4EE4-9233-E61DA7FEA9F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3274</xdr:row>
      <xdr:rowOff>19882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29BC4850-405C-4F79-8242-6D742D06FE5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75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2853</xdr:row>
      <xdr:rowOff>0</xdr:rowOff>
    </xdr:from>
    <xdr:to>
      <xdr:col>4</xdr:col>
      <xdr:colOff>304800</xdr:colOff>
      <xdr:row>3272</xdr:row>
      <xdr:rowOff>135430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986A8A33-4DD6-49CE-B68A-E3268E970D7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5434965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228600</xdr:colOff>
      <xdr:row>2853</xdr:row>
      <xdr:rowOff>45720</xdr:rowOff>
    </xdr:from>
    <xdr:to>
      <xdr:col>6</xdr:col>
      <xdr:colOff>533400</xdr:colOff>
      <xdr:row>3272</xdr:row>
      <xdr:rowOff>181150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DB9A7520-EB85-43D1-928F-AE2B8354352D}"/>
            </a:ext>
          </a:extLst>
        </xdr:cNvPr>
        <xdr:cNvSpPr>
          <a:spLocks noChangeAspect="1" noChangeArrowheads="1"/>
        </xdr:cNvSpPr>
      </xdr:nvSpPr>
      <xdr:spPr bwMode="auto">
        <a:xfrm>
          <a:off x="6477000" y="54354222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160020</xdr:colOff>
      <xdr:row>2862</xdr:row>
      <xdr:rowOff>152400</xdr:rowOff>
    </xdr:from>
    <xdr:to>
      <xdr:col>6</xdr:col>
      <xdr:colOff>464820</xdr:colOff>
      <xdr:row>3282</xdr:row>
      <xdr:rowOff>125905</xdr:rowOff>
    </xdr:to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0F90977B-FB76-42F1-86B7-A59C9E7C86D8}"/>
            </a:ext>
          </a:extLst>
        </xdr:cNvPr>
        <xdr:cNvSpPr>
          <a:spLocks noChangeAspect="1" noChangeArrowheads="1"/>
        </xdr:cNvSpPr>
      </xdr:nvSpPr>
      <xdr:spPr bwMode="auto">
        <a:xfrm>
          <a:off x="6408420" y="545363400"/>
          <a:ext cx="304800" cy="87460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218C8BC8-989E-428D-8244-8F7F583D1A9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B9CDB5B7-0DAC-4F36-B0B7-8CB6CACF2144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3" name="AutoShape 3">
          <a:extLst>
            <a:ext uri="{FF2B5EF4-FFF2-40B4-BE49-F238E27FC236}">
              <a16:creationId xmlns:a16="http://schemas.microsoft.com/office/drawing/2014/main" id="{86EB6E22-292B-400E-90E2-37C15440105D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E498B374-7653-437A-814C-35C29463EB3F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28180210-9B54-44BD-9800-68F6D60149BF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7F60A4BC-5BD1-4B74-B90D-3A5495B9D73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7" name="AutoShape 3">
          <a:extLst>
            <a:ext uri="{FF2B5EF4-FFF2-40B4-BE49-F238E27FC236}">
              <a16:creationId xmlns:a16="http://schemas.microsoft.com/office/drawing/2014/main" id="{82A586BA-3954-4DE8-B2DC-C409F89E94F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748EE80E-8F83-4890-A600-F9EA4C408F0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9ACE2CD2-6C9D-491C-91BA-D7FE39D5738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1D02244B-4A6D-4C48-81A1-DF2F8D54882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1" name="AutoShape 3">
          <a:extLst>
            <a:ext uri="{FF2B5EF4-FFF2-40B4-BE49-F238E27FC236}">
              <a16:creationId xmlns:a16="http://schemas.microsoft.com/office/drawing/2014/main" id="{0791674A-785F-4A04-9DD7-63FB97B8FF3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322F064E-49DE-41CE-A89E-6EEE889F284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DFF611AE-C7F5-4142-B530-522CF2E42DB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E1A6C1D0-E7C6-4846-9C6C-950B9CB7506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5" name="AutoShape 3">
          <a:extLst>
            <a:ext uri="{FF2B5EF4-FFF2-40B4-BE49-F238E27FC236}">
              <a16:creationId xmlns:a16="http://schemas.microsoft.com/office/drawing/2014/main" id="{42D54025-D9AA-43FB-88AD-BBBFAE7C9A5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BA5F4B4C-AD88-438E-97EA-DC711CA80DB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5D8B367-9B42-4A11-98CF-68D6590890F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78" name="AutoShape 2">
          <a:extLst>
            <a:ext uri="{FF2B5EF4-FFF2-40B4-BE49-F238E27FC236}">
              <a16:creationId xmlns:a16="http://schemas.microsoft.com/office/drawing/2014/main" id="{047DF6AB-592E-4444-87EB-37F5F1B1AF9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79" name="AutoShape 3">
          <a:extLst>
            <a:ext uri="{FF2B5EF4-FFF2-40B4-BE49-F238E27FC236}">
              <a16:creationId xmlns:a16="http://schemas.microsoft.com/office/drawing/2014/main" id="{01CFE2FB-435F-405D-83CC-832B5CFBDD8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46DDF848-6F86-4712-8A29-1270135AB5C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45E2B18D-45E2-4713-8F9A-19635E23F26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4739305E-4366-42CF-9DF6-BD7F7C45E40B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83" name="AutoShape 3">
          <a:extLst>
            <a:ext uri="{FF2B5EF4-FFF2-40B4-BE49-F238E27FC236}">
              <a16:creationId xmlns:a16="http://schemas.microsoft.com/office/drawing/2014/main" id="{DFEA5B81-14B5-4799-8645-5C89BF09B6E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84" name="AutoShape 4">
          <a:extLst>
            <a:ext uri="{FF2B5EF4-FFF2-40B4-BE49-F238E27FC236}">
              <a16:creationId xmlns:a16="http://schemas.microsoft.com/office/drawing/2014/main" id="{A8278856-AE2F-44F8-B0F5-24E9A6AB5C2F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376528F-9DDB-4950-8BFF-0719D57D39C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BE935F29-F12F-408D-9B96-DC4C541AAEB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87" name="AutoShape 3">
          <a:extLst>
            <a:ext uri="{FF2B5EF4-FFF2-40B4-BE49-F238E27FC236}">
              <a16:creationId xmlns:a16="http://schemas.microsoft.com/office/drawing/2014/main" id="{48E7D6F4-E514-4E15-B2FB-E9F50471EDDD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88" name="AutoShape 4">
          <a:extLst>
            <a:ext uri="{FF2B5EF4-FFF2-40B4-BE49-F238E27FC236}">
              <a16:creationId xmlns:a16="http://schemas.microsoft.com/office/drawing/2014/main" id="{CAC92C3C-7A1E-4DFF-8DFE-43C8B1288784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B032EDA-10E2-42B6-A6B4-980A989A29A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25D2DB0D-657D-495E-A917-2FD0BC22210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682BE3DE-851C-461E-8685-AE4C786546B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92" name="AutoShape 4">
          <a:extLst>
            <a:ext uri="{FF2B5EF4-FFF2-40B4-BE49-F238E27FC236}">
              <a16:creationId xmlns:a16="http://schemas.microsoft.com/office/drawing/2014/main" id="{F7498B0F-0EFB-47F4-BC19-DE8D9966216B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60AD5D2D-E189-471C-89C9-743F8B5D762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0497C35A-1904-4444-90B4-F4A7D250738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5" name="AutoShape 3">
          <a:extLst>
            <a:ext uri="{FF2B5EF4-FFF2-40B4-BE49-F238E27FC236}">
              <a16:creationId xmlns:a16="http://schemas.microsoft.com/office/drawing/2014/main" id="{3290C4F4-B681-48B7-B1EA-05BF0960C4F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2D520D3D-5D57-4BC0-8D63-6E06FA4DC63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CA4FABA-8358-4000-AE47-0F77314F5D7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8" name="AutoShape 2">
          <a:extLst>
            <a:ext uri="{FF2B5EF4-FFF2-40B4-BE49-F238E27FC236}">
              <a16:creationId xmlns:a16="http://schemas.microsoft.com/office/drawing/2014/main" id="{5F4DC5A8-7410-41BA-AA8F-92F34EA3AEC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99" name="AutoShape 3">
          <a:extLst>
            <a:ext uri="{FF2B5EF4-FFF2-40B4-BE49-F238E27FC236}">
              <a16:creationId xmlns:a16="http://schemas.microsoft.com/office/drawing/2014/main" id="{D7A18B92-11B2-4293-AA58-B8747AE59B5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00" name="AutoShape 4">
          <a:extLst>
            <a:ext uri="{FF2B5EF4-FFF2-40B4-BE49-F238E27FC236}">
              <a16:creationId xmlns:a16="http://schemas.microsoft.com/office/drawing/2014/main" id="{7A2842AC-25E8-47F0-92F2-388978983EC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FA86953B-841B-4E81-916C-764388EF3E6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AC209396-3128-422E-940D-E07C6ADBB68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3" name="AutoShape 3">
          <a:extLst>
            <a:ext uri="{FF2B5EF4-FFF2-40B4-BE49-F238E27FC236}">
              <a16:creationId xmlns:a16="http://schemas.microsoft.com/office/drawing/2014/main" id="{01180902-CD15-4F39-9223-BFC124219DD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4" name="AutoShape 4">
          <a:extLst>
            <a:ext uri="{FF2B5EF4-FFF2-40B4-BE49-F238E27FC236}">
              <a16:creationId xmlns:a16="http://schemas.microsoft.com/office/drawing/2014/main" id="{72480286-D864-44A3-885A-CB8A3B5BC2E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3772B135-9D9B-44D5-B3D8-4F263BE87BB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C6917ADC-A47B-466E-96BC-A712AE43C60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7" name="AutoShape 3">
          <a:extLst>
            <a:ext uri="{FF2B5EF4-FFF2-40B4-BE49-F238E27FC236}">
              <a16:creationId xmlns:a16="http://schemas.microsoft.com/office/drawing/2014/main" id="{910A9EC2-EA35-4120-BB9B-F029D1387FE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08" name="AutoShape 4">
          <a:extLst>
            <a:ext uri="{FF2B5EF4-FFF2-40B4-BE49-F238E27FC236}">
              <a16:creationId xmlns:a16="http://schemas.microsoft.com/office/drawing/2014/main" id="{91FB4817-BA1D-4B0B-902F-67075A9F02A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E0BC2BD9-3B8C-48E7-9E94-9551E1B6DAF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BE90143F-F15C-48A0-9ACA-61C43E3AB19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1" name="AutoShape 3">
          <a:extLst>
            <a:ext uri="{FF2B5EF4-FFF2-40B4-BE49-F238E27FC236}">
              <a16:creationId xmlns:a16="http://schemas.microsoft.com/office/drawing/2014/main" id="{678A3997-BA6D-4A0B-B948-7266BF93C78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2" name="AutoShape 4">
          <a:extLst>
            <a:ext uri="{FF2B5EF4-FFF2-40B4-BE49-F238E27FC236}">
              <a16:creationId xmlns:a16="http://schemas.microsoft.com/office/drawing/2014/main" id="{E6181589-D535-4DD2-B452-8CB31F820AB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1AFF71B2-058E-403D-ADD6-0115506F9D7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4" name="AutoShape 2">
          <a:extLst>
            <a:ext uri="{FF2B5EF4-FFF2-40B4-BE49-F238E27FC236}">
              <a16:creationId xmlns:a16="http://schemas.microsoft.com/office/drawing/2014/main" id="{04D58C58-4C19-429B-9B80-585F8A72F9B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5" name="AutoShape 3">
          <a:extLst>
            <a:ext uri="{FF2B5EF4-FFF2-40B4-BE49-F238E27FC236}">
              <a16:creationId xmlns:a16="http://schemas.microsoft.com/office/drawing/2014/main" id="{BFD8EDD0-C985-42EC-B872-C44EF5094C3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16" name="AutoShape 4">
          <a:extLst>
            <a:ext uri="{FF2B5EF4-FFF2-40B4-BE49-F238E27FC236}">
              <a16:creationId xmlns:a16="http://schemas.microsoft.com/office/drawing/2014/main" id="{1E30A0DC-B875-407B-B26D-626393B9BB1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34ADF7D4-BBF4-4781-86DB-5B92F024682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18" name="AutoShape 2">
          <a:extLst>
            <a:ext uri="{FF2B5EF4-FFF2-40B4-BE49-F238E27FC236}">
              <a16:creationId xmlns:a16="http://schemas.microsoft.com/office/drawing/2014/main" id="{1ADCC9CE-A813-4189-A9ED-1A898CE65CF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19" name="AutoShape 3">
          <a:extLst>
            <a:ext uri="{FF2B5EF4-FFF2-40B4-BE49-F238E27FC236}">
              <a16:creationId xmlns:a16="http://schemas.microsoft.com/office/drawing/2014/main" id="{A3B3CC50-6401-4DBD-9E45-35674054D04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20" name="AutoShape 4">
          <a:extLst>
            <a:ext uri="{FF2B5EF4-FFF2-40B4-BE49-F238E27FC236}">
              <a16:creationId xmlns:a16="http://schemas.microsoft.com/office/drawing/2014/main" id="{AF7C2E41-E28D-43EF-91E3-BA96FE1E82D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9CEBD336-AC8D-47D7-A8E6-E6C69DD8259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42B417BA-D135-4665-82B0-93FE69DD89C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23" name="AutoShape 3">
          <a:extLst>
            <a:ext uri="{FF2B5EF4-FFF2-40B4-BE49-F238E27FC236}">
              <a16:creationId xmlns:a16="http://schemas.microsoft.com/office/drawing/2014/main" id="{19975020-723D-465A-8D3D-98D15528078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614CBA60-6B73-4DEA-BC42-5D39A942176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E33F6308-B96F-4279-995B-33B13CEF3ED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26" name="AutoShape 2">
          <a:extLst>
            <a:ext uri="{FF2B5EF4-FFF2-40B4-BE49-F238E27FC236}">
              <a16:creationId xmlns:a16="http://schemas.microsoft.com/office/drawing/2014/main" id="{68EF6D73-5D4E-4921-B1A2-41B0FF8D2A7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27" name="AutoShape 3">
          <a:extLst>
            <a:ext uri="{FF2B5EF4-FFF2-40B4-BE49-F238E27FC236}">
              <a16:creationId xmlns:a16="http://schemas.microsoft.com/office/drawing/2014/main" id="{6DF593E9-C54B-4438-B5BB-BD831C0FF6E9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28" name="AutoShape 4">
          <a:extLst>
            <a:ext uri="{FF2B5EF4-FFF2-40B4-BE49-F238E27FC236}">
              <a16:creationId xmlns:a16="http://schemas.microsoft.com/office/drawing/2014/main" id="{4AA8796F-082C-4BFC-9980-C7F2329A7B2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A5F814E5-797C-4A03-AEEC-A1F33449B83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2D4EA9C2-0297-48B6-AA0A-123E612DD95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31" name="AutoShape 3">
          <a:extLst>
            <a:ext uri="{FF2B5EF4-FFF2-40B4-BE49-F238E27FC236}">
              <a16:creationId xmlns:a16="http://schemas.microsoft.com/office/drawing/2014/main" id="{7ECEFECF-D93D-4F4F-9BCA-798F29AA810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32" name="AutoShape 4">
          <a:extLst>
            <a:ext uri="{FF2B5EF4-FFF2-40B4-BE49-F238E27FC236}">
              <a16:creationId xmlns:a16="http://schemas.microsoft.com/office/drawing/2014/main" id="{657321E5-20AE-49CA-9253-927D3C08020B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CC99BA5B-647A-4920-88E6-541BD9EE3A0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FA5E511D-8399-464C-B80C-095873E6848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5" name="AutoShape 3">
          <a:extLst>
            <a:ext uri="{FF2B5EF4-FFF2-40B4-BE49-F238E27FC236}">
              <a16:creationId xmlns:a16="http://schemas.microsoft.com/office/drawing/2014/main" id="{813BB9AE-7345-42B8-B389-F251CBE9E6E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6" name="AutoShape 4">
          <a:extLst>
            <a:ext uri="{FF2B5EF4-FFF2-40B4-BE49-F238E27FC236}">
              <a16:creationId xmlns:a16="http://schemas.microsoft.com/office/drawing/2014/main" id="{374957A0-607E-4A16-B6BB-B5F4013775E7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2A92FCB-4175-4BBC-904C-E97C64B5685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B5CADEAC-866B-4BA6-B58D-3BE91E5CE29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39" name="AutoShape 3">
          <a:extLst>
            <a:ext uri="{FF2B5EF4-FFF2-40B4-BE49-F238E27FC236}">
              <a16:creationId xmlns:a16="http://schemas.microsoft.com/office/drawing/2014/main" id="{A08E10C5-BC8D-439D-80C8-DF2BF986286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84AAE9E4-B3F3-4595-9752-40A5A101DC1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B870B1E0-B1D4-45A0-8C0E-D3202C99DEC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2" name="AutoShape 2">
          <a:extLst>
            <a:ext uri="{FF2B5EF4-FFF2-40B4-BE49-F238E27FC236}">
              <a16:creationId xmlns:a16="http://schemas.microsoft.com/office/drawing/2014/main" id="{A81C5BFA-371A-443B-B99D-04B0C5F38B5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3" name="AutoShape 3">
          <a:extLst>
            <a:ext uri="{FF2B5EF4-FFF2-40B4-BE49-F238E27FC236}">
              <a16:creationId xmlns:a16="http://schemas.microsoft.com/office/drawing/2014/main" id="{ED93403B-9FA2-4E44-BB96-A037243785B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4" name="AutoShape 4">
          <a:extLst>
            <a:ext uri="{FF2B5EF4-FFF2-40B4-BE49-F238E27FC236}">
              <a16:creationId xmlns:a16="http://schemas.microsoft.com/office/drawing/2014/main" id="{67A6A49D-9922-471C-937D-4EF2E4E591A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59B5261E-9009-495A-94E4-CC8D51361AD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E27EDACB-76B7-41DF-AFA9-FE3BADCF72C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7" name="AutoShape 3">
          <a:extLst>
            <a:ext uri="{FF2B5EF4-FFF2-40B4-BE49-F238E27FC236}">
              <a16:creationId xmlns:a16="http://schemas.microsoft.com/office/drawing/2014/main" id="{4AA9040C-147B-4D58-A917-5B096888D58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148" name="AutoShape 4">
          <a:extLst>
            <a:ext uri="{FF2B5EF4-FFF2-40B4-BE49-F238E27FC236}">
              <a16:creationId xmlns:a16="http://schemas.microsoft.com/office/drawing/2014/main" id="{D86731FC-BB9E-4427-A818-60DD1510DF5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607AD37F-8AB0-4B96-B593-14D8A95543B4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8B49649F-F0E8-4FDF-A33B-720162CECC7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1" name="AutoShape 3">
          <a:extLst>
            <a:ext uri="{FF2B5EF4-FFF2-40B4-BE49-F238E27FC236}">
              <a16:creationId xmlns:a16="http://schemas.microsoft.com/office/drawing/2014/main" id="{4FA24407-06ED-4FDB-A758-A945DF76F6F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29173CFF-C578-44E2-9FA0-02174CD798A4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D9FE663E-3B59-4D19-B08E-ECEAA3091B7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4" name="AutoShape 2">
          <a:extLst>
            <a:ext uri="{FF2B5EF4-FFF2-40B4-BE49-F238E27FC236}">
              <a16:creationId xmlns:a16="http://schemas.microsoft.com/office/drawing/2014/main" id="{AF2B3CE9-FB8D-4ABF-B704-C59D406F64E8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5" name="AutoShape 3">
          <a:extLst>
            <a:ext uri="{FF2B5EF4-FFF2-40B4-BE49-F238E27FC236}">
              <a16:creationId xmlns:a16="http://schemas.microsoft.com/office/drawing/2014/main" id="{360990DA-A9AE-4B28-9D54-8ED0C31AFA6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156" name="AutoShape 4">
          <a:extLst>
            <a:ext uri="{FF2B5EF4-FFF2-40B4-BE49-F238E27FC236}">
              <a16:creationId xmlns:a16="http://schemas.microsoft.com/office/drawing/2014/main" id="{824FBC10-BA61-4D11-8DEE-99B12EBCA21E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85CCE343-CE3F-4994-A358-08807AB3BC3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58" name="AutoShape 2">
          <a:extLst>
            <a:ext uri="{FF2B5EF4-FFF2-40B4-BE49-F238E27FC236}">
              <a16:creationId xmlns:a16="http://schemas.microsoft.com/office/drawing/2014/main" id="{E85039BE-E63E-4AF0-A8EC-47D4CF5BCEE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59" name="AutoShape 3">
          <a:extLst>
            <a:ext uri="{FF2B5EF4-FFF2-40B4-BE49-F238E27FC236}">
              <a16:creationId xmlns:a16="http://schemas.microsoft.com/office/drawing/2014/main" id="{BBF33E3E-8B50-45AC-9CDC-FD8084E88E8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60" name="AutoShape 4">
          <a:extLst>
            <a:ext uri="{FF2B5EF4-FFF2-40B4-BE49-F238E27FC236}">
              <a16:creationId xmlns:a16="http://schemas.microsoft.com/office/drawing/2014/main" id="{44CCCAD5-DCBB-4833-B57C-BB025BD8AB3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E2B34D3E-3667-4DF7-9E3C-BD46EE045B6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62" name="AutoShape 2">
          <a:extLst>
            <a:ext uri="{FF2B5EF4-FFF2-40B4-BE49-F238E27FC236}">
              <a16:creationId xmlns:a16="http://schemas.microsoft.com/office/drawing/2014/main" id="{CE7C6E72-ED86-49B1-90C0-D2D64564D13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63" name="AutoShape 3">
          <a:extLst>
            <a:ext uri="{FF2B5EF4-FFF2-40B4-BE49-F238E27FC236}">
              <a16:creationId xmlns:a16="http://schemas.microsoft.com/office/drawing/2014/main" id="{567987D9-C194-4A2F-B633-129D831313C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164" name="AutoShape 4">
          <a:extLst>
            <a:ext uri="{FF2B5EF4-FFF2-40B4-BE49-F238E27FC236}">
              <a16:creationId xmlns:a16="http://schemas.microsoft.com/office/drawing/2014/main" id="{D29BAE6E-6F56-4934-AA19-5E48DA7A839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F3EBD30-E220-41F6-BF2F-1C71800F681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FAB425EA-CD6F-448E-9759-EB5139675A4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67" name="AutoShape 3">
          <a:extLst>
            <a:ext uri="{FF2B5EF4-FFF2-40B4-BE49-F238E27FC236}">
              <a16:creationId xmlns:a16="http://schemas.microsoft.com/office/drawing/2014/main" id="{E3087768-C6EB-4811-A8DF-39C44F64C76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68" name="AutoShape 4">
          <a:extLst>
            <a:ext uri="{FF2B5EF4-FFF2-40B4-BE49-F238E27FC236}">
              <a16:creationId xmlns:a16="http://schemas.microsoft.com/office/drawing/2014/main" id="{5A958F40-B1E7-4F3D-88E0-AEDAEA435A3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7C25E308-AF5B-481B-A921-70C0D93FCE8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70" name="AutoShape 2">
          <a:extLst>
            <a:ext uri="{FF2B5EF4-FFF2-40B4-BE49-F238E27FC236}">
              <a16:creationId xmlns:a16="http://schemas.microsoft.com/office/drawing/2014/main" id="{09CD7F32-458D-455B-92A2-6396D94E7EE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71" name="AutoShape 3">
          <a:extLst>
            <a:ext uri="{FF2B5EF4-FFF2-40B4-BE49-F238E27FC236}">
              <a16:creationId xmlns:a16="http://schemas.microsoft.com/office/drawing/2014/main" id="{6B328DF1-7D68-46B7-9F9C-C74242ACCE4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172" name="AutoShape 4">
          <a:extLst>
            <a:ext uri="{FF2B5EF4-FFF2-40B4-BE49-F238E27FC236}">
              <a16:creationId xmlns:a16="http://schemas.microsoft.com/office/drawing/2014/main" id="{794AA8C0-D2CD-4695-B61D-D768E66EF64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FF18A99B-68D7-4DA2-B56D-C04C2604127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4" name="AutoShape 2">
          <a:extLst>
            <a:ext uri="{FF2B5EF4-FFF2-40B4-BE49-F238E27FC236}">
              <a16:creationId xmlns:a16="http://schemas.microsoft.com/office/drawing/2014/main" id="{B8520F7A-11F0-475A-987B-0518B03E269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5" name="AutoShape 3">
          <a:extLst>
            <a:ext uri="{FF2B5EF4-FFF2-40B4-BE49-F238E27FC236}">
              <a16:creationId xmlns:a16="http://schemas.microsoft.com/office/drawing/2014/main" id="{11516F03-A496-4E14-94CA-CEEC9E59F16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6" name="AutoShape 4">
          <a:extLst>
            <a:ext uri="{FF2B5EF4-FFF2-40B4-BE49-F238E27FC236}">
              <a16:creationId xmlns:a16="http://schemas.microsoft.com/office/drawing/2014/main" id="{E3C098E8-61CE-4AAC-8BF7-D717BAD1842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B8702328-F279-4067-B46C-6194F00ED76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8" name="AutoShape 2">
          <a:extLst>
            <a:ext uri="{FF2B5EF4-FFF2-40B4-BE49-F238E27FC236}">
              <a16:creationId xmlns:a16="http://schemas.microsoft.com/office/drawing/2014/main" id="{E1D2C856-B903-40B6-B0D7-1C6D385A015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79" name="AutoShape 3">
          <a:extLst>
            <a:ext uri="{FF2B5EF4-FFF2-40B4-BE49-F238E27FC236}">
              <a16:creationId xmlns:a16="http://schemas.microsoft.com/office/drawing/2014/main" id="{B5FB40AD-552E-420D-86C5-5A289BB4280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5841C7E4-5210-468B-B143-5C6F5027A86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CF8DEFA0-F1D8-41A8-B21A-CFF32206D2F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39C39DDA-2FAC-4BE4-8D75-58F31CED10A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3" name="AutoShape 3">
          <a:extLst>
            <a:ext uri="{FF2B5EF4-FFF2-40B4-BE49-F238E27FC236}">
              <a16:creationId xmlns:a16="http://schemas.microsoft.com/office/drawing/2014/main" id="{B152C43C-77C8-46D8-89C4-BECCE0B5286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4" name="AutoShape 4">
          <a:extLst>
            <a:ext uri="{FF2B5EF4-FFF2-40B4-BE49-F238E27FC236}">
              <a16:creationId xmlns:a16="http://schemas.microsoft.com/office/drawing/2014/main" id="{78200B59-3E97-46A0-80A1-EB422450F90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10D1E8EC-CF86-42C8-A59A-843E48D44FD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6" name="AutoShape 2">
          <a:extLst>
            <a:ext uri="{FF2B5EF4-FFF2-40B4-BE49-F238E27FC236}">
              <a16:creationId xmlns:a16="http://schemas.microsoft.com/office/drawing/2014/main" id="{46653441-345C-4746-991C-80681D5ABE3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7" name="AutoShape 3">
          <a:extLst>
            <a:ext uri="{FF2B5EF4-FFF2-40B4-BE49-F238E27FC236}">
              <a16:creationId xmlns:a16="http://schemas.microsoft.com/office/drawing/2014/main" id="{45D0F3D0-1D88-4519-AAB3-94633D076F9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188" name="AutoShape 4">
          <a:extLst>
            <a:ext uri="{FF2B5EF4-FFF2-40B4-BE49-F238E27FC236}">
              <a16:creationId xmlns:a16="http://schemas.microsoft.com/office/drawing/2014/main" id="{C7D88C59-B84B-47AA-A93D-8FF75734DA5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AEC5B897-815D-4BE1-84AA-4759079963C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0" name="AutoShape 2">
          <a:extLst>
            <a:ext uri="{FF2B5EF4-FFF2-40B4-BE49-F238E27FC236}">
              <a16:creationId xmlns:a16="http://schemas.microsoft.com/office/drawing/2014/main" id="{19D45622-A4C7-4E7C-9BA6-FD57D1D9386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1" name="AutoShape 3">
          <a:extLst>
            <a:ext uri="{FF2B5EF4-FFF2-40B4-BE49-F238E27FC236}">
              <a16:creationId xmlns:a16="http://schemas.microsoft.com/office/drawing/2014/main" id="{FD603886-4A51-44EA-AEE9-0A068FD6BF9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2" name="AutoShape 4">
          <a:extLst>
            <a:ext uri="{FF2B5EF4-FFF2-40B4-BE49-F238E27FC236}">
              <a16:creationId xmlns:a16="http://schemas.microsoft.com/office/drawing/2014/main" id="{373B2245-69C2-408B-9224-F6BD4B73FA0D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837255A-299E-4E72-B9CE-9D3F7043454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4AC7E03B-18DD-4301-AE95-485453EAA74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5" name="AutoShape 3">
          <a:extLst>
            <a:ext uri="{FF2B5EF4-FFF2-40B4-BE49-F238E27FC236}">
              <a16:creationId xmlns:a16="http://schemas.microsoft.com/office/drawing/2014/main" id="{A67C0EE1-7B7D-442A-BB74-BA0CE44ECE0D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1777</xdr:row>
      <xdr:rowOff>173683</xdr:rowOff>
    </xdr:to>
    <xdr:sp macro="" textlink="">
      <xdr:nvSpPr>
        <xdr:cNvPr id="196" name="AutoShape 4">
          <a:extLst>
            <a:ext uri="{FF2B5EF4-FFF2-40B4-BE49-F238E27FC236}">
              <a16:creationId xmlns:a16="http://schemas.microsoft.com/office/drawing/2014/main" id="{2668BC2F-8145-4376-9F95-E362006090F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40F87A23-BA41-4E81-B7EB-EBE39A94FA0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98" name="AutoShape 2">
          <a:extLst>
            <a:ext uri="{FF2B5EF4-FFF2-40B4-BE49-F238E27FC236}">
              <a16:creationId xmlns:a16="http://schemas.microsoft.com/office/drawing/2014/main" id="{D5B27781-8226-42D0-83D0-D5FF97AE0F8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199" name="AutoShape 3">
          <a:extLst>
            <a:ext uri="{FF2B5EF4-FFF2-40B4-BE49-F238E27FC236}">
              <a16:creationId xmlns:a16="http://schemas.microsoft.com/office/drawing/2014/main" id="{A3C770C0-3609-4ED1-B6CE-15C348BD8A7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200" name="AutoShape 4">
          <a:extLst>
            <a:ext uri="{FF2B5EF4-FFF2-40B4-BE49-F238E27FC236}">
              <a16:creationId xmlns:a16="http://schemas.microsoft.com/office/drawing/2014/main" id="{F9BBE183-BB36-454E-B138-17FD202203A5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59E52FA3-2163-4F87-8D89-4C9A1C0B44E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3BFE9839-052E-43F7-B7BD-245A819B9E1A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203" name="AutoShape 3">
          <a:extLst>
            <a:ext uri="{FF2B5EF4-FFF2-40B4-BE49-F238E27FC236}">
              <a16:creationId xmlns:a16="http://schemas.microsoft.com/office/drawing/2014/main" id="{51960C78-309D-4025-9EF5-F5C3951CF39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1768</xdr:row>
      <xdr:rowOff>0</xdr:rowOff>
    </xdr:from>
    <xdr:to>
      <xdr:col>2</xdr:col>
      <xdr:colOff>304800</xdr:colOff>
      <xdr:row>1775</xdr:row>
      <xdr:rowOff>119701</xdr:rowOff>
    </xdr:to>
    <xdr:sp macro="" textlink="">
      <xdr:nvSpPr>
        <xdr:cNvPr id="204" name="AutoShape 4">
          <a:extLst>
            <a:ext uri="{FF2B5EF4-FFF2-40B4-BE49-F238E27FC236}">
              <a16:creationId xmlns:a16="http://schemas.microsoft.com/office/drawing/2014/main" id="{04BF5D76-5D0D-4D77-9982-A61CFE295F1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7170AB7-7718-47FD-8466-CD39D425BE71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06" name="AutoShape 2">
          <a:extLst>
            <a:ext uri="{FF2B5EF4-FFF2-40B4-BE49-F238E27FC236}">
              <a16:creationId xmlns:a16="http://schemas.microsoft.com/office/drawing/2014/main" id="{AAD12D7A-34C0-48C4-A768-FCA8DC07F02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07" name="AutoShape 3">
          <a:extLst>
            <a:ext uri="{FF2B5EF4-FFF2-40B4-BE49-F238E27FC236}">
              <a16:creationId xmlns:a16="http://schemas.microsoft.com/office/drawing/2014/main" id="{F6E7ABB2-E9F8-4E2B-AFF2-9A99390B3C9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80AABB3E-8F76-4E03-8A59-4827FEAAE52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B6EEE6B4-C799-464F-8CCB-8123FB45F019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10" name="AutoShape 2">
          <a:extLst>
            <a:ext uri="{FF2B5EF4-FFF2-40B4-BE49-F238E27FC236}">
              <a16:creationId xmlns:a16="http://schemas.microsoft.com/office/drawing/2014/main" id="{54D5392A-8BD4-4D3D-80E9-643D7684ACC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11" name="AutoShape 3">
          <a:extLst>
            <a:ext uri="{FF2B5EF4-FFF2-40B4-BE49-F238E27FC236}">
              <a16:creationId xmlns:a16="http://schemas.microsoft.com/office/drawing/2014/main" id="{371CEC05-C997-4577-9144-E7B182F24DF0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2246</xdr:row>
      <xdr:rowOff>162757</xdr:rowOff>
    </xdr:to>
    <xdr:sp macro="" textlink="">
      <xdr:nvSpPr>
        <xdr:cNvPr id="212" name="AutoShape 4">
          <a:extLst>
            <a:ext uri="{FF2B5EF4-FFF2-40B4-BE49-F238E27FC236}">
              <a16:creationId xmlns:a16="http://schemas.microsoft.com/office/drawing/2014/main" id="{5E0273CB-5638-4B94-A4D8-D30FCE125ED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C859BFC-000D-47DC-AF2E-F084A2EFBCD3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4" name="AutoShape 2">
          <a:extLst>
            <a:ext uri="{FF2B5EF4-FFF2-40B4-BE49-F238E27FC236}">
              <a16:creationId xmlns:a16="http://schemas.microsoft.com/office/drawing/2014/main" id="{E217B1DC-8469-41DA-A4AB-4C1F9F69BA4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5" name="AutoShape 3">
          <a:extLst>
            <a:ext uri="{FF2B5EF4-FFF2-40B4-BE49-F238E27FC236}">
              <a16:creationId xmlns:a16="http://schemas.microsoft.com/office/drawing/2014/main" id="{87746106-744D-4274-9007-5D2C12BB26E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6" name="AutoShape 4">
          <a:extLst>
            <a:ext uri="{FF2B5EF4-FFF2-40B4-BE49-F238E27FC236}">
              <a16:creationId xmlns:a16="http://schemas.microsoft.com/office/drawing/2014/main" id="{549BAE21-E214-4992-B1ED-94C1DA65662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92BE2B1-58C3-4F2C-93A6-C6FF6DAA8776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8" name="AutoShape 2">
          <a:extLst>
            <a:ext uri="{FF2B5EF4-FFF2-40B4-BE49-F238E27FC236}">
              <a16:creationId xmlns:a16="http://schemas.microsoft.com/office/drawing/2014/main" id="{05FEAB40-EBC3-413C-B2C1-8ED6AEE4FF4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19" name="AutoShape 3">
          <a:extLst>
            <a:ext uri="{FF2B5EF4-FFF2-40B4-BE49-F238E27FC236}">
              <a16:creationId xmlns:a16="http://schemas.microsoft.com/office/drawing/2014/main" id="{D0339B98-B611-423F-B7A2-5AC4B6987F82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1766</xdr:row>
      <xdr:rowOff>0</xdr:rowOff>
    </xdr:from>
    <xdr:to>
      <xdr:col>2</xdr:col>
      <xdr:colOff>304800</xdr:colOff>
      <xdr:row>2245</xdr:row>
      <xdr:rowOff>49705</xdr:rowOff>
    </xdr:to>
    <xdr:sp macro="" textlink="">
      <xdr:nvSpPr>
        <xdr:cNvPr id="220" name="AutoShape 4">
          <a:extLst>
            <a:ext uri="{FF2B5EF4-FFF2-40B4-BE49-F238E27FC236}">
              <a16:creationId xmlns:a16="http://schemas.microsoft.com/office/drawing/2014/main" id="{31B13C83-31E1-46A3-ACED-985C27D286FC}"/>
            </a:ext>
          </a:extLst>
        </xdr:cNvPr>
        <xdr:cNvSpPr>
          <a:spLocks noChangeAspect="1" noChangeArrowheads="1"/>
        </xdr:cNvSpPr>
      </xdr:nvSpPr>
      <xdr:spPr bwMode="auto">
        <a:xfrm>
          <a:off x="2005013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A15BBF7-3EA7-40ED-83FF-B7478BCFC69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2" name="AutoShape 2">
          <a:extLst>
            <a:ext uri="{FF2B5EF4-FFF2-40B4-BE49-F238E27FC236}">
              <a16:creationId xmlns:a16="http://schemas.microsoft.com/office/drawing/2014/main" id="{95CA3B97-1F71-4961-AE58-3DB2B4F2483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3" name="AutoShape 3">
          <a:extLst>
            <a:ext uri="{FF2B5EF4-FFF2-40B4-BE49-F238E27FC236}">
              <a16:creationId xmlns:a16="http://schemas.microsoft.com/office/drawing/2014/main" id="{4165CF2B-FAC3-434B-8AAF-109F5840A5E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4" name="AutoShape 4">
          <a:extLst>
            <a:ext uri="{FF2B5EF4-FFF2-40B4-BE49-F238E27FC236}">
              <a16:creationId xmlns:a16="http://schemas.microsoft.com/office/drawing/2014/main" id="{D7D2673E-DD1D-4AE6-A89C-A8E33B9095B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500F55D-2350-4372-83BE-18748BE5C49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6" name="AutoShape 2">
          <a:extLst>
            <a:ext uri="{FF2B5EF4-FFF2-40B4-BE49-F238E27FC236}">
              <a16:creationId xmlns:a16="http://schemas.microsoft.com/office/drawing/2014/main" id="{BD698C8F-6515-4346-89F0-C3A56CC1B9B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7" name="AutoShape 3">
          <a:extLst>
            <a:ext uri="{FF2B5EF4-FFF2-40B4-BE49-F238E27FC236}">
              <a16:creationId xmlns:a16="http://schemas.microsoft.com/office/drawing/2014/main" id="{8E623532-BA42-4CFF-8D2D-9BDC65EA060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1777</xdr:row>
      <xdr:rowOff>173683</xdr:rowOff>
    </xdr:to>
    <xdr:sp macro="" textlink="">
      <xdr:nvSpPr>
        <xdr:cNvPr id="228" name="AutoShape 4">
          <a:extLst>
            <a:ext uri="{FF2B5EF4-FFF2-40B4-BE49-F238E27FC236}">
              <a16:creationId xmlns:a16="http://schemas.microsoft.com/office/drawing/2014/main" id="{53ADA681-95F3-4118-BB95-CCAEA54AF43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20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6185F54-5C73-40C9-9663-8DD8102B6A2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0" name="AutoShape 2">
          <a:extLst>
            <a:ext uri="{FF2B5EF4-FFF2-40B4-BE49-F238E27FC236}">
              <a16:creationId xmlns:a16="http://schemas.microsoft.com/office/drawing/2014/main" id="{125C138C-CD70-452C-B4D0-5A58EF62FF2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1" name="AutoShape 3">
          <a:extLst>
            <a:ext uri="{FF2B5EF4-FFF2-40B4-BE49-F238E27FC236}">
              <a16:creationId xmlns:a16="http://schemas.microsoft.com/office/drawing/2014/main" id="{354D3346-B9C0-410F-AB95-223557DED7C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344187EE-32A3-4EEE-98EA-685DD62408F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450D6A96-F497-4C0E-AEA8-5A4DDA6986A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4" name="AutoShape 2">
          <a:extLst>
            <a:ext uri="{FF2B5EF4-FFF2-40B4-BE49-F238E27FC236}">
              <a16:creationId xmlns:a16="http://schemas.microsoft.com/office/drawing/2014/main" id="{8A7CBFB8-D78A-4338-BD85-6B37FD82A73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5" name="AutoShape 3">
          <a:extLst>
            <a:ext uri="{FF2B5EF4-FFF2-40B4-BE49-F238E27FC236}">
              <a16:creationId xmlns:a16="http://schemas.microsoft.com/office/drawing/2014/main" id="{81B7DC19-4A37-4CB2-A527-D0B28662BB0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1768</xdr:row>
      <xdr:rowOff>0</xdr:rowOff>
    </xdr:from>
    <xdr:to>
      <xdr:col>4</xdr:col>
      <xdr:colOff>304800</xdr:colOff>
      <xdr:row>1775</xdr:row>
      <xdr:rowOff>119701</xdr:rowOff>
    </xdr:to>
    <xdr:sp macro="" textlink="">
      <xdr:nvSpPr>
        <xdr:cNvPr id="236" name="AutoShape 4">
          <a:extLst>
            <a:ext uri="{FF2B5EF4-FFF2-40B4-BE49-F238E27FC236}">
              <a16:creationId xmlns:a16="http://schemas.microsoft.com/office/drawing/2014/main" id="{1362CE88-8DD7-4E38-A4CB-63AC2E1ABA1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804000"/>
          <a:ext cx="304800" cy="15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31020AF7-5703-4535-85C6-A6189C61895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38" name="AutoShape 2">
          <a:extLst>
            <a:ext uri="{FF2B5EF4-FFF2-40B4-BE49-F238E27FC236}">
              <a16:creationId xmlns:a16="http://schemas.microsoft.com/office/drawing/2014/main" id="{20BB7D3C-2A00-4C04-BE2F-AF1F0F313D8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39" name="AutoShape 3">
          <a:extLst>
            <a:ext uri="{FF2B5EF4-FFF2-40B4-BE49-F238E27FC236}">
              <a16:creationId xmlns:a16="http://schemas.microsoft.com/office/drawing/2014/main" id="{6F3DAC79-9AAE-4150-832F-9685B5D4B77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45BD3956-AE10-4D04-B6FC-EF7A596E828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CA60882C-F556-4FD7-A2CB-F81446DBCEB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42" name="AutoShape 2">
          <a:extLst>
            <a:ext uri="{FF2B5EF4-FFF2-40B4-BE49-F238E27FC236}">
              <a16:creationId xmlns:a16="http://schemas.microsoft.com/office/drawing/2014/main" id="{9A4EAE3F-F7C4-4435-93BF-7CA49C0218C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43" name="AutoShape 3">
          <a:extLst>
            <a:ext uri="{FF2B5EF4-FFF2-40B4-BE49-F238E27FC236}">
              <a16:creationId xmlns:a16="http://schemas.microsoft.com/office/drawing/2014/main" id="{4CF8A204-5306-4203-B8F5-D29DE6CAF33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2246</xdr:row>
      <xdr:rowOff>162757</xdr:rowOff>
    </xdr:to>
    <xdr:sp macro="" textlink="">
      <xdr:nvSpPr>
        <xdr:cNvPr id="244" name="AutoShape 4">
          <a:extLst>
            <a:ext uri="{FF2B5EF4-FFF2-40B4-BE49-F238E27FC236}">
              <a16:creationId xmlns:a16="http://schemas.microsoft.com/office/drawing/2014/main" id="{6F6E3287-8EFE-46A3-8CE2-DC6DC5024D4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918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70F9DB45-6FF3-4FE5-BAA7-0AD9F114DD6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46" name="AutoShape 2">
          <a:extLst>
            <a:ext uri="{FF2B5EF4-FFF2-40B4-BE49-F238E27FC236}">
              <a16:creationId xmlns:a16="http://schemas.microsoft.com/office/drawing/2014/main" id="{7CF64806-FE6A-416A-8D9D-479144F6D62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47" name="AutoShape 3">
          <a:extLst>
            <a:ext uri="{FF2B5EF4-FFF2-40B4-BE49-F238E27FC236}">
              <a16:creationId xmlns:a16="http://schemas.microsoft.com/office/drawing/2014/main" id="{DE4EEA08-E45A-493A-B91D-E599C17552A3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48" name="AutoShape 4">
          <a:extLst>
            <a:ext uri="{FF2B5EF4-FFF2-40B4-BE49-F238E27FC236}">
              <a16:creationId xmlns:a16="http://schemas.microsoft.com/office/drawing/2014/main" id="{6CB61D42-2657-490E-B8F5-E898C57EBD9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F9EB92B7-D355-4C77-9587-9AB19CB4753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50" name="AutoShape 2">
          <a:extLst>
            <a:ext uri="{FF2B5EF4-FFF2-40B4-BE49-F238E27FC236}">
              <a16:creationId xmlns:a16="http://schemas.microsoft.com/office/drawing/2014/main" id="{3CD6AB5C-72A0-404D-86B0-98649926BBC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0</xdr:rowOff>
    </xdr:from>
    <xdr:to>
      <xdr:col>4</xdr:col>
      <xdr:colOff>304800</xdr:colOff>
      <xdr:row>2245</xdr:row>
      <xdr:rowOff>49705</xdr:rowOff>
    </xdr:to>
    <xdr:sp macro="" textlink="">
      <xdr:nvSpPr>
        <xdr:cNvPr id="251" name="AutoShape 3">
          <a:extLst>
            <a:ext uri="{FF2B5EF4-FFF2-40B4-BE49-F238E27FC236}">
              <a16:creationId xmlns:a16="http://schemas.microsoft.com/office/drawing/2014/main" id="{BD3779E7-6A56-47F1-9EC2-5913DC4476E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23000"/>
          <a:ext cx="304800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1766</xdr:row>
      <xdr:rowOff>57150</xdr:rowOff>
    </xdr:from>
    <xdr:to>
      <xdr:col>4</xdr:col>
      <xdr:colOff>287655</xdr:colOff>
      <xdr:row>2245</xdr:row>
      <xdr:rowOff>106855</xdr:rowOff>
    </xdr:to>
    <xdr:sp macro="" textlink="">
      <xdr:nvSpPr>
        <xdr:cNvPr id="252" name="AutoShape 4">
          <a:extLst>
            <a:ext uri="{FF2B5EF4-FFF2-40B4-BE49-F238E27FC236}">
              <a16:creationId xmlns:a16="http://schemas.microsoft.com/office/drawing/2014/main" id="{BE2A458B-BDB6-4811-828C-2FECAF392BA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36480150"/>
          <a:ext cx="287655" cy="10059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0656E72B-3357-48DF-804F-91C1FB77042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4" name="AutoShape 2">
          <a:extLst>
            <a:ext uri="{FF2B5EF4-FFF2-40B4-BE49-F238E27FC236}">
              <a16:creationId xmlns:a16="http://schemas.microsoft.com/office/drawing/2014/main" id="{69ED275F-CD1E-4B92-A9E6-B62B862CBA5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5" name="AutoShape 3">
          <a:extLst>
            <a:ext uri="{FF2B5EF4-FFF2-40B4-BE49-F238E27FC236}">
              <a16:creationId xmlns:a16="http://schemas.microsoft.com/office/drawing/2014/main" id="{14BCA57A-48F0-41E2-81C7-E4AB55E2719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6" name="AutoShape 4">
          <a:extLst>
            <a:ext uri="{FF2B5EF4-FFF2-40B4-BE49-F238E27FC236}">
              <a16:creationId xmlns:a16="http://schemas.microsoft.com/office/drawing/2014/main" id="{D7FCD1A2-DB8F-4E53-BE22-DEBD9D63865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07CCCD23-B79E-466B-BA79-B7E72CC5278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8" name="AutoShape 2">
          <a:extLst>
            <a:ext uri="{FF2B5EF4-FFF2-40B4-BE49-F238E27FC236}">
              <a16:creationId xmlns:a16="http://schemas.microsoft.com/office/drawing/2014/main" id="{1698D112-2282-46B4-819C-B5B7FD40D77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59" name="AutoShape 3">
          <a:extLst>
            <a:ext uri="{FF2B5EF4-FFF2-40B4-BE49-F238E27FC236}">
              <a16:creationId xmlns:a16="http://schemas.microsoft.com/office/drawing/2014/main" id="{C568EAF6-A109-463B-8907-71C2B5B529F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EC924F07-3AF8-4302-926F-FCB00F499E9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A1E666A0-B424-44C0-BAC8-6EEE7293D64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2" name="AutoShape 2">
          <a:extLst>
            <a:ext uri="{FF2B5EF4-FFF2-40B4-BE49-F238E27FC236}">
              <a16:creationId xmlns:a16="http://schemas.microsoft.com/office/drawing/2014/main" id="{820578E0-AC5C-402A-B812-0AFC72B1D2B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3" name="AutoShape 3">
          <a:extLst>
            <a:ext uri="{FF2B5EF4-FFF2-40B4-BE49-F238E27FC236}">
              <a16:creationId xmlns:a16="http://schemas.microsoft.com/office/drawing/2014/main" id="{D0108684-C9BD-4978-AEC4-81F4327A0AB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4" name="AutoShape 4">
          <a:extLst>
            <a:ext uri="{FF2B5EF4-FFF2-40B4-BE49-F238E27FC236}">
              <a16:creationId xmlns:a16="http://schemas.microsoft.com/office/drawing/2014/main" id="{66240738-8DFC-403D-88CA-A7996E3142E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3395F752-645C-4020-B869-7D63FA7E860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6" name="AutoShape 2">
          <a:extLst>
            <a:ext uri="{FF2B5EF4-FFF2-40B4-BE49-F238E27FC236}">
              <a16:creationId xmlns:a16="http://schemas.microsoft.com/office/drawing/2014/main" id="{C3E11878-BEB4-45D6-8264-2DC6735E73B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7" name="AutoShape 3">
          <a:extLst>
            <a:ext uri="{FF2B5EF4-FFF2-40B4-BE49-F238E27FC236}">
              <a16:creationId xmlns:a16="http://schemas.microsoft.com/office/drawing/2014/main" id="{EB95AD4E-E42D-448A-BEB0-9EFE1A0AB69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68" name="AutoShape 4">
          <a:extLst>
            <a:ext uri="{FF2B5EF4-FFF2-40B4-BE49-F238E27FC236}">
              <a16:creationId xmlns:a16="http://schemas.microsoft.com/office/drawing/2014/main" id="{8914393F-5DB5-4162-9F73-0EB1CB05149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4E31449D-0E68-4C9C-9005-17BED10DF78A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0" name="AutoShape 2">
          <a:extLst>
            <a:ext uri="{FF2B5EF4-FFF2-40B4-BE49-F238E27FC236}">
              <a16:creationId xmlns:a16="http://schemas.microsoft.com/office/drawing/2014/main" id="{F2D07F21-03AA-42B4-B71A-1466B41D884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1" name="AutoShape 3">
          <a:extLst>
            <a:ext uri="{FF2B5EF4-FFF2-40B4-BE49-F238E27FC236}">
              <a16:creationId xmlns:a16="http://schemas.microsoft.com/office/drawing/2014/main" id="{68341CD7-2CAB-45B6-A81B-39FF1E06698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2" name="AutoShape 4">
          <a:extLst>
            <a:ext uri="{FF2B5EF4-FFF2-40B4-BE49-F238E27FC236}">
              <a16:creationId xmlns:a16="http://schemas.microsoft.com/office/drawing/2014/main" id="{7F1B0054-2EAE-49EB-9844-BF9BEE5AD9D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E45106D-5948-4F66-97E4-EF17D304C2C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4" name="AutoShape 2">
          <a:extLst>
            <a:ext uri="{FF2B5EF4-FFF2-40B4-BE49-F238E27FC236}">
              <a16:creationId xmlns:a16="http://schemas.microsoft.com/office/drawing/2014/main" id="{6EE125F1-2F4D-4AE0-ABB1-19FDDE744086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5" name="AutoShape 3">
          <a:extLst>
            <a:ext uri="{FF2B5EF4-FFF2-40B4-BE49-F238E27FC236}">
              <a16:creationId xmlns:a16="http://schemas.microsoft.com/office/drawing/2014/main" id="{C4D2F6DA-791C-4F79-9B90-5F592BDBD425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1084</xdr:row>
      <xdr:rowOff>175552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AB76CC7F-2D1D-46F6-B8F7-B20BC79EB3D2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647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91FD020-EC0F-4F5E-AF8D-B84F2977FAA1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1077</xdr:row>
      <xdr:rowOff>0</xdr:rowOff>
    </xdr:from>
    <xdr:to>
      <xdr:col>4</xdr:col>
      <xdr:colOff>304800</xdr:colOff>
      <xdr:row>1083</xdr:row>
      <xdr:rowOff>8617</xdr:rowOff>
    </xdr:to>
    <xdr:sp macro="" textlink="">
      <xdr:nvSpPr>
        <xdr:cNvPr id="278" name="AutoShape 2">
          <a:extLst>
            <a:ext uri="{FF2B5EF4-FFF2-40B4-BE49-F238E27FC236}">
              <a16:creationId xmlns:a16="http://schemas.microsoft.com/office/drawing/2014/main" id="{B891A726-7622-480C-AA5F-5AFDC85A146F}"/>
            </a:ext>
          </a:extLst>
        </xdr:cNvPr>
        <xdr:cNvSpPr>
          <a:spLocks noChangeAspect="1" noChangeArrowheads="1"/>
        </xdr:cNvSpPr>
      </xdr:nvSpPr>
      <xdr:spPr bwMode="auto">
        <a:xfrm>
          <a:off x="4071938" y="205168500"/>
          <a:ext cx="304800" cy="126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D5C71789-67B1-4226-B711-1590DDFB3FD7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0" name="AutoShape 2">
          <a:extLst>
            <a:ext uri="{FF2B5EF4-FFF2-40B4-BE49-F238E27FC236}">
              <a16:creationId xmlns:a16="http://schemas.microsoft.com/office/drawing/2014/main" id="{612A19B2-060E-423C-9D03-8BD6EDDD4E4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1" name="AutoShape 3">
          <a:extLst>
            <a:ext uri="{FF2B5EF4-FFF2-40B4-BE49-F238E27FC236}">
              <a16:creationId xmlns:a16="http://schemas.microsoft.com/office/drawing/2014/main" id="{C71FF57E-AFC9-43EF-B910-4AD61FAFBD88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2" name="AutoShape 4">
          <a:extLst>
            <a:ext uri="{FF2B5EF4-FFF2-40B4-BE49-F238E27FC236}">
              <a16:creationId xmlns:a16="http://schemas.microsoft.com/office/drawing/2014/main" id="{02C33990-A573-4828-8D3F-46DD228A3AB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33E44CD8-BEB3-4CFB-A22F-9843511F452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4" name="AutoShape 2">
          <a:extLst>
            <a:ext uri="{FF2B5EF4-FFF2-40B4-BE49-F238E27FC236}">
              <a16:creationId xmlns:a16="http://schemas.microsoft.com/office/drawing/2014/main" id="{BF54E18C-5A29-417D-9D98-0BF6B09B544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5" name="AutoShape 3">
          <a:extLst>
            <a:ext uri="{FF2B5EF4-FFF2-40B4-BE49-F238E27FC236}">
              <a16:creationId xmlns:a16="http://schemas.microsoft.com/office/drawing/2014/main" id="{51214A09-C615-40A1-8AB2-A66B9AD8824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1701</xdr:row>
      <xdr:rowOff>5054</xdr:rowOff>
    </xdr:to>
    <xdr:sp macro="" textlink="">
      <xdr:nvSpPr>
        <xdr:cNvPr id="286" name="AutoShape 4">
          <a:extLst>
            <a:ext uri="{FF2B5EF4-FFF2-40B4-BE49-F238E27FC236}">
              <a16:creationId xmlns:a16="http://schemas.microsoft.com/office/drawing/2014/main" id="{4700E137-9458-4DA5-A6E6-B30F0CD30B2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681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3F5F042F-DE8E-49DC-8E25-CFCD5504FDE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D30AE150-4BEC-4BE3-941D-C0F283598EBD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89" name="AutoShape 3">
          <a:extLst>
            <a:ext uri="{FF2B5EF4-FFF2-40B4-BE49-F238E27FC236}">
              <a16:creationId xmlns:a16="http://schemas.microsoft.com/office/drawing/2014/main" id="{0B263DA4-6CAD-4596-A252-09B514A2ED8C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90" name="AutoShape 4">
          <a:extLst>
            <a:ext uri="{FF2B5EF4-FFF2-40B4-BE49-F238E27FC236}">
              <a16:creationId xmlns:a16="http://schemas.microsoft.com/office/drawing/2014/main" id="{372A2E9A-E80D-4862-AF55-7F9D6F03A2CB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75B20406-CF4F-4B30-8052-A0ACE7364084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92" name="AutoShape 2">
          <a:extLst>
            <a:ext uri="{FF2B5EF4-FFF2-40B4-BE49-F238E27FC236}">
              <a16:creationId xmlns:a16="http://schemas.microsoft.com/office/drawing/2014/main" id="{7B1D9973-4C09-486E-AFFB-F85D0AFD71DE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84239684-3C3E-4994-95F8-790220B8C760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1693</xdr:row>
      <xdr:rowOff>0</xdr:rowOff>
    </xdr:from>
    <xdr:to>
      <xdr:col>4</xdr:col>
      <xdr:colOff>304800</xdr:colOff>
      <xdr:row>1699</xdr:row>
      <xdr:rowOff>44813</xdr:rowOff>
    </xdr:to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7F930919-FF75-480C-A76E-EEA78B509F59}"/>
            </a:ext>
          </a:extLst>
        </xdr:cNvPr>
        <xdr:cNvSpPr>
          <a:spLocks noChangeAspect="1" noChangeArrowheads="1"/>
        </xdr:cNvSpPr>
      </xdr:nvSpPr>
      <xdr:spPr bwMode="auto">
        <a:xfrm>
          <a:off x="4071938" y="322516500"/>
          <a:ext cx="304800" cy="130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316C-F848-49D2-B0D4-6D47A3942A8C}">
  <dimension ref="A1:XFD251"/>
  <sheetViews>
    <sheetView workbookViewId="0">
      <selection activeCell="D26" sqref="D26"/>
    </sheetView>
  </sheetViews>
  <sheetFormatPr defaultColWidth="8.1328125" defaultRowHeight="13.15"/>
  <cols>
    <col min="1" max="1" width="17.9296875" style="57" bestFit="1" customWidth="1"/>
    <col min="2" max="2" width="12.265625" style="57" bestFit="1" customWidth="1"/>
    <col min="3" max="3" width="14.19921875" style="57" bestFit="1" customWidth="1"/>
    <col min="4" max="4" width="16.9296875" style="57" bestFit="1" customWidth="1"/>
    <col min="5" max="5" width="31.265625" style="54" customWidth="1"/>
    <col min="6" max="6" width="32.53125" style="54" bestFit="1" customWidth="1"/>
    <col min="7" max="7" width="21" style="57" customWidth="1"/>
    <col min="8" max="8" width="14.19921875" style="57" bestFit="1" customWidth="1"/>
    <col min="9" max="9" width="21.19921875" style="57" bestFit="1" customWidth="1"/>
    <col min="10" max="12" width="14.19921875" style="57" bestFit="1" customWidth="1"/>
    <col min="13" max="13" width="12.9296875" style="80" bestFit="1" customWidth="1"/>
    <col min="14" max="14" width="14.19921875" style="57" bestFit="1" customWidth="1"/>
    <col min="15" max="15" width="12.9296875" style="80" bestFit="1" customWidth="1"/>
    <col min="16" max="16" width="12.73046875" style="81" bestFit="1" customWidth="1"/>
    <col min="17" max="17" width="12.265625" style="57" bestFit="1" customWidth="1"/>
    <col min="18" max="19" width="14.19921875" style="57" bestFit="1" customWidth="1"/>
    <col min="20" max="20" width="12.73046875" style="77" bestFit="1" customWidth="1"/>
    <col min="21" max="21" width="14.19921875" style="57" bestFit="1" customWidth="1"/>
    <col min="22" max="22" width="12.9296875" style="80" bestFit="1" customWidth="1"/>
    <col min="23" max="25" width="14.19921875" style="57" bestFit="1" customWidth="1"/>
    <col min="26" max="26" width="16.46484375" style="47" bestFit="1" customWidth="1"/>
    <col min="27" max="27" width="16.46484375" style="82" bestFit="1" customWidth="1"/>
    <col min="28" max="28" width="18.6640625" style="57" bestFit="1" customWidth="1"/>
    <col min="29" max="29" width="0.9296875" style="57" customWidth="1"/>
    <col min="30" max="30" width="7.59765625" style="57" bestFit="1" customWidth="1"/>
    <col min="31" max="31" width="14.46484375" style="57" bestFit="1" customWidth="1"/>
    <col min="32" max="32" width="14" style="57" bestFit="1" customWidth="1"/>
    <col min="33" max="33" width="4.3984375" style="57" bestFit="1" customWidth="1"/>
    <col min="34" max="34" width="14" style="57" bestFit="1" customWidth="1"/>
    <col min="35" max="35" width="7.33203125" style="57" bestFit="1" customWidth="1"/>
    <col min="36" max="36" width="7.59765625" style="57" bestFit="1" customWidth="1"/>
    <col min="37" max="37" width="14.46484375" style="57" bestFit="1" customWidth="1"/>
    <col min="38" max="38" width="9.53125" style="57" bestFit="1" customWidth="1"/>
    <col min="39" max="39" width="5.73046875" style="57" bestFit="1" customWidth="1"/>
    <col min="40" max="16384" width="8.1328125" style="57"/>
  </cols>
  <sheetData>
    <row r="1" spans="1:39" s="11" customFormat="1" ht="13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5" t="s">
        <v>16</v>
      </c>
      <c r="R1" s="3" t="s">
        <v>17</v>
      </c>
      <c r="S1" s="3" t="s">
        <v>18</v>
      </c>
      <c r="T1" s="7" t="s">
        <v>19</v>
      </c>
      <c r="U1" s="3" t="s">
        <v>20</v>
      </c>
      <c r="V1" s="3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D1" s="12" t="s">
        <v>28</v>
      </c>
      <c r="AE1" s="13">
        <f>SUM(U:U)</f>
        <v>782286581.77835536</v>
      </c>
      <c r="AF1" s="12" t="s">
        <v>29</v>
      </c>
      <c r="AG1" s="14">
        <f>SUM(AB:AB)/SUM(U:U)</f>
        <v>6.2238164297933052</v>
      </c>
      <c r="AH1" s="12" t="s">
        <v>30</v>
      </c>
      <c r="AI1" s="15">
        <f>AM1/AG1</f>
        <v>4.6772973605121379E-2</v>
      </c>
      <c r="AJ1" s="12" t="s">
        <v>31</v>
      </c>
      <c r="AK1" s="13">
        <f>SUM(Y:Y)-SUM(U:U)</f>
        <v>227728631.83664465</v>
      </c>
      <c r="AL1" s="12" t="s">
        <v>32</v>
      </c>
      <c r="AM1" s="16">
        <f>AK1/AE1</f>
        <v>0.29110640159384304</v>
      </c>
    </row>
    <row r="2" spans="1:39" s="33" customFormat="1">
      <c r="A2" s="17" t="s">
        <v>33</v>
      </c>
      <c r="B2" s="17" t="s">
        <v>34</v>
      </c>
      <c r="C2" s="17" t="s">
        <v>35</v>
      </c>
      <c r="D2" s="18" t="s">
        <v>36</v>
      </c>
      <c r="E2" s="19" t="s">
        <v>37</v>
      </c>
      <c r="F2" s="19" t="s">
        <v>38</v>
      </c>
      <c r="G2" s="17" t="s">
        <v>39</v>
      </c>
      <c r="H2" s="20" t="s">
        <v>40</v>
      </c>
      <c r="I2" s="19" t="s">
        <v>41</v>
      </c>
      <c r="J2" s="17">
        <v>2</v>
      </c>
      <c r="K2" s="21">
        <v>1.2500000000000001E-2</v>
      </c>
      <c r="L2" s="17">
        <v>2</v>
      </c>
      <c r="M2" s="22">
        <v>44396</v>
      </c>
      <c r="N2" s="23">
        <f t="shared" ref="N2:N65" si="0">(O2-M2)/365</f>
        <v>4.7397260273972606</v>
      </c>
      <c r="O2" s="24">
        <v>46126</v>
      </c>
      <c r="P2" s="25">
        <v>100.67999999999999</v>
      </c>
      <c r="Q2" s="26">
        <v>1.102154E-2</v>
      </c>
      <c r="R2" s="27">
        <v>900000</v>
      </c>
      <c r="S2" s="28">
        <f t="shared" ref="S2:S65" si="1">R2*P2/100</f>
        <v>906120</v>
      </c>
      <c r="T2" s="29">
        <v>0</v>
      </c>
      <c r="U2" s="28">
        <f t="shared" ref="U2:U65" si="2">S2+T2</f>
        <v>906120</v>
      </c>
      <c r="V2" s="30">
        <f t="shared" ref="V2:V53" si="3">M2+2</f>
        <v>44398</v>
      </c>
      <c r="W2" s="31">
        <f t="shared" ref="W2:W34" si="4">_xlfn.CEILING.MATH(N2*L2)</f>
        <v>10</v>
      </c>
      <c r="X2" s="31">
        <f t="shared" ref="X2:X65" si="5">R2*K2/L2*W2</f>
        <v>56250</v>
      </c>
      <c r="Y2" s="31">
        <f t="shared" ref="Y2:Y65" si="6">R2+X2</f>
        <v>956250</v>
      </c>
      <c r="Z2" s="32" t="str">
        <f t="shared" ref="Z2:Z65" si="7">IF(Q2&lt;=3%, "1~3%", IF(Q2&lt;=4%, "3~4%", IF(Q2&lt;=5%, "4~5%", "5~6%")))</f>
        <v>1~3%</v>
      </c>
      <c r="AA2" s="32" t="str">
        <f t="shared" ref="AA2:AA65" si="8">IF(N2&lt;=3,"1~3",IF(N2&lt;=5,"3~5",IF(N2&lt;=7,"5~7","7~10")))</f>
        <v>3~5</v>
      </c>
      <c r="AB2" s="31">
        <f t="shared" ref="AB2:AB65" si="9">U2*N2</f>
        <v>4294760.5479452061</v>
      </c>
    </row>
    <row r="3" spans="1:39" s="33" customFormat="1">
      <c r="A3" s="17" t="s">
        <v>42</v>
      </c>
      <c r="B3" s="17" t="s">
        <v>34</v>
      </c>
      <c r="C3" s="34" t="s">
        <v>43</v>
      </c>
      <c r="D3" s="17" t="s">
        <v>36</v>
      </c>
      <c r="E3" s="19" t="s">
        <v>44</v>
      </c>
      <c r="F3" s="35" t="s">
        <v>45</v>
      </c>
      <c r="G3" s="17" t="s">
        <v>46</v>
      </c>
      <c r="H3" s="17" t="s">
        <v>47</v>
      </c>
      <c r="I3" s="19" t="s">
        <v>48</v>
      </c>
      <c r="J3" s="17">
        <v>4</v>
      </c>
      <c r="K3" s="21">
        <v>1.2500000000000001E-2</v>
      </c>
      <c r="L3" s="17">
        <v>2</v>
      </c>
      <c r="M3" s="22">
        <v>44396</v>
      </c>
      <c r="N3" s="23">
        <f t="shared" si="0"/>
        <v>4.7643835616438359</v>
      </c>
      <c r="O3" s="24">
        <v>46135</v>
      </c>
      <c r="P3" s="25">
        <v>100.49999999999999</v>
      </c>
      <c r="Q3" s="26">
        <v>1.13989E-2</v>
      </c>
      <c r="R3" s="27">
        <v>1000000</v>
      </c>
      <c r="S3" s="28">
        <f t="shared" si="1"/>
        <v>1004999.9999999999</v>
      </c>
      <c r="T3" s="29">
        <v>0</v>
      </c>
      <c r="U3" s="28">
        <f t="shared" si="2"/>
        <v>1004999.9999999999</v>
      </c>
      <c r="V3" s="30">
        <f t="shared" si="3"/>
        <v>44398</v>
      </c>
      <c r="W3" s="31">
        <f t="shared" si="4"/>
        <v>10</v>
      </c>
      <c r="X3" s="31">
        <f t="shared" si="5"/>
        <v>62500</v>
      </c>
      <c r="Y3" s="31">
        <f t="shared" si="6"/>
        <v>1062500</v>
      </c>
      <c r="Z3" s="32" t="str">
        <f t="shared" si="7"/>
        <v>1~3%</v>
      </c>
      <c r="AA3" s="32" t="str">
        <f t="shared" si="8"/>
        <v>3~5</v>
      </c>
      <c r="AB3" s="31">
        <f t="shared" si="9"/>
        <v>4788205.4794520549</v>
      </c>
    </row>
    <row r="4" spans="1:39" s="33" customFormat="1">
      <c r="A4" s="17" t="s">
        <v>49</v>
      </c>
      <c r="B4" s="17" t="s">
        <v>34</v>
      </c>
      <c r="C4" s="17" t="s">
        <v>35</v>
      </c>
      <c r="D4" s="18" t="s">
        <v>36</v>
      </c>
      <c r="E4" s="19" t="s">
        <v>50</v>
      </c>
      <c r="F4" s="19" t="s">
        <v>51</v>
      </c>
      <c r="G4" s="17" t="s">
        <v>39</v>
      </c>
      <c r="H4" s="20" t="s">
        <v>40</v>
      </c>
      <c r="I4" s="19" t="s">
        <v>52</v>
      </c>
      <c r="J4" s="17">
        <v>7</v>
      </c>
      <c r="K4" s="21">
        <v>3.4000000000000002E-2</v>
      </c>
      <c r="L4" s="17">
        <v>2</v>
      </c>
      <c r="M4" s="22">
        <v>44396</v>
      </c>
      <c r="N4" s="23">
        <f t="shared" si="0"/>
        <v>4.7863013698630139</v>
      </c>
      <c r="O4" s="24">
        <v>46143</v>
      </c>
      <c r="P4" s="25">
        <v>110.5</v>
      </c>
      <c r="Q4" s="26">
        <v>1.1380929999999999E-2</v>
      </c>
      <c r="R4" s="27">
        <v>1000000</v>
      </c>
      <c r="S4" s="28">
        <f t="shared" si="1"/>
        <v>1105000</v>
      </c>
      <c r="T4" s="29">
        <v>0</v>
      </c>
      <c r="U4" s="28">
        <f t="shared" si="2"/>
        <v>1105000</v>
      </c>
      <c r="V4" s="30">
        <f t="shared" si="3"/>
        <v>44398</v>
      </c>
      <c r="W4" s="31">
        <f t="shared" si="4"/>
        <v>10</v>
      </c>
      <c r="X4" s="31">
        <f t="shared" si="5"/>
        <v>170000</v>
      </c>
      <c r="Y4" s="31">
        <f t="shared" si="6"/>
        <v>1170000</v>
      </c>
      <c r="Z4" s="32" t="str">
        <f t="shared" si="7"/>
        <v>1~3%</v>
      </c>
      <c r="AA4" s="32" t="str">
        <f t="shared" si="8"/>
        <v>3~5</v>
      </c>
      <c r="AB4" s="31">
        <f t="shared" si="9"/>
        <v>5288863.01369863</v>
      </c>
    </row>
    <row r="5" spans="1:39" s="33" customFormat="1">
      <c r="A5" s="17" t="s">
        <v>53</v>
      </c>
      <c r="B5" s="17" t="s">
        <v>54</v>
      </c>
      <c r="C5" s="34" t="s">
        <v>43</v>
      </c>
      <c r="D5" s="17" t="s">
        <v>36</v>
      </c>
      <c r="E5" s="19" t="s">
        <v>55</v>
      </c>
      <c r="F5" s="35" t="s">
        <v>56</v>
      </c>
      <c r="G5" s="17" t="s">
        <v>57</v>
      </c>
      <c r="H5" s="17" t="s">
        <v>47</v>
      </c>
      <c r="I5" s="19" t="s">
        <v>58</v>
      </c>
      <c r="J5" s="17">
        <v>7</v>
      </c>
      <c r="K5" s="21">
        <v>3.3000000000000002E-2</v>
      </c>
      <c r="L5" s="17">
        <v>2</v>
      </c>
      <c r="M5" s="22">
        <v>44750</v>
      </c>
      <c r="N5" s="23">
        <f t="shared" si="0"/>
        <v>3.8547945205479452</v>
      </c>
      <c r="O5" s="24">
        <v>46157</v>
      </c>
      <c r="P5" s="25">
        <v>97.99</v>
      </c>
      <c r="Q5" s="26">
        <v>3.8639E-2</v>
      </c>
      <c r="R5" s="27">
        <v>3000000</v>
      </c>
      <c r="S5" s="28">
        <f t="shared" si="1"/>
        <v>2939700</v>
      </c>
      <c r="T5" s="29">
        <v>15675</v>
      </c>
      <c r="U5" s="28">
        <f t="shared" si="2"/>
        <v>2955375</v>
      </c>
      <c r="V5" s="30">
        <f t="shared" si="3"/>
        <v>44752</v>
      </c>
      <c r="W5" s="31">
        <f t="shared" si="4"/>
        <v>8</v>
      </c>
      <c r="X5" s="31">
        <f t="shared" si="5"/>
        <v>396000</v>
      </c>
      <c r="Y5" s="31">
        <f t="shared" si="6"/>
        <v>3396000</v>
      </c>
      <c r="Z5" s="32" t="str">
        <f t="shared" si="7"/>
        <v>3~4%</v>
      </c>
      <c r="AA5" s="32" t="str">
        <f t="shared" si="8"/>
        <v>3~5</v>
      </c>
      <c r="AB5" s="31">
        <f t="shared" si="9"/>
        <v>11392363.356164383</v>
      </c>
    </row>
    <row r="6" spans="1:39" s="33" customFormat="1">
      <c r="A6" s="33" t="s">
        <v>59</v>
      </c>
      <c r="B6" s="33" t="s">
        <v>54</v>
      </c>
      <c r="C6" s="33" t="s">
        <v>60</v>
      </c>
      <c r="D6" s="36" t="s">
        <v>61</v>
      </c>
      <c r="E6" s="37" t="s">
        <v>62</v>
      </c>
      <c r="F6" s="37" t="s">
        <v>63</v>
      </c>
      <c r="G6" s="33" t="s">
        <v>64</v>
      </c>
      <c r="H6" s="38" t="s">
        <v>40</v>
      </c>
      <c r="I6" s="37" t="s">
        <v>65</v>
      </c>
      <c r="J6" s="33">
        <v>3</v>
      </c>
      <c r="K6" s="39">
        <v>2.954E-2</v>
      </c>
      <c r="L6" s="33">
        <v>2</v>
      </c>
      <c r="M6" s="40">
        <v>45007</v>
      </c>
      <c r="N6" s="41">
        <f t="shared" si="0"/>
        <v>3.1534246575342464</v>
      </c>
      <c r="O6" s="24">
        <v>46158</v>
      </c>
      <c r="P6" s="42">
        <v>97.15</v>
      </c>
      <c r="Q6" s="26">
        <v>3.9170000000000003E-2</v>
      </c>
      <c r="R6" s="27">
        <v>9000000</v>
      </c>
      <c r="S6" s="43">
        <f t="shared" si="1"/>
        <v>8743500</v>
      </c>
      <c r="T6" s="44">
        <v>93051</v>
      </c>
      <c r="U6" s="43">
        <f t="shared" si="2"/>
        <v>8836551</v>
      </c>
      <c r="V6" s="45">
        <f t="shared" si="3"/>
        <v>45009</v>
      </c>
      <c r="W6" s="46">
        <f t="shared" si="4"/>
        <v>7</v>
      </c>
      <c r="X6" s="46">
        <f t="shared" si="5"/>
        <v>930510</v>
      </c>
      <c r="Y6" s="46">
        <f t="shared" si="6"/>
        <v>9930510</v>
      </c>
      <c r="Z6" s="47" t="str">
        <f t="shared" si="7"/>
        <v>3~4%</v>
      </c>
      <c r="AA6" s="47" t="str">
        <f t="shared" si="8"/>
        <v>3~5</v>
      </c>
      <c r="AB6" s="46">
        <f t="shared" si="9"/>
        <v>27865397.810958903</v>
      </c>
    </row>
    <row r="7" spans="1:39" s="33" customFormat="1">
      <c r="A7" s="17" t="s">
        <v>66</v>
      </c>
      <c r="B7" s="17" t="s">
        <v>34</v>
      </c>
      <c r="C7" s="34" t="s">
        <v>67</v>
      </c>
      <c r="D7" s="17" t="s">
        <v>36</v>
      </c>
      <c r="E7" s="19" t="s">
        <v>68</v>
      </c>
      <c r="F7" s="35" t="s">
        <v>69</v>
      </c>
      <c r="G7" s="17" t="s">
        <v>39</v>
      </c>
      <c r="H7" s="17" t="s">
        <v>47</v>
      </c>
      <c r="I7" s="19" t="s">
        <v>70</v>
      </c>
      <c r="J7" s="17">
        <v>7</v>
      </c>
      <c r="K7" s="21">
        <v>3.9E-2</v>
      </c>
      <c r="L7" s="17">
        <v>2</v>
      </c>
      <c r="M7" s="22">
        <v>44396</v>
      </c>
      <c r="N7" s="23">
        <f t="shared" si="0"/>
        <v>4.8520547945205479</v>
      </c>
      <c r="O7" s="24">
        <v>46167</v>
      </c>
      <c r="P7" s="25">
        <v>112.00000000000001</v>
      </c>
      <c r="Q7" s="26">
        <v>1.3361919999999999E-2</v>
      </c>
      <c r="R7" s="27">
        <v>1000000</v>
      </c>
      <c r="S7" s="28">
        <f t="shared" si="1"/>
        <v>1120000.0000000002</v>
      </c>
      <c r="T7" s="29">
        <v>0</v>
      </c>
      <c r="U7" s="28">
        <f t="shared" si="2"/>
        <v>1120000.0000000002</v>
      </c>
      <c r="V7" s="30">
        <f t="shared" si="3"/>
        <v>44398</v>
      </c>
      <c r="W7" s="31">
        <f t="shared" si="4"/>
        <v>10</v>
      </c>
      <c r="X7" s="31">
        <f t="shared" si="5"/>
        <v>195000</v>
      </c>
      <c r="Y7" s="31">
        <f t="shared" si="6"/>
        <v>1195000</v>
      </c>
      <c r="Z7" s="32" t="str">
        <f t="shared" si="7"/>
        <v>1~3%</v>
      </c>
      <c r="AA7" s="32" t="str">
        <f t="shared" si="8"/>
        <v>3~5</v>
      </c>
      <c r="AB7" s="31">
        <f t="shared" si="9"/>
        <v>5434301.3698630147</v>
      </c>
    </row>
    <row r="8" spans="1:39" s="33" customFormat="1">
      <c r="A8" s="33" t="s">
        <v>71</v>
      </c>
      <c r="B8" s="33" t="s">
        <v>54</v>
      </c>
      <c r="C8" s="48" t="s">
        <v>72</v>
      </c>
      <c r="D8" s="33" t="s">
        <v>61</v>
      </c>
      <c r="E8" s="37" t="s">
        <v>73</v>
      </c>
      <c r="F8" s="49" t="s">
        <v>74</v>
      </c>
      <c r="G8" s="33" t="s">
        <v>75</v>
      </c>
      <c r="H8" s="33" t="s">
        <v>47</v>
      </c>
      <c r="I8" s="37" t="s">
        <v>76</v>
      </c>
      <c r="J8" s="33">
        <v>1</v>
      </c>
      <c r="K8" s="39">
        <v>0.02</v>
      </c>
      <c r="L8" s="33">
        <v>2</v>
      </c>
      <c r="M8" s="40">
        <v>45013</v>
      </c>
      <c r="N8" s="41">
        <f t="shared" si="0"/>
        <v>3.6383561643835618</v>
      </c>
      <c r="O8" s="24">
        <v>46341</v>
      </c>
      <c r="P8" s="42">
        <v>94.92</v>
      </c>
      <c r="Q8" s="26">
        <v>3.4908000000000002E-2</v>
      </c>
      <c r="R8" s="27">
        <v>5000000</v>
      </c>
      <c r="S8" s="43">
        <f t="shared" si="1"/>
        <v>4746000</v>
      </c>
      <c r="T8" s="44">
        <v>36740.33</v>
      </c>
      <c r="U8" s="43">
        <f t="shared" si="2"/>
        <v>4782740.33</v>
      </c>
      <c r="V8" s="45">
        <f t="shared" si="3"/>
        <v>45015</v>
      </c>
      <c r="W8" s="46">
        <f t="shared" si="4"/>
        <v>8</v>
      </c>
      <c r="X8" s="46">
        <f t="shared" si="5"/>
        <v>400000</v>
      </c>
      <c r="Y8" s="46">
        <f t="shared" si="6"/>
        <v>5400000</v>
      </c>
      <c r="Z8" s="47" t="str">
        <f t="shared" si="7"/>
        <v>3~4%</v>
      </c>
      <c r="AA8" s="47" t="str">
        <f t="shared" si="8"/>
        <v>3~5</v>
      </c>
      <c r="AB8" s="46">
        <f t="shared" si="9"/>
        <v>17401312.762301371</v>
      </c>
    </row>
    <row r="9" spans="1:39" s="33" customFormat="1">
      <c r="A9" s="33" t="s">
        <v>71</v>
      </c>
      <c r="B9" s="33" t="s">
        <v>77</v>
      </c>
      <c r="C9" s="48" t="s">
        <v>72</v>
      </c>
      <c r="D9" s="33" t="s">
        <v>61</v>
      </c>
      <c r="E9" s="37" t="s">
        <v>78</v>
      </c>
      <c r="F9" s="49" t="s">
        <v>74</v>
      </c>
      <c r="G9" s="33" t="s">
        <v>75</v>
      </c>
      <c r="H9" s="33" t="s">
        <v>47</v>
      </c>
      <c r="I9" s="37" t="s">
        <v>79</v>
      </c>
      <c r="J9" s="33">
        <v>1</v>
      </c>
      <c r="K9" s="39">
        <v>0.02</v>
      </c>
      <c r="L9" s="33">
        <v>2</v>
      </c>
      <c r="M9" s="40">
        <v>45013</v>
      </c>
      <c r="N9" s="41">
        <f t="shared" si="0"/>
        <v>3.6383561643835618</v>
      </c>
      <c r="O9" s="24">
        <v>46341</v>
      </c>
      <c r="P9" s="42">
        <v>94.92</v>
      </c>
      <c r="Q9" s="26">
        <v>3.5000000000000003E-2</v>
      </c>
      <c r="R9" s="27">
        <v>3000000</v>
      </c>
      <c r="S9" s="43">
        <f t="shared" si="1"/>
        <v>2847600</v>
      </c>
      <c r="T9" s="44">
        <v>8925</v>
      </c>
      <c r="U9" s="43">
        <f t="shared" si="2"/>
        <v>2856525</v>
      </c>
      <c r="V9" s="45">
        <f t="shared" si="3"/>
        <v>45015</v>
      </c>
      <c r="W9" s="46">
        <f t="shared" si="4"/>
        <v>8</v>
      </c>
      <c r="X9" s="46">
        <f t="shared" si="5"/>
        <v>240000</v>
      </c>
      <c r="Y9" s="46">
        <f t="shared" si="6"/>
        <v>3240000</v>
      </c>
      <c r="Z9" s="47" t="str">
        <f t="shared" si="7"/>
        <v>3~4%</v>
      </c>
      <c r="AA9" s="47" t="str">
        <f t="shared" si="8"/>
        <v>3~5</v>
      </c>
      <c r="AB9" s="46">
        <f t="shared" si="9"/>
        <v>10393055.342465755</v>
      </c>
    </row>
    <row r="10" spans="1:39" s="33" customFormat="1">
      <c r="A10" s="33" t="s">
        <v>80</v>
      </c>
      <c r="B10" s="33" t="s">
        <v>77</v>
      </c>
      <c r="C10" s="33" t="s">
        <v>60</v>
      </c>
      <c r="D10" s="36" t="s">
        <v>61</v>
      </c>
      <c r="E10" s="37" t="s">
        <v>81</v>
      </c>
      <c r="F10" s="37" t="s">
        <v>82</v>
      </c>
      <c r="G10" s="33" t="s">
        <v>83</v>
      </c>
      <c r="H10" s="38" t="s">
        <v>40</v>
      </c>
      <c r="I10" s="37" t="s">
        <v>84</v>
      </c>
      <c r="J10" s="33">
        <v>5</v>
      </c>
      <c r="K10" s="39">
        <v>0.03</v>
      </c>
      <c r="L10" s="33">
        <v>2</v>
      </c>
      <c r="M10" s="40">
        <v>45008</v>
      </c>
      <c r="N10" s="41">
        <f t="shared" si="0"/>
        <v>3.7342465753424658</v>
      </c>
      <c r="O10" s="24">
        <v>46371</v>
      </c>
      <c r="P10" s="42">
        <v>96.58</v>
      </c>
      <c r="Q10" s="26">
        <v>3.9899999999999998E-2</v>
      </c>
      <c r="R10" s="27">
        <v>1500000</v>
      </c>
      <c r="S10" s="43">
        <f t="shared" si="1"/>
        <v>1448700</v>
      </c>
      <c r="T10" s="44">
        <v>5873.75</v>
      </c>
      <c r="U10" s="43">
        <f t="shared" si="2"/>
        <v>1454573.75</v>
      </c>
      <c r="V10" s="45">
        <f t="shared" si="3"/>
        <v>45010</v>
      </c>
      <c r="W10" s="46">
        <f t="shared" si="4"/>
        <v>8</v>
      </c>
      <c r="X10" s="46">
        <f t="shared" si="5"/>
        <v>180000</v>
      </c>
      <c r="Y10" s="46">
        <f t="shared" si="6"/>
        <v>1680000</v>
      </c>
      <c r="Z10" s="47" t="str">
        <f t="shared" si="7"/>
        <v>3~4%</v>
      </c>
      <c r="AA10" s="47" t="str">
        <f t="shared" si="8"/>
        <v>3~5</v>
      </c>
      <c r="AB10" s="46">
        <f t="shared" si="9"/>
        <v>5431737.0445205485</v>
      </c>
    </row>
    <row r="11" spans="1:39" s="33" customFormat="1">
      <c r="A11" s="33" t="s">
        <v>85</v>
      </c>
      <c r="B11" s="33" t="s">
        <v>54</v>
      </c>
      <c r="C11" s="33" t="s">
        <v>60</v>
      </c>
      <c r="D11" s="36" t="s">
        <v>61</v>
      </c>
      <c r="E11" s="37" t="s">
        <v>86</v>
      </c>
      <c r="F11" s="37" t="s">
        <v>87</v>
      </c>
      <c r="G11" s="33" t="s">
        <v>88</v>
      </c>
      <c r="H11" s="38" t="s">
        <v>40</v>
      </c>
      <c r="I11" s="37" t="s">
        <v>89</v>
      </c>
      <c r="J11" s="33">
        <v>1</v>
      </c>
      <c r="K11" s="39">
        <v>3.3000000000000002E-2</v>
      </c>
      <c r="L11" s="33">
        <v>2</v>
      </c>
      <c r="M11" s="40">
        <v>45007</v>
      </c>
      <c r="N11" s="41">
        <f t="shared" si="0"/>
        <v>3.882191780821918</v>
      </c>
      <c r="O11" s="50">
        <v>46424</v>
      </c>
      <c r="P11" s="42">
        <v>99.3</v>
      </c>
      <c r="Q11" s="51">
        <v>3.4939999999999999E-2</v>
      </c>
      <c r="R11" s="52">
        <v>4000000</v>
      </c>
      <c r="S11" s="43">
        <f t="shared" si="1"/>
        <v>3972000</v>
      </c>
      <c r="T11" s="44">
        <v>16866.669999999998</v>
      </c>
      <c r="U11" s="43">
        <f t="shared" si="2"/>
        <v>3988866.67</v>
      </c>
      <c r="V11" s="45">
        <f t="shared" si="3"/>
        <v>45009</v>
      </c>
      <c r="W11" s="46">
        <f t="shared" si="4"/>
        <v>8</v>
      </c>
      <c r="X11" s="46">
        <f t="shared" si="5"/>
        <v>528000</v>
      </c>
      <c r="Y11" s="46">
        <f t="shared" si="6"/>
        <v>4528000</v>
      </c>
      <c r="Z11" s="47" t="str">
        <f t="shared" si="7"/>
        <v>3~4%</v>
      </c>
      <c r="AA11" s="47" t="str">
        <f t="shared" si="8"/>
        <v>3~5</v>
      </c>
      <c r="AB11" s="46">
        <f t="shared" si="9"/>
        <v>15485545.401068494</v>
      </c>
    </row>
    <row r="12" spans="1:39" s="33" customFormat="1">
      <c r="A12" s="17" t="s">
        <v>90</v>
      </c>
      <c r="B12" s="17" t="s">
        <v>91</v>
      </c>
      <c r="C12" s="34" t="s">
        <v>43</v>
      </c>
      <c r="D12" s="17" t="s">
        <v>36</v>
      </c>
      <c r="E12" s="19" t="s">
        <v>92</v>
      </c>
      <c r="F12" s="35" t="s">
        <v>93</v>
      </c>
      <c r="G12" s="17" t="s">
        <v>94</v>
      </c>
      <c r="H12" s="17" t="s">
        <v>47</v>
      </c>
      <c r="I12" s="19" t="s">
        <v>95</v>
      </c>
      <c r="J12" s="17">
        <v>5</v>
      </c>
      <c r="K12" s="21">
        <v>3.3000000000000002E-2</v>
      </c>
      <c r="L12" s="17">
        <v>2</v>
      </c>
      <c r="M12" s="22">
        <v>44728</v>
      </c>
      <c r="N12" s="23">
        <f t="shared" si="0"/>
        <v>4.8273972602739725</v>
      </c>
      <c r="O12" s="50">
        <v>46490</v>
      </c>
      <c r="P12" s="25">
        <v>98</v>
      </c>
      <c r="Q12" s="51">
        <v>3.7562770000000002E-2</v>
      </c>
      <c r="R12" s="52">
        <v>2000000</v>
      </c>
      <c r="S12" s="28">
        <f t="shared" si="1"/>
        <v>1960000</v>
      </c>
      <c r="T12" s="29">
        <v>11550</v>
      </c>
      <c r="U12" s="28">
        <f t="shared" si="2"/>
        <v>1971550</v>
      </c>
      <c r="V12" s="30">
        <f t="shared" si="3"/>
        <v>44730</v>
      </c>
      <c r="W12" s="31">
        <f t="shared" si="4"/>
        <v>10</v>
      </c>
      <c r="X12" s="31">
        <f t="shared" si="5"/>
        <v>330000</v>
      </c>
      <c r="Y12" s="31">
        <f t="shared" si="6"/>
        <v>2330000</v>
      </c>
      <c r="Z12" s="32" t="str">
        <f t="shared" si="7"/>
        <v>3~4%</v>
      </c>
      <c r="AA12" s="32" t="str">
        <f t="shared" si="8"/>
        <v>3~5</v>
      </c>
      <c r="AB12" s="31">
        <f t="shared" si="9"/>
        <v>9517455.0684931502</v>
      </c>
    </row>
    <row r="13" spans="1:39" s="33" customFormat="1">
      <c r="A13" s="17" t="s">
        <v>96</v>
      </c>
      <c r="B13" s="17" t="s">
        <v>91</v>
      </c>
      <c r="C13" s="17" t="s">
        <v>60</v>
      </c>
      <c r="D13" s="18" t="s">
        <v>36</v>
      </c>
      <c r="E13" s="19" t="s">
        <v>97</v>
      </c>
      <c r="F13" s="19" t="s">
        <v>98</v>
      </c>
      <c r="G13" s="17" t="s">
        <v>46</v>
      </c>
      <c r="H13" s="20" t="s">
        <v>40</v>
      </c>
      <c r="I13" s="19" t="s">
        <v>99</v>
      </c>
      <c r="J13" s="17">
        <v>4</v>
      </c>
      <c r="K13" s="21">
        <v>3.875E-2</v>
      </c>
      <c r="L13" s="17">
        <v>2</v>
      </c>
      <c r="M13" s="22">
        <v>44727</v>
      </c>
      <c r="N13" s="23">
        <f t="shared" si="0"/>
        <v>4.8547945205479452</v>
      </c>
      <c r="O13" s="50">
        <v>46499</v>
      </c>
      <c r="P13" s="25">
        <v>99.89</v>
      </c>
      <c r="Q13" s="51">
        <v>3.899217E-2</v>
      </c>
      <c r="R13" s="52">
        <v>3000000</v>
      </c>
      <c r="S13" s="28">
        <f t="shared" si="1"/>
        <v>2996700</v>
      </c>
      <c r="T13" s="29">
        <v>17437.5</v>
      </c>
      <c r="U13" s="28">
        <f t="shared" si="2"/>
        <v>3014137.5</v>
      </c>
      <c r="V13" s="30">
        <f t="shared" si="3"/>
        <v>44729</v>
      </c>
      <c r="W13" s="31">
        <f t="shared" si="4"/>
        <v>10</v>
      </c>
      <c r="X13" s="31">
        <f t="shared" si="5"/>
        <v>581250</v>
      </c>
      <c r="Y13" s="31">
        <f t="shared" si="6"/>
        <v>3581250</v>
      </c>
      <c r="Z13" s="32" t="str">
        <f t="shared" si="7"/>
        <v>3~4%</v>
      </c>
      <c r="AA13" s="32" t="str">
        <f t="shared" si="8"/>
        <v>3~5</v>
      </c>
      <c r="AB13" s="31">
        <f t="shared" si="9"/>
        <v>14633018.219178082</v>
      </c>
    </row>
    <row r="14" spans="1:39" s="33" customFormat="1" ht="26.25">
      <c r="A14" s="33" t="s">
        <v>100</v>
      </c>
      <c r="B14" s="33" t="s">
        <v>101</v>
      </c>
      <c r="C14" s="48" t="s">
        <v>67</v>
      </c>
      <c r="D14" s="33" t="s">
        <v>61</v>
      </c>
      <c r="E14" s="37" t="s">
        <v>102</v>
      </c>
      <c r="F14" s="49" t="s">
        <v>103</v>
      </c>
      <c r="G14" s="33" t="s">
        <v>104</v>
      </c>
      <c r="H14" s="33" t="s">
        <v>47</v>
      </c>
      <c r="I14" s="37" t="s">
        <v>105</v>
      </c>
      <c r="J14" s="33">
        <v>5</v>
      </c>
      <c r="K14" s="39">
        <v>4.5499999999999999E-2</v>
      </c>
      <c r="L14" s="33">
        <v>2</v>
      </c>
      <c r="M14" s="40">
        <v>45071</v>
      </c>
      <c r="N14" s="41">
        <f t="shared" si="0"/>
        <v>4.3260273972602743</v>
      </c>
      <c r="O14" s="50">
        <v>46650</v>
      </c>
      <c r="P14" s="42">
        <v>100.57000000000001</v>
      </c>
      <c r="Q14" s="51">
        <v>4.3999999999999997E-2</v>
      </c>
      <c r="R14" s="52">
        <v>3000000</v>
      </c>
      <c r="S14" s="43">
        <f t="shared" si="1"/>
        <v>3017100</v>
      </c>
      <c r="T14" s="44">
        <v>24646</v>
      </c>
      <c r="U14" s="43">
        <f t="shared" si="2"/>
        <v>3041746</v>
      </c>
      <c r="V14" s="45">
        <f t="shared" si="3"/>
        <v>45073</v>
      </c>
      <c r="W14" s="46">
        <f t="shared" si="4"/>
        <v>9</v>
      </c>
      <c r="X14" s="46">
        <f t="shared" si="5"/>
        <v>614250</v>
      </c>
      <c r="Y14" s="46">
        <f t="shared" si="6"/>
        <v>3614250</v>
      </c>
      <c r="Z14" s="47" t="str">
        <f t="shared" si="7"/>
        <v>4~5%</v>
      </c>
      <c r="AA14" s="47" t="str">
        <f t="shared" si="8"/>
        <v>3~5</v>
      </c>
      <c r="AB14" s="46">
        <f t="shared" si="9"/>
        <v>13158676.531506849</v>
      </c>
    </row>
    <row r="15" spans="1:39" s="33" customFormat="1">
      <c r="A15" s="33" t="s">
        <v>106</v>
      </c>
      <c r="B15" s="33" t="s">
        <v>77</v>
      </c>
      <c r="C15" s="48" t="s">
        <v>43</v>
      </c>
      <c r="D15" s="33" t="s">
        <v>61</v>
      </c>
      <c r="E15" s="37" t="s">
        <v>107</v>
      </c>
      <c r="F15" s="49" t="s">
        <v>108</v>
      </c>
      <c r="G15" s="33" t="s">
        <v>109</v>
      </c>
      <c r="H15" s="33" t="s">
        <v>47</v>
      </c>
      <c r="I15" s="37" t="s">
        <v>110</v>
      </c>
      <c r="J15" s="33">
        <v>5</v>
      </c>
      <c r="K15" s="39">
        <v>0.03</v>
      </c>
      <c r="L15" s="33">
        <v>2</v>
      </c>
      <c r="M15" s="40">
        <v>45008</v>
      </c>
      <c r="N15" s="41">
        <f t="shared" si="0"/>
        <v>4.5671232876712331</v>
      </c>
      <c r="O15" s="50">
        <v>46675</v>
      </c>
      <c r="P15" s="42">
        <v>95.73</v>
      </c>
      <c r="Q15" s="51">
        <v>4.0300000000000002E-2</v>
      </c>
      <c r="R15" s="52">
        <v>1000000</v>
      </c>
      <c r="S15" s="43">
        <f t="shared" si="1"/>
        <v>957300</v>
      </c>
      <c r="T15" s="44">
        <v>34222.22</v>
      </c>
      <c r="U15" s="43">
        <f t="shared" si="2"/>
        <v>991522.22</v>
      </c>
      <c r="V15" s="45">
        <f t="shared" si="3"/>
        <v>45010</v>
      </c>
      <c r="W15" s="46">
        <f t="shared" si="4"/>
        <v>10</v>
      </c>
      <c r="X15" s="46">
        <f t="shared" si="5"/>
        <v>150000</v>
      </c>
      <c r="Y15" s="46">
        <f t="shared" si="6"/>
        <v>1150000</v>
      </c>
      <c r="Z15" s="47" t="str">
        <f t="shared" si="7"/>
        <v>4~5%</v>
      </c>
      <c r="AA15" s="47" t="str">
        <f t="shared" si="8"/>
        <v>3~5</v>
      </c>
      <c r="AB15" s="46">
        <f t="shared" si="9"/>
        <v>4528404.2212054795</v>
      </c>
    </row>
    <row r="16" spans="1:39" s="33" customFormat="1">
      <c r="A16" s="33" t="s">
        <v>111</v>
      </c>
      <c r="B16" s="33" t="s">
        <v>54</v>
      </c>
      <c r="C16" s="48" t="s">
        <v>43</v>
      </c>
      <c r="D16" s="33" t="s">
        <v>61</v>
      </c>
      <c r="E16" s="37" t="s">
        <v>112</v>
      </c>
      <c r="F16" s="49" t="s">
        <v>113</v>
      </c>
      <c r="G16" s="33" t="s">
        <v>114</v>
      </c>
      <c r="H16" s="33" t="s">
        <v>47</v>
      </c>
      <c r="I16" s="37" t="s">
        <v>76</v>
      </c>
      <c r="J16" s="33">
        <v>1</v>
      </c>
      <c r="K16" s="39">
        <v>0.03</v>
      </c>
      <c r="L16" s="33">
        <v>2</v>
      </c>
      <c r="M16" s="40">
        <v>45001</v>
      </c>
      <c r="N16" s="41">
        <f t="shared" si="0"/>
        <v>4.6657534246575345</v>
      </c>
      <c r="O16" s="50">
        <v>46704</v>
      </c>
      <c r="P16" s="42">
        <v>94.96</v>
      </c>
      <c r="Q16" s="51">
        <v>4.1928E-2</v>
      </c>
      <c r="R16" s="52">
        <v>7000000</v>
      </c>
      <c r="S16" s="43">
        <f t="shared" si="1"/>
        <v>6647200</v>
      </c>
      <c r="T16" s="44">
        <v>71750</v>
      </c>
      <c r="U16" s="43">
        <f t="shared" si="2"/>
        <v>6718950</v>
      </c>
      <c r="V16" s="45">
        <f t="shared" si="3"/>
        <v>45003</v>
      </c>
      <c r="W16" s="46">
        <f t="shared" si="4"/>
        <v>10</v>
      </c>
      <c r="X16" s="46">
        <f t="shared" si="5"/>
        <v>1050000</v>
      </c>
      <c r="Y16" s="46">
        <f t="shared" si="6"/>
        <v>8050000</v>
      </c>
      <c r="Z16" s="47" t="str">
        <f t="shared" si="7"/>
        <v>4~5%</v>
      </c>
      <c r="AA16" s="47" t="str">
        <f t="shared" si="8"/>
        <v>3~5</v>
      </c>
      <c r="AB16" s="46">
        <f t="shared" si="9"/>
        <v>31348963.97260274</v>
      </c>
    </row>
    <row r="17" spans="1:28" s="33" customFormat="1">
      <c r="A17" s="33" t="s">
        <v>111</v>
      </c>
      <c r="B17" s="33" t="s">
        <v>77</v>
      </c>
      <c r="C17" s="33" t="s">
        <v>60</v>
      </c>
      <c r="D17" s="36" t="s">
        <v>61</v>
      </c>
      <c r="E17" s="37" t="s">
        <v>112</v>
      </c>
      <c r="F17" s="37" t="s">
        <v>115</v>
      </c>
      <c r="G17" s="33" t="s">
        <v>114</v>
      </c>
      <c r="H17" s="38" t="s">
        <v>40</v>
      </c>
      <c r="I17" s="37" t="s">
        <v>116</v>
      </c>
      <c r="J17" s="33">
        <v>1</v>
      </c>
      <c r="K17" s="39">
        <v>0.03</v>
      </c>
      <c r="L17" s="33">
        <v>2</v>
      </c>
      <c r="M17" s="40">
        <v>45001</v>
      </c>
      <c r="N17" s="41">
        <f t="shared" si="0"/>
        <v>4.6657534246575345</v>
      </c>
      <c r="O17" s="50">
        <v>46704</v>
      </c>
      <c r="P17" s="42">
        <v>94.96</v>
      </c>
      <c r="Q17" s="51">
        <v>4.2000000000000003E-2</v>
      </c>
      <c r="R17" s="52">
        <v>8000000</v>
      </c>
      <c r="S17" s="43">
        <f t="shared" si="1"/>
        <v>7596800</v>
      </c>
      <c r="T17" s="44">
        <v>18791.21</v>
      </c>
      <c r="U17" s="43">
        <f t="shared" si="2"/>
        <v>7615591.21</v>
      </c>
      <c r="V17" s="45">
        <f t="shared" si="3"/>
        <v>45003</v>
      </c>
      <c r="W17" s="46">
        <f t="shared" si="4"/>
        <v>10</v>
      </c>
      <c r="X17" s="46">
        <f t="shared" si="5"/>
        <v>1200000</v>
      </c>
      <c r="Y17" s="46">
        <f t="shared" si="6"/>
        <v>9200000</v>
      </c>
      <c r="Z17" s="47" t="str">
        <f t="shared" si="7"/>
        <v>4~5%</v>
      </c>
      <c r="AA17" s="47" t="str">
        <f t="shared" si="8"/>
        <v>3~5</v>
      </c>
      <c r="AB17" s="46">
        <f t="shared" si="9"/>
        <v>35532470.768849313</v>
      </c>
    </row>
    <row r="18" spans="1:28" s="33" customFormat="1">
      <c r="A18" s="33" t="s">
        <v>117</v>
      </c>
      <c r="B18" s="33" t="s">
        <v>77</v>
      </c>
      <c r="C18" s="48" t="s">
        <v>72</v>
      </c>
      <c r="D18" s="33" t="s">
        <v>61</v>
      </c>
      <c r="E18" s="37" t="s">
        <v>73</v>
      </c>
      <c r="F18" s="49" t="s">
        <v>74</v>
      </c>
      <c r="G18" s="33" t="s">
        <v>75</v>
      </c>
      <c r="H18" s="33" t="s">
        <v>47</v>
      </c>
      <c r="I18" s="37" t="s">
        <v>79</v>
      </c>
      <c r="J18" s="33">
        <v>1</v>
      </c>
      <c r="K18" s="39">
        <v>3.875E-2</v>
      </c>
      <c r="L18" s="33">
        <v>2</v>
      </c>
      <c r="M18" s="40">
        <v>44991</v>
      </c>
      <c r="N18" s="41">
        <f t="shared" si="0"/>
        <v>4.8246575342465752</v>
      </c>
      <c r="O18" s="50">
        <v>46752</v>
      </c>
      <c r="P18" s="42">
        <v>98.37</v>
      </c>
      <c r="Q18" s="51">
        <v>4.2500000000000003E-2</v>
      </c>
      <c r="R18" s="52">
        <v>8000000</v>
      </c>
      <c r="S18" s="43">
        <f t="shared" si="1"/>
        <v>7869600</v>
      </c>
      <c r="T18" s="44">
        <v>11392.36</v>
      </c>
      <c r="U18" s="43">
        <f t="shared" si="2"/>
        <v>7880992.3600000003</v>
      </c>
      <c r="V18" s="45">
        <f t="shared" si="3"/>
        <v>44993</v>
      </c>
      <c r="W18" s="46">
        <f t="shared" si="4"/>
        <v>10</v>
      </c>
      <c r="X18" s="46">
        <f t="shared" si="5"/>
        <v>1550000</v>
      </c>
      <c r="Y18" s="46">
        <f t="shared" si="6"/>
        <v>9550000</v>
      </c>
      <c r="Z18" s="47" t="str">
        <f t="shared" si="7"/>
        <v>4~5%</v>
      </c>
      <c r="AA18" s="47" t="str">
        <f t="shared" si="8"/>
        <v>3~5</v>
      </c>
      <c r="AB18" s="46">
        <f t="shared" si="9"/>
        <v>38023089.167013697</v>
      </c>
    </row>
    <row r="19" spans="1:28" s="33" customFormat="1">
      <c r="A19" s="33" t="s">
        <v>118</v>
      </c>
      <c r="B19" s="33" t="s">
        <v>119</v>
      </c>
      <c r="C19" s="33" t="s">
        <v>35</v>
      </c>
      <c r="D19" s="36" t="s">
        <v>61</v>
      </c>
      <c r="E19" s="37" t="s">
        <v>120</v>
      </c>
      <c r="F19" s="37" t="s">
        <v>120</v>
      </c>
      <c r="G19" s="33" t="s">
        <v>39</v>
      </c>
      <c r="H19" s="38" t="s">
        <v>40</v>
      </c>
      <c r="I19" s="37" t="s">
        <v>121</v>
      </c>
      <c r="J19" s="33">
        <v>7</v>
      </c>
      <c r="K19" s="39">
        <v>3.2500000000000001E-2</v>
      </c>
      <c r="L19" s="33">
        <v>2</v>
      </c>
      <c r="M19" s="40">
        <v>44993</v>
      </c>
      <c r="N19" s="41">
        <f t="shared" si="0"/>
        <v>4.8493150684931505</v>
      </c>
      <c r="O19" s="45">
        <v>46763</v>
      </c>
      <c r="P19" s="42">
        <v>92.174599999999998</v>
      </c>
      <c r="Q19" s="53">
        <v>5.2766345020527385E-2</v>
      </c>
      <c r="R19" s="44">
        <v>1200000</v>
      </c>
      <c r="S19" s="43">
        <f t="shared" si="1"/>
        <v>1106095.2</v>
      </c>
      <c r="T19" s="44">
        <v>0</v>
      </c>
      <c r="U19" s="43">
        <f t="shared" si="2"/>
        <v>1106095.2</v>
      </c>
      <c r="V19" s="45">
        <f t="shared" si="3"/>
        <v>44995</v>
      </c>
      <c r="W19" s="46">
        <f t="shared" si="4"/>
        <v>10</v>
      </c>
      <c r="X19" s="46">
        <f t="shared" si="5"/>
        <v>195000</v>
      </c>
      <c r="Y19" s="46">
        <f t="shared" si="6"/>
        <v>1395000</v>
      </c>
      <c r="Z19" s="47" t="str">
        <f t="shared" si="7"/>
        <v>5~6%</v>
      </c>
      <c r="AA19" s="47" t="str">
        <f t="shared" si="8"/>
        <v>3~5</v>
      </c>
      <c r="AB19" s="46">
        <f t="shared" si="9"/>
        <v>5363804.1205479447</v>
      </c>
    </row>
    <row r="20" spans="1:28" s="33" customFormat="1">
      <c r="A20" s="33" t="s">
        <v>118</v>
      </c>
      <c r="B20" s="33" t="s">
        <v>34</v>
      </c>
      <c r="C20" s="48" t="s">
        <v>67</v>
      </c>
      <c r="D20" s="33" t="s">
        <v>61</v>
      </c>
      <c r="E20" s="37" t="s">
        <v>120</v>
      </c>
      <c r="F20" s="49" t="s">
        <v>122</v>
      </c>
      <c r="G20" s="33" t="s">
        <v>39</v>
      </c>
      <c r="H20" s="33" t="s">
        <v>47</v>
      </c>
      <c r="I20" s="37" t="s">
        <v>123</v>
      </c>
      <c r="J20" s="33">
        <v>5</v>
      </c>
      <c r="K20" s="39">
        <v>3.2500000000000001E-2</v>
      </c>
      <c r="L20" s="33">
        <v>2</v>
      </c>
      <c r="M20" s="40">
        <v>44984</v>
      </c>
      <c r="N20" s="41">
        <f t="shared" si="0"/>
        <v>4.8739726027397259</v>
      </c>
      <c r="O20" s="45">
        <v>46763</v>
      </c>
      <c r="P20" s="42">
        <v>92.22</v>
      </c>
      <c r="Q20" s="53">
        <v>5.0700000000000002E-2</v>
      </c>
      <c r="R20" s="44">
        <v>2500000</v>
      </c>
      <c r="S20" s="43">
        <f t="shared" si="1"/>
        <v>2305500</v>
      </c>
      <c r="T20" s="44">
        <v>0</v>
      </c>
      <c r="U20" s="43">
        <f t="shared" si="2"/>
        <v>2305500</v>
      </c>
      <c r="V20" s="45">
        <f t="shared" si="3"/>
        <v>44986</v>
      </c>
      <c r="W20" s="46">
        <f t="shared" si="4"/>
        <v>10</v>
      </c>
      <c r="X20" s="46">
        <f t="shared" si="5"/>
        <v>406250</v>
      </c>
      <c r="Y20" s="46">
        <f t="shared" si="6"/>
        <v>2906250</v>
      </c>
      <c r="Z20" s="47" t="str">
        <f t="shared" si="7"/>
        <v>5~6%</v>
      </c>
      <c r="AA20" s="47" t="str">
        <f t="shared" si="8"/>
        <v>3~5</v>
      </c>
      <c r="AB20" s="46">
        <f t="shared" si="9"/>
        <v>11236943.835616438</v>
      </c>
    </row>
    <row r="21" spans="1:28" s="33" customFormat="1">
      <c r="A21" s="33" t="s">
        <v>124</v>
      </c>
      <c r="B21" s="33" t="s">
        <v>54</v>
      </c>
      <c r="C21" s="33" t="s">
        <v>35</v>
      </c>
      <c r="D21" s="36" t="s">
        <v>61</v>
      </c>
      <c r="E21" s="37" t="s">
        <v>120</v>
      </c>
      <c r="F21" s="37" t="s">
        <v>120</v>
      </c>
      <c r="G21" s="33" t="s">
        <v>39</v>
      </c>
      <c r="H21" s="38" t="s">
        <v>40</v>
      </c>
      <c r="I21" s="37" t="s">
        <v>125</v>
      </c>
      <c r="J21" s="33">
        <v>5</v>
      </c>
      <c r="K21" s="39">
        <v>5.1249999999999997E-2</v>
      </c>
      <c r="L21" s="33">
        <v>2</v>
      </c>
      <c r="M21" s="40">
        <v>44995</v>
      </c>
      <c r="N21" s="41">
        <f t="shared" si="0"/>
        <v>4.8630136986301373</v>
      </c>
      <c r="O21" s="45">
        <v>46770</v>
      </c>
      <c r="P21" s="42">
        <v>98.704000000000008</v>
      </c>
      <c r="Q21" s="53">
        <v>5.4292E-2</v>
      </c>
      <c r="R21" s="44">
        <v>9000000</v>
      </c>
      <c r="S21" s="43">
        <f t="shared" si="1"/>
        <v>8883360.0000000019</v>
      </c>
      <c r="T21" s="44">
        <v>66625</v>
      </c>
      <c r="U21" s="43">
        <f t="shared" si="2"/>
        <v>8949985.0000000019</v>
      </c>
      <c r="V21" s="45">
        <f t="shared" si="3"/>
        <v>44997</v>
      </c>
      <c r="W21" s="46">
        <f t="shared" si="4"/>
        <v>10</v>
      </c>
      <c r="X21" s="46">
        <f t="shared" si="5"/>
        <v>2306250</v>
      </c>
      <c r="Y21" s="46">
        <f t="shared" si="6"/>
        <v>11306250</v>
      </c>
      <c r="Z21" s="47" t="str">
        <f t="shared" si="7"/>
        <v>5~6%</v>
      </c>
      <c r="AA21" s="47" t="str">
        <f t="shared" si="8"/>
        <v>3~5</v>
      </c>
      <c r="AB21" s="46">
        <f t="shared" si="9"/>
        <v>43523899.657534257</v>
      </c>
    </row>
    <row r="22" spans="1:28" s="33" customFormat="1">
      <c r="A22" s="33" t="s">
        <v>124</v>
      </c>
      <c r="B22" s="33" t="s">
        <v>101</v>
      </c>
      <c r="C22" s="33" t="s">
        <v>35</v>
      </c>
      <c r="D22" s="36" t="s">
        <v>61</v>
      </c>
      <c r="E22" s="37" t="s">
        <v>120</v>
      </c>
      <c r="F22" s="37" t="s">
        <v>120</v>
      </c>
      <c r="G22" s="33" t="s">
        <v>39</v>
      </c>
      <c r="H22" s="38" t="s">
        <v>40</v>
      </c>
      <c r="I22" s="37" t="s">
        <v>125</v>
      </c>
      <c r="J22" s="33">
        <v>5</v>
      </c>
      <c r="K22" s="39">
        <v>5.1249999999999997E-2</v>
      </c>
      <c r="L22" s="33">
        <v>2</v>
      </c>
      <c r="M22" s="40">
        <v>44995</v>
      </c>
      <c r="N22" s="41">
        <f t="shared" si="0"/>
        <v>4.8630136986301373</v>
      </c>
      <c r="O22" s="45">
        <v>46770</v>
      </c>
      <c r="P22" s="42">
        <v>98.704999999999998</v>
      </c>
      <c r="Q22" s="53">
        <v>5.4300000000000001E-2</v>
      </c>
      <c r="R22" s="44">
        <v>3000000</v>
      </c>
      <c r="S22" s="43">
        <f t="shared" si="1"/>
        <v>2961150</v>
      </c>
      <c r="T22" s="44">
        <v>22208.33</v>
      </c>
      <c r="U22" s="43">
        <f t="shared" si="2"/>
        <v>2983358.33</v>
      </c>
      <c r="V22" s="45">
        <f t="shared" si="3"/>
        <v>44997</v>
      </c>
      <c r="W22" s="46">
        <f t="shared" si="4"/>
        <v>10</v>
      </c>
      <c r="X22" s="46">
        <f t="shared" si="5"/>
        <v>768750</v>
      </c>
      <c r="Y22" s="46">
        <f t="shared" si="6"/>
        <v>3768750</v>
      </c>
      <c r="Z22" s="47" t="str">
        <f t="shared" si="7"/>
        <v>5~6%</v>
      </c>
      <c r="AA22" s="47" t="str">
        <f t="shared" si="8"/>
        <v>3~5</v>
      </c>
      <c r="AB22" s="46">
        <f t="shared" si="9"/>
        <v>14508112.42671233</v>
      </c>
    </row>
    <row r="23" spans="1:28" s="33" customFormat="1">
      <c r="A23" s="33" t="s">
        <v>126</v>
      </c>
      <c r="B23" s="33" t="s">
        <v>54</v>
      </c>
      <c r="C23" s="48" t="s">
        <v>43</v>
      </c>
      <c r="D23" s="33" t="s">
        <v>61</v>
      </c>
      <c r="E23" s="37" t="s">
        <v>55</v>
      </c>
      <c r="F23" s="49" t="s">
        <v>56</v>
      </c>
      <c r="G23" s="33" t="s">
        <v>57</v>
      </c>
      <c r="H23" s="33" t="s">
        <v>47</v>
      </c>
      <c r="I23" s="37" t="s">
        <v>127</v>
      </c>
      <c r="J23" s="33">
        <v>7</v>
      </c>
      <c r="K23" s="39">
        <v>4.4999999999999998E-2</v>
      </c>
      <c r="L23" s="33">
        <v>2</v>
      </c>
      <c r="M23" s="40">
        <v>45090</v>
      </c>
      <c r="N23" s="41">
        <f t="shared" si="0"/>
        <v>4.6547945205479451</v>
      </c>
      <c r="O23" s="45">
        <v>46789</v>
      </c>
      <c r="P23" s="42">
        <v>99.662999999999997</v>
      </c>
      <c r="Q23" s="53">
        <v>4.5699999999999998E-2</v>
      </c>
      <c r="R23" s="44">
        <v>700000</v>
      </c>
      <c r="S23" s="43">
        <f t="shared" si="1"/>
        <v>697641</v>
      </c>
      <c r="T23" s="44">
        <v>11112.5</v>
      </c>
      <c r="U23" s="43">
        <f t="shared" si="2"/>
        <v>708753.5</v>
      </c>
      <c r="V23" s="45">
        <f t="shared" si="3"/>
        <v>45092</v>
      </c>
      <c r="W23" s="46">
        <f t="shared" si="4"/>
        <v>10</v>
      </c>
      <c r="X23" s="46">
        <f t="shared" si="5"/>
        <v>157500</v>
      </c>
      <c r="Y23" s="46">
        <f t="shared" si="6"/>
        <v>857500</v>
      </c>
      <c r="Z23" s="47" t="str">
        <f t="shared" si="7"/>
        <v>4~5%</v>
      </c>
      <c r="AA23" s="47" t="str">
        <f t="shared" si="8"/>
        <v>3~5</v>
      </c>
      <c r="AB23" s="46">
        <f t="shared" si="9"/>
        <v>3299101.9082191782</v>
      </c>
    </row>
    <row r="24" spans="1:28" s="33" customFormat="1">
      <c r="A24" s="33" t="s">
        <v>126</v>
      </c>
      <c r="B24" s="33" t="s">
        <v>77</v>
      </c>
      <c r="C24" s="33" t="s">
        <v>60</v>
      </c>
      <c r="D24" s="36" t="s">
        <v>61</v>
      </c>
      <c r="E24" s="37" t="s">
        <v>55</v>
      </c>
      <c r="F24" s="37" t="s">
        <v>128</v>
      </c>
      <c r="G24" s="33" t="s">
        <v>57</v>
      </c>
      <c r="H24" s="38" t="s">
        <v>40</v>
      </c>
      <c r="I24" s="37" t="s">
        <v>129</v>
      </c>
      <c r="J24" s="33">
        <v>7</v>
      </c>
      <c r="K24" s="39">
        <v>4.4999999999999998E-2</v>
      </c>
      <c r="L24" s="33">
        <v>2</v>
      </c>
      <c r="M24" s="40">
        <v>45090</v>
      </c>
      <c r="N24" s="41">
        <f t="shared" si="0"/>
        <v>4.6547945205479451</v>
      </c>
      <c r="O24" s="45">
        <v>46789</v>
      </c>
      <c r="P24" s="42">
        <v>99.667000000000002</v>
      </c>
      <c r="Q24" s="53">
        <v>4.5699999999999998E-2</v>
      </c>
      <c r="R24" s="44">
        <v>370000</v>
      </c>
      <c r="S24" s="43">
        <f t="shared" si="1"/>
        <v>368767.9</v>
      </c>
      <c r="T24" s="44">
        <v>12930.56</v>
      </c>
      <c r="U24" s="43">
        <f t="shared" si="2"/>
        <v>381698.46</v>
      </c>
      <c r="V24" s="45">
        <f t="shared" si="3"/>
        <v>45092</v>
      </c>
      <c r="W24" s="46">
        <f t="shared" si="4"/>
        <v>10</v>
      </c>
      <c r="X24" s="46">
        <f t="shared" si="5"/>
        <v>83250</v>
      </c>
      <c r="Y24" s="46">
        <f t="shared" si="6"/>
        <v>453250</v>
      </c>
      <c r="Z24" s="47" t="str">
        <f t="shared" si="7"/>
        <v>4~5%</v>
      </c>
      <c r="AA24" s="47" t="str">
        <f t="shared" si="8"/>
        <v>3~5</v>
      </c>
      <c r="AB24" s="46">
        <f t="shared" si="9"/>
        <v>1776727.9001095891</v>
      </c>
    </row>
    <row r="25" spans="1:28" s="33" customFormat="1">
      <c r="A25" s="33" t="s">
        <v>126</v>
      </c>
      <c r="B25" s="33" t="s">
        <v>101</v>
      </c>
      <c r="C25" s="48" t="s">
        <v>43</v>
      </c>
      <c r="D25" s="33" t="s">
        <v>61</v>
      </c>
      <c r="E25" s="37" t="s">
        <v>55</v>
      </c>
      <c r="F25" s="49" t="s">
        <v>56</v>
      </c>
      <c r="G25" s="33" t="s">
        <v>57</v>
      </c>
      <c r="H25" s="33" t="s">
        <v>47</v>
      </c>
      <c r="I25" s="37" t="s">
        <v>127</v>
      </c>
      <c r="J25" s="33">
        <v>7</v>
      </c>
      <c r="K25" s="39">
        <v>4.4999999999999998E-2</v>
      </c>
      <c r="L25" s="33">
        <v>2</v>
      </c>
      <c r="M25" s="40">
        <v>45090</v>
      </c>
      <c r="N25" s="41">
        <f t="shared" si="0"/>
        <v>4.6547945205479451</v>
      </c>
      <c r="O25" s="45">
        <v>46789</v>
      </c>
      <c r="P25" s="42">
        <v>99.667099999999991</v>
      </c>
      <c r="Q25" s="53">
        <v>4.5699999999999998E-2</v>
      </c>
      <c r="R25" s="44">
        <v>310000</v>
      </c>
      <c r="S25" s="43">
        <f t="shared" si="1"/>
        <v>308968.00999999995</v>
      </c>
      <c r="T25" s="44">
        <v>4921.25</v>
      </c>
      <c r="U25" s="43">
        <f t="shared" si="2"/>
        <v>313889.25999999995</v>
      </c>
      <c r="V25" s="45">
        <f t="shared" si="3"/>
        <v>45092</v>
      </c>
      <c r="W25" s="46">
        <f t="shared" si="4"/>
        <v>10</v>
      </c>
      <c r="X25" s="46">
        <f t="shared" si="5"/>
        <v>69750</v>
      </c>
      <c r="Y25" s="46">
        <f t="shared" si="6"/>
        <v>379750</v>
      </c>
      <c r="Z25" s="47" t="str">
        <f t="shared" si="7"/>
        <v>4~5%</v>
      </c>
      <c r="AA25" s="47" t="str">
        <f t="shared" si="8"/>
        <v>3~5</v>
      </c>
      <c r="AB25" s="46">
        <f t="shared" si="9"/>
        <v>1461090.007506849</v>
      </c>
    </row>
    <row r="26" spans="1:28" s="33" customFormat="1">
      <c r="A26" s="33" t="s">
        <v>126</v>
      </c>
      <c r="B26" s="33" t="s">
        <v>34</v>
      </c>
      <c r="C26" s="33" t="s">
        <v>60</v>
      </c>
      <c r="D26" s="36" t="s">
        <v>61</v>
      </c>
      <c r="E26" s="37" t="s">
        <v>55</v>
      </c>
      <c r="F26" s="37" t="s">
        <v>128</v>
      </c>
      <c r="G26" s="33" t="s">
        <v>57</v>
      </c>
      <c r="H26" s="38" t="s">
        <v>40</v>
      </c>
      <c r="I26" s="37" t="s">
        <v>129</v>
      </c>
      <c r="J26" s="33">
        <v>7</v>
      </c>
      <c r="K26" s="39">
        <v>4.4999999999999998E-2</v>
      </c>
      <c r="L26" s="33">
        <v>2</v>
      </c>
      <c r="M26" s="40">
        <v>45090</v>
      </c>
      <c r="N26" s="41">
        <f t="shared" si="0"/>
        <v>4.6547945205479451</v>
      </c>
      <c r="O26" s="45">
        <v>46789</v>
      </c>
      <c r="P26" s="42">
        <v>99.667000000000002</v>
      </c>
      <c r="Q26" s="53">
        <v>4.5699999999999998E-2</v>
      </c>
      <c r="R26" s="44">
        <v>650000</v>
      </c>
      <c r="S26" s="43">
        <f t="shared" si="1"/>
        <v>647835.5</v>
      </c>
      <c r="T26" s="44">
        <v>0</v>
      </c>
      <c r="U26" s="43">
        <f t="shared" si="2"/>
        <v>647835.5</v>
      </c>
      <c r="V26" s="45">
        <f t="shared" si="3"/>
        <v>45092</v>
      </c>
      <c r="W26" s="46">
        <f t="shared" si="4"/>
        <v>10</v>
      </c>
      <c r="X26" s="46">
        <f t="shared" si="5"/>
        <v>146250</v>
      </c>
      <c r="Y26" s="46">
        <f t="shared" si="6"/>
        <v>796250</v>
      </c>
      <c r="Z26" s="47" t="str">
        <f t="shared" si="7"/>
        <v>4~5%</v>
      </c>
      <c r="AA26" s="47" t="str">
        <f t="shared" si="8"/>
        <v>3~5</v>
      </c>
      <c r="AB26" s="46">
        <f t="shared" si="9"/>
        <v>3015541.1356164385</v>
      </c>
    </row>
    <row r="27" spans="1:28" s="33" customFormat="1">
      <c r="A27" s="33" t="s">
        <v>130</v>
      </c>
      <c r="B27" s="33" t="s">
        <v>54</v>
      </c>
      <c r="C27" s="33" t="s">
        <v>35</v>
      </c>
      <c r="D27" s="36" t="s">
        <v>61</v>
      </c>
      <c r="E27" s="37" t="s">
        <v>131</v>
      </c>
      <c r="F27" s="37" t="s">
        <v>132</v>
      </c>
      <c r="G27" s="33" t="s">
        <v>39</v>
      </c>
      <c r="H27" s="38" t="s">
        <v>40</v>
      </c>
      <c r="I27" s="37" t="s">
        <v>133</v>
      </c>
      <c r="J27" s="33">
        <v>5</v>
      </c>
      <c r="K27" s="39">
        <v>4.8460000000000003E-2</v>
      </c>
      <c r="L27" s="33">
        <v>2</v>
      </c>
      <c r="M27" s="40">
        <v>45259</v>
      </c>
      <c r="N27" s="41">
        <f t="shared" si="0"/>
        <v>4.1945205479452055</v>
      </c>
      <c r="O27" s="45">
        <v>46790</v>
      </c>
      <c r="P27" s="42">
        <v>98.009999999999991</v>
      </c>
      <c r="Q27" s="53">
        <v>5.3775000000000003E-2</v>
      </c>
      <c r="R27" s="44">
        <v>1025000</v>
      </c>
      <c r="S27" s="43">
        <f t="shared" si="1"/>
        <v>1004602.4999999999</v>
      </c>
      <c r="T27" s="44">
        <v>15453.36</v>
      </c>
      <c r="U27" s="43">
        <f t="shared" si="2"/>
        <v>1020055.8599999999</v>
      </c>
      <c r="V27" s="45">
        <f t="shared" si="3"/>
        <v>45261</v>
      </c>
      <c r="W27" s="46">
        <f t="shared" si="4"/>
        <v>9</v>
      </c>
      <c r="X27" s="46">
        <f t="shared" si="5"/>
        <v>223521.75</v>
      </c>
      <c r="Y27" s="46">
        <f t="shared" si="6"/>
        <v>1248521.75</v>
      </c>
      <c r="Z27" s="47" t="str">
        <f t="shared" si="7"/>
        <v>5~6%</v>
      </c>
      <c r="AA27" s="47" t="str">
        <f t="shared" si="8"/>
        <v>3~5</v>
      </c>
      <c r="AB27" s="46">
        <f t="shared" si="9"/>
        <v>4278645.2648219168</v>
      </c>
    </row>
    <row r="28" spans="1:28" s="33" customFormat="1">
      <c r="A28" s="33" t="s">
        <v>134</v>
      </c>
      <c r="B28" s="33" t="s">
        <v>101</v>
      </c>
      <c r="C28" s="33" t="s">
        <v>60</v>
      </c>
      <c r="D28" s="36" t="s">
        <v>135</v>
      </c>
      <c r="E28" s="37" t="s">
        <v>136</v>
      </c>
      <c r="F28" s="49" t="s">
        <v>137</v>
      </c>
      <c r="G28" s="33" t="s">
        <v>57</v>
      </c>
      <c r="H28" s="38" t="s">
        <v>40</v>
      </c>
      <c r="I28" s="37" t="s">
        <v>138</v>
      </c>
      <c r="J28" s="33">
        <v>6</v>
      </c>
      <c r="K28" s="39">
        <v>4.8750000000000002E-2</v>
      </c>
      <c r="L28" s="33">
        <v>2</v>
      </c>
      <c r="M28" s="40">
        <v>45252</v>
      </c>
      <c r="N28" s="41">
        <f t="shared" si="0"/>
        <v>4.2219178082191782</v>
      </c>
      <c r="O28" s="45">
        <v>46793</v>
      </c>
      <c r="P28" s="42">
        <v>100.39</v>
      </c>
      <c r="Q28" s="53">
        <v>4.7600000000000003E-2</v>
      </c>
      <c r="R28" s="44">
        <v>200000</v>
      </c>
      <c r="S28" s="43">
        <f t="shared" si="1"/>
        <v>200780</v>
      </c>
      <c r="T28" s="44">
        <v>2897.92</v>
      </c>
      <c r="U28" s="43">
        <f t="shared" si="2"/>
        <v>203677.92</v>
      </c>
      <c r="V28" s="45">
        <f t="shared" si="3"/>
        <v>45254</v>
      </c>
      <c r="W28" s="46">
        <f t="shared" si="4"/>
        <v>9</v>
      </c>
      <c r="X28" s="46">
        <f t="shared" si="5"/>
        <v>43875</v>
      </c>
      <c r="Y28" s="46">
        <f t="shared" si="6"/>
        <v>243875</v>
      </c>
      <c r="Z28" s="47" t="str">
        <f t="shared" si="7"/>
        <v>4~5%</v>
      </c>
      <c r="AA28" s="47" t="str">
        <f t="shared" si="8"/>
        <v>3~5</v>
      </c>
      <c r="AB28" s="46">
        <f t="shared" si="9"/>
        <v>859911.43758904119</v>
      </c>
    </row>
    <row r="29" spans="1:28" s="33" customFormat="1">
      <c r="A29" s="33" t="s">
        <v>139</v>
      </c>
      <c r="B29" s="33" t="s">
        <v>119</v>
      </c>
      <c r="C29" s="48" t="s">
        <v>67</v>
      </c>
      <c r="D29" s="33" t="s">
        <v>61</v>
      </c>
      <c r="E29" s="37" t="s">
        <v>140</v>
      </c>
      <c r="F29" s="49" t="s">
        <v>141</v>
      </c>
      <c r="G29" s="33" t="s">
        <v>39</v>
      </c>
      <c r="H29" s="33" t="s">
        <v>47</v>
      </c>
      <c r="I29" s="37" t="s">
        <v>142</v>
      </c>
      <c r="J29" s="33">
        <v>5</v>
      </c>
      <c r="K29" s="39">
        <v>7.4999999999999997E-2</v>
      </c>
      <c r="L29" s="33">
        <v>2</v>
      </c>
      <c r="M29" s="40">
        <v>45436</v>
      </c>
      <c r="N29" s="41">
        <f t="shared" si="0"/>
        <v>3.7315068493150685</v>
      </c>
      <c r="O29" s="45">
        <v>46798</v>
      </c>
      <c r="P29" s="42">
        <v>107.32</v>
      </c>
      <c r="Q29" s="53">
        <v>5.2999999999999999E-2</v>
      </c>
      <c r="R29" s="44">
        <v>2800000</v>
      </c>
      <c r="S29" s="43">
        <f t="shared" si="1"/>
        <v>3004960</v>
      </c>
      <c r="T29" s="44">
        <v>60083.33</v>
      </c>
      <c r="U29" s="43">
        <f t="shared" si="2"/>
        <v>3065043.33</v>
      </c>
      <c r="V29" s="45">
        <f t="shared" si="3"/>
        <v>45438</v>
      </c>
      <c r="W29" s="46">
        <f t="shared" si="4"/>
        <v>8</v>
      </c>
      <c r="X29" s="46">
        <f t="shared" si="5"/>
        <v>840000</v>
      </c>
      <c r="Y29" s="46">
        <f t="shared" si="6"/>
        <v>3640000</v>
      </c>
      <c r="Z29" s="47" t="str">
        <f t="shared" si="7"/>
        <v>5~6%</v>
      </c>
      <c r="AA29" s="47" t="str">
        <f t="shared" si="8"/>
        <v>3~5</v>
      </c>
      <c r="AB29" s="46">
        <f t="shared" si="9"/>
        <v>11437230.179342465</v>
      </c>
    </row>
    <row r="30" spans="1:28" s="33" customFormat="1">
      <c r="A30" s="33" t="s">
        <v>143</v>
      </c>
      <c r="B30" s="33" t="s">
        <v>54</v>
      </c>
      <c r="C30" s="33" t="s">
        <v>35</v>
      </c>
      <c r="D30" s="36" t="s">
        <v>61</v>
      </c>
      <c r="E30" s="37" t="s">
        <v>144</v>
      </c>
      <c r="F30" s="37" t="s">
        <v>145</v>
      </c>
      <c r="G30" s="33" t="s">
        <v>39</v>
      </c>
      <c r="H30" s="38" t="s">
        <v>40</v>
      </c>
      <c r="I30" s="37" t="s">
        <v>133</v>
      </c>
      <c r="J30" s="33">
        <v>5</v>
      </c>
      <c r="K30" s="39">
        <v>4.9020000000000001E-2</v>
      </c>
      <c r="L30" s="33">
        <v>2</v>
      </c>
      <c r="M30" s="40">
        <v>45259</v>
      </c>
      <c r="N30" s="41">
        <f t="shared" si="0"/>
        <v>4.2164383561643834</v>
      </c>
      <c r="O30" s="45">
        <v>46798</v>
      </c>
      <c r="P30" s="42">
        <v>98.21</v>
      </c>
      <c r="Q30" s="53">
        <v>5.3800000000000001E-2</v>
      </c>
      <c r="R30" s="44">
        <v>1400000</v>
      </c>
      <c r="S30" s="43">
        <f t="shared" si="1"/>
        <v>1374940</v>
      </c>
      <c r="T30" s="44">
        <v>19825.87</v>
      </c>
      <c r="U30" s="43">
        <f t="shared" si="2"/>
        <v>1394765.87</v>
      </c>
      <c r="V30" s="45">
        <f t="shared" si="3"/>
        <v>45261</v>
      </c>
      <c r="W30" s="46">
        <f t="shared" si="4"/>
        <v>9</v>
      </c>
      <c r="X30" s="46">
        <f t="shared" si="5"/>
        <v>308826</v>
      </c>
      <c r="Y30" s="46">
        <f t="shared" si="6"/>
        <v>1708826</v>
      </c>
      <c r="Z30" s="47" t="str">
        <f t="shared" si="7"/>
        <v>5~6%</v>
      </c>
      <c r="AA30" s="47" t="str">
        <f t="shared" si="8"/>
        <v>3~5</v>
      </c>
      <c r="AB30" s="46">
        <f t="shared" si="9"/>
        <v>5880944.3121369863</v>
      </c>
    </row>
    <row r="31" spans="1:28" s="33" customFormat="1" ht="26.25">
      <c r="A31" s="33" t="s">
        <v>146</v>
      </c>
      <c r="B31" s="33" t="s">
        <v>77</v>
      </c>
      <c r="C31" s="33" t="s">
        <v>35</v>
      </c>
      <c r="D31" s="33" t="s">
        <v>61</v>
      </c>
      <c r="E31" s="37" t="s">
        <v>147</v>
      </c>
      <c r="F31" s="49" t="s">
        <v>148</v>
      </c>
      <c r="G31" s="33" t="s">
        <v>39</v>
      </c>
      <c r="H31" s="33" t="s">
        <v>47</v>
      </c>
      <c r="I31" s="37" t="s">
        <v>149</v>
      </c>
      <c r="J31" s="33">
        <v>6</v>
      </c>
      <c r="K31" s="39">
        <v>4.9020000000000001E-2</v>
      </c>
      <c r="L31" s="33">
        <v>2</v>
      </c>
      <c r="M31" s="40">
        <v>45259</v>
      </c>
      <c r="N31" s="41">
        <f t="shared" si="0"/>
        <v>4.2164383561643834</v>
      </c>
      <c r="O31" s="45">
        <v>46798</v>
      </c>
      <c r="P31" s="42">
        <v>98.21</v>
      </c>
      <c r="Q31" s="53">
        <v>5.3800000000000001E-2</v>
      </c>
      <c r="R31" s="44">
        <v>1910000</v>
      </c>
      <c r="S31" s="43">
        <f t="shared" si="1"/>
        <v>1875811</v>
      </c>
      <c r="T31" s="44">
        <v>33833.33</v>
      </c>
      <c r="U31" s="43">
        <f t="shared" si="2"/>
        <v>1909644.33</v>
      </c>
      <c r="V31" s="45">
        <f t="shared" si="3"/>
        <v>45261</v>
      </c>
      <c r="W31" s="46">
        <f t="shared" si="4"/>
        <v>9</v>
      </c>
      <c r="X31" s="46">
        <f t="shared" si="5"/>
        <v>421326.89999999997</v>
      </c>
      <c r="Y31" s="46">
        <f t="shared" si="6"/>
        <v>2331326.9</v>
      </c>
      <c r="Z31" s="47" t="str">
        <f t="shared" si="7"/>
        <v>5~6%</v>
      </c>
      <c r="AA31" s="47" t="str">
        <f t="shared" si="8"/>
        <v>3~5</v>
      </c>
      <c r="AB31" s="46">
        <f t="shared" si="9"/>
        <v>8051897.5996438358</v>
      </c>
    </row>
    <row r="32" spans="1:28" s="33" customFormat="1">
      <c r="A32" s="33" t="s">
        <v>143</v>
      </c>
      <c r="B32" s="33" t="s">
        <v>91</v>
      </c>
      <c r="C32" s="48" t="s">
        <v>67</v>
      </c>
      <c r="D32" s="33" t="s">
        <v>61</v>
      </c>
      <c r="E32" s="37" t="s">
        <v>150</v>
      </c>
      <c r="F32" s="49" t="s">
        <v>151</v>
      </c>
      <c r="G32" s="33" t="s">
        <v>39</v>
      </c>
      <c r="H32" s="33" t="s">
        <v>47</v>
      </c>
      <c r="I32" s="37" t="s">
        <v>152</v>
      </c>
      <c r="J32" s="33">
        <v>5</v>
      </c>
      <c r="K32" s="39">
        <v>4.9020000000000001E-2</v>
      </c>
      <c r="L32" s="33">
        <v>2</v>
      </c>
      <c r="M32" s="40">
        <v>45259</v>
      </c>
      <c r="N32" s="41">
        <f t="shared" si="0"/>
        <v>4.2164383561643834</v>
      </c>
      <c r="O32" s="45">
        <v>46798</v>
      </c>
      <c r="P32" s="42">
        <v>98.21</v>
      </c>
      <c r="Q32" s="53">
        <v>5.3805749999999999E-2</v>
      </c>
      <c r="R32" s="44">
        <v>156000</v>
      </c>
      <c r="S32" s="43">
        <f t="shared" si="1"/>
        <v>153207.59999999998</v>
      </c>
      <c r="T32" s="44">
        <v>2209.17</v>
      </c>
      <c r="U32" s="43">
        <f t="shared" si="2"/>
        <v>155416.76999999999</v>
      </c>
      <c r="V32" s="45">
        <f t="shared" si="3"/>
        <v>45261</v>
      </c>
      <c r="W32" s="46">
        <f t="shared" si="4"/>
        <v>9</v>
      </c>
      <c r="X32" s="46">
        <f t="shared" si="5"/>
        <v>34412.04</v>
      </c>
      <c r="Y32" s="46">
        <f t="shared" si="6"/>
        <v>190412.04</v>
      </c>
      <c r="Z32" s="47" t="str">
        <f t="shared" si="7"/>
        <v>5~6%</v>
      </c>
      <c r="AA32" s="47" t="str">
        <f t="shared" si="8"/>
        <v>3~5</v>
      </c>
      <c r="AB32" s="46">
        <f t="shared" si="9"/>
        <v>655305.23021917802</v>
      </c>
    </row>
    <row r="33" spans="1:28" s="33" customFormat="1">
      <c r="A33" s="33" t="s">
        <v>143</v>
      </c>
      <c r="B33" s="33" t="s">
        <v>54</v>
      </c>
      <c r="C33" s="48" t="s">
        <v>67</v>
      </c>
      <c r="D33" s="33" t="s">
        <v>61</v>
      </c>
      <c r="E33" s="37" t="s">
        <v>144</v>
      </c>
      <c r="F33" s="37" t="s">
        <v>145</v>
      </c>
      <c r="G33" s="33" t="s">
        <v>39</v>
      </c>
      <c r="H33" s="33" t="s">
        <v>47</v>
      </c>
      <c r="I33" s="37" t="s">
        <v>153</v>
      </c>
      <c r="J33" s="33">
        <v>5</v>
      </c>
      <c r="K33" s="39">
        <v>4.9020000000000001E-2</v>
      </c>
      <c r="L33" s="33">
        <v>2</v>
      </c>
      <c r="M33" s="40">
        <v>45258</v>
      </c>
      <c r="N33" s="41">
        <f t="shared" si="0"/>
        <v>4.2191780821917808</v>
      </c>
      <c r="O33" s="45">
        <v>46798</v>
      </c>
      <c r="P33" s="42">
        <v>98.32</v>
      </c>
      <c r="Q33" s="53">
        <v>5.3499999999999999E-2</v>
      </c>
      <c r="R33" s="44">
        <v>4600000</v>
      </c>
      <c r="S33" s="43">
        <f t="shared" si="1"/>
        <v>4522719.9999999991</v>
      </c>
      <c r="T33" s="44">
        <v>64515.77</v>
      </c>
      <c r="U33" s="43">
        <f t="shared" si="2"/>
        <v>4587235.7699999986</v>
      </c>
      <c r="V33" s="45">
        <f t="shared" si="3"/>
        <v>45260</v>
      </c>
      <c r="W33" s="46">
        <f t="shared" si="4"/>
        <v>9</v>
      </c>
      <c r="X33" s="46">
        <f t="shared" si="5"/>
        <v>1014714</v>
      </c>
      <c r="Y33" s="46">
        <f t="shared" si="6"/>
        <v>5614714</v>
      </c>
      <c r="Z33" s="47" t="str">
        <f t="shared" si="7"/>
        <v>5~6%</v>
      </c>
      <c r="AA33" s="47" t="str">
        <f t="shared" si="8"/>
        <v>3~5</v>
      </c>
      <c r="AB33" s="46">
        <f t="shared" si="9"/>
        <v>19354364.61863013</v>
      </c>
    </row>
    <row r="34" spans="1:28" s="33" customFormat="1" ht="26.25">
      <c r="A34" s="33" t="s">
        <v>146</v>
      </c>
      <c r="B34" s="33" t="s">
        <v>77</v>
      </c>
      <c r="C34" s="33" t="s">
        <v>35</v>
      </c>
      <c r="D34" s="36" t="s">
        <v>61</v>
      </c>
      <c r="E34" s="37" t="s">
        <v>147</v>
      </c>
      <c r="F34" s="49" t="s">
        <v>148</v>
      </c>
      <c r="G34" s="33" t="s">
        <v>39</v>
      </c>
      <c r="H34" s="38" t="s">
        <v>40</v>
      </c>
      <c r="I34" s="37" t="s">
        <v>154</v>
      </c>
      <c r="J34" s="33">
        <v>6</v>
      </c>
      <c r="K34" s="39">
        <v>3.7499999999999999E-2</v>
      </c>
      <c r="L34" s="33">
        <v>2</v>
      </c>
      <c r="M34" s="40">
        <v>45177</v>
      </c>
      <c r="N34" s="41">
        <f t="shared" si="0"/>
        <v>4.4602739726027396</v>
      </c>
      <c r="O34" s="45">
        <v>46805</v>
      </c>
      <c r="P34" s="42">
        <v>95.57</v>
      </c>
      <c r="Q34" s="53">
        <v>4.8669999999999998E-2</v>
      </c>
      <c r="R34" s="44">
        <v>2500000</v>
      </c>
      <c r="S34" s="43">
        <f t="shared" si="1"/>
        <v>2389249.9999999995</v>
      </c>
      <c r="T34" s="44">
        <v>5961.11</v>
      </c>
      <c r="U34" s="43">
        <f t="shared" si="2"/>
        <v>2395211.1099999994</v>
      </c>
      <c r="V34" s="45">
        <f t="shared" si="3"/>
        <v>45179</v>
      </c>
      <c r="W34" s="46">
        <f t="shared" si="4"/>
        <v>9</v>
      </c>
      <c r="X34" s="46">
        <f t="shared" si="5"/>
        <v>421875</v>
      </c>
      <c r="Y34" s="46">
        <f t="shared" si="6"/>
        <v>2921875</v>
      </c>
      <c r="Z34" s="47" t="str">
        <f t="shared" si="7"/>
        <v>4~5%</v>
      </c>
      <c r="AA34" s="47" t="str">
        <f t="shared" si="8"/>
        <v>3~5</v>
      </c>
      <c r="AB34" s="46">
        <f t="shared" si="9"/>
        <v>10683297.772821914</v>
      </c>
    </row>
    <row r="35" spans="1:28" s="33" customFormat="1">
      <c r="A35" s="33" t="s">
        <v>155</v>
      </c>
      <c r="B35" s="33" t="s">
        <v>101</v>
      </c>
      <c r="C35" s="48" t="s">
        <v>67</v>
      </c>
      <c r="D35" s="33" t="s">
        <v>61</v>
      </c>
      <c r="E35" s="37" t="s">
        <v>156</v>
      </c>
      <c r="F35" s="49" t="s">
        <v>157</v>
      </c>
      <c r="G35" s="33" t="s">
        <v>39</v>
      </c>
      <c r="H35" s="33" t="s">
        <v>47</v>
      </c>
      <c r="I35" s="37" t="s">
        <v>158</v>
      </c>
      <c r="J35" s="33">
        <v>5</v>
      </c>
      <c r="K35" s="39">
        <v>5.5E-2</v>
      </c>
      <c r="L35" s="33">
        <v>2</v>
      </c>
      <c r="M35" s="40">
        <v>44994</v>
      </c>
      <c r="N35" s="41">
        <f t="shared" si="0"/>
        <v>5.0054794520547947</v>
      </c>
      <c r="O35" s="45">
        <v>46821</v>
      </c>
      <c r="P35" s="42">
        <v>101.82</v>
      </c>
      <c r="Q35" s="53">
        <v>5.0799999999999998E-2</v>
      </c>
      <c r="R35" s="44">
        <v>3000000</v>
      </c>
      <c r="S35" s="43">
        <f t="shared" si="1"/>
        <v>3054600</v>
      </c>
      <c r="T35" s="44">
        <v>0</v>
      </c>
      <c r="U35" s="43">
        <f t="shared" si="2"/>
        <v>3054600</v>
      </c>
      <c r="V35" s="45">
        <f t="shared" si="3"/>
        <v>44996</v>
      </c>
      <c r="W35" s="46">
        <v>10</v>
      </c>
      <c r="X35" s="46">
        <f t="shared" si="5"/>
        <v>825000</v>
      </c>
      <c r="Y35" s="46">
        <f t="shared" si="6"/>
        <v>3825000</v>
      </c>
      <c r="Z35" s="47" t="str">
        <f t="shared" si="7"/>
        <v>5~6%</v>
      </c>
      <c r="AA35" s="47" t="str">
        <f t="shared" si="8"/>
        <v>5~7</v>
      </c>
      <c r="AB35" s="46">
        <f t="shared" si="9"/>
        <v>15289737.534246575</v>
      </c>
    </row>
    <row r="36" spans="1:28" s="33" customFormat="1" ht="26.25">
      <c r="A36" s="33" t="s">
        <v>155</v>
      </c>
      <c r="B36" s="33" t="s">
        <v>34</v>
      </c>
      <c r="C36" s="48" t="s">
        <v>67</v>
      </c>
      <c r="D36" s="33" t="s">
        <v>61</v>
      </c>
      <c r="E36" s="37" t="s">
        <v>159</v>
      </c>
      <c r="F36" s="49" t="s">
        <v>157</v>
      </c>
      <c r="G36" s="33" t="s">
        <v>39</v>
      </c>
      <c r="H36" s="33" t="s">
        <v>47</v>
      </c>
      <c r="I36" s="37" t="s">
        <v>158</v>
      </c>
      <c r="J36" s="33">
        <v>5</v>
      </c>
      <c r="K36" s="39">
        <v>5.5E-2</v>
      </c>
      <c r="L36" s="33">
        <v>2</v>
      </c>
      <c r="M36" s="40">
        <v>44994</v>
      </c>
      <c r="N36" s="41">
        <f t="shared" si="0"/>
        <v>5.0054794520547947</v>
      </c>
      <c r="O36" s="45">
        <v>46821</v>
      </c>
      <c r="P36" s="42">
        <v>101.82</v>
      </c>
      <c r="Q36" s="53">
        <v>5.0799999999999998E-2</v>
      </c>
      <c r="R36" s="44">
        <v>1800000</v>
      </c>
      <c r="S36" s="43">
        <f t="shared" si="1"/>
        <v>1832760</v>
      </c>
      <c r="T36" s="44">
        <v>0</v>
      </c>
      <c r="U36" s="43">
        <f t="shared" si="2"/>
        <v>1832760</v>
      </c>
      <c r="V36" s="45">
        <f t="shared" si="3"/>
        <v>44996</v>
      </c>
      <c r="W36" s="46">
        <v>10</v>
      </c>
      <c r="X36" s="46">
        <f t="shared" si="5"/>
        <v>495000</v>
      </c>
      <c r="Y36" s="46">
        <f t="shared" si="6"/>
        <v>2295000</v>
      </c>
      <c r="Z36" s="47" t="str">
        <f t="shared" si="7"/>
        <v>5~6%</v>
      </c>
      <c r="AA36" s="47" t="str">
        <f t="shared" si="8"/>
        <v>5~7</v>
      </c>
      <c r="AB36" s="46">
        <f t="shared" si="9"/>
        <v>9173842.5205479451</v>
      </c>
    </row>
    <row r="37" spans="1:28" s="33" customFormat="1">
      <c r="A37" s="33" t="s">
        <v>160</v>
      </c>
      <c r="B37" s="33" t="s">
        <v>34</v>
      </c>
      <c r="C37" s="33" t="s">
        <v>60</v>
      </c>
      <c r="D37" s="36" t="s">
        <v>61</v>
      </c>
      <c r="E37" s="37" t="s">
        <v>161</v>
      </c>
      <c r="F37" s="37" t="s">
        <v>162</v>
      </c>
      <c r="G37" s="33" t="s">
        <v>163</v>
      </c>
      <c r="H37" s="38" t="s">
        <v>40</v>
      </c>
      <c r="I37" s="37" t="s">
        <v>164</v>
      </c>
      <c r="J37" s="33">
        <v>8</v>
      </c>
      <c r="K37" s="39">
        <v>2.1000000000000001E-2</v>
      </c>
      <c r="L37" s="33">
        <v>2</v>
      </c>
      <c r="M37" s="40">
        <v>44984</v>
      </c>
      <c r="N37" s="41">
        <f t="shared" si="0"/>
        <v>5.0684931506849313</v>
      </c>
      <c r="O37" s="45">
        <v>46834</v>
      </c>
      <c r="P37" s="42">
        <v>87.7</v>
      </c>
      <c r="Q37" s="53">
        <v>4.8599999999999997E-2</v>
      </c>
      <c r="R37" s="44">
        <v>1500000</v>
      </c>
      <c r="S37" s="43">
        <f t="shared" si="1"/>
        <v>1315500</v>
      </c>
      <c r="T37" s="44">
        <v>0</v>
      </c>
      <c r="U37" s="43">
        <f t="shared" si="2"/>
        <v>1315500</v>
      </c>
      <c r="V37" s="45">
        <f t="shared" si="3"/>
        <v>44986</v>
      </c>
      <c r="W37" s="46">
        <f t="shared" ref="W37:W44" si="10">_xlfn.CEILING.MATH(N37*L37)</f>
        <v>11</v>
      </c>
      <c r="X37" s="46">
        <f t="shared" si="5"/>
        <v>173250.00000000003</v>
      </c>
      <c r="Y37" s="46">
        <f t="shared" si="6"/>
        <v>1673250</v>
      </c>
      <c r="Z37" s="47" t="str">
        <f t="shared" si="7"/>
        <v>4~5%</v>
      </c>
      <c r="AA37" s="47" t="str">
        <f t="shared" si="8"/>
        <v>5~7</v>
      </c>
      <c r="AB37" s="46">
        <f t="shared" si="9"/>
        <v>6667602.7397260275</v>
      </c>
    </row>
    <row r="38" spans="1:28" s="33" customFormat="1">
      <c r="A38" s="33" t="s">
        <v>165</v>
      </c>
      <c r="B38" s="33" t="s">
        <v>77</v>
      </c>
      <c r="C38" s="48" t="s">
        <v>43</v>
      </c>
      <c r="D38" s="33" t="s">
        <v>61</v>
      </c>
      <c r="E38" s="37" t="s">
        <v>166</v>
      </c>
      <c r="F38" s="49" t="s">
        <v>167</v>
      </c>
      <c r="G38" s="33" t="s">
        <v>168</v>
      </c>
      <c r="H38" s="33" t="s">
        <v>47</v>
      </c>
      <c r="I38" s="37" t="s">
        <v>149</v>
      </c>
      <c r="J38" s="33">
        <v>6</v>
      </c>
      <c r="K38" s="39">
        <v>4.7500000000000001E-2</v>
      </c>
      <c r="L38" s="33">
        <v>2</v>
      </c>
      <c r="M38" s="40">
        <v>45051</v>
      </c>
      <c r="N38" s="41">
        <f t="shared" si="0"/>
        <v>4.9671232876712326</v>
      </c>
      <c r="O38" s="45">
        <v>46864</v>
      </c>
      <c r="P38" s="42">
        <v>102.23699999999999</v>
      </c>
      <c r="Q38" s="53">
        <v>4.24E-2</v>
      </c>
      <c r="R38" s="44">
        <v>7000000</v>
      </c>
      <c r="S38" s="43">
        <f t="shared" si="1"/>
        <v>7156590</v>
      </c>
      <c r="T38" s="44">
        <v>226777.78</v>
      </c>
      <c r="U38" s="43">
        <f t="shared" si="2"/>
        <v>7383367.7800000003</v>
      </c>
      <c r="V38" s="45">
        <f t="shared" si="3"/>
        <v>45053</v>
      </c>
      <c r="W38" s="46">
        <f t="shared" si="10"/>
        <v>10</v>
      </c>
      <c r="X38" s="46">
        <f t="shared" si="5"/>
        <v>1662500</v>
      </c>
      <c r="Y38" s="46">
        <f t="shared" si="6"/>
        <v>8662500</v>
      </c>
      <c r="Z38" s="47" t="str">
        <f t="shared" si="7"/>
        <v>4~5%</v>
      </c>
      <c r="AA38" s="47" t="str">
        <f t="shared" si="8"/>
        <v>3~5</v>
      </c>
      <c r="AB38" s="46">
        <f t="shared" si="9"/>
        <v>36674098.041479453</v>
      </c>
    </row>
    <row r="39" spans="1:28" s="33" customFormat="1">
      <c r="A39" s="33" t="s">
        <v>169</v>
      </c>
      <c r="B39" s="33" t="s">
        <v>77</v>
      </c>
      <c r="C39" s="33" t="s">
        <v>60</v>
      </c>
      <c r="D39" s="36" t="s">
        <v>61</v>
      </c>
      <c r="E39" s="37" t="s">
        <v>170</v>
      </c>
      <c r="F39" s="37" t="s">
        <v>171</v>
      </c>
      <c r="G39" s="33" t="s">
        <v>172</v>
      </c>
      <c r="H39" s="38" t="s">
        <v>40</v>
      </c>
      <c r="I39" s="37" t="s">
        <v>133</v>
      </c>
      <c r="J39" s="33">
        <v>5</v>
      </c>
      <c r="K39" s="39">
        <v>4.5999999999999999E-2</v>
      </c>
      <c r="L39" s="33">
        <v>2</v>
      </c>
      <c r="M39" s="40">
        <v>45051</v>
      </c>
      <c r="N39" s="41">
        <f t="shared" si="0"/>
        <v>5.0328767123287674</v>
      </c>
      <c r="O39" s="45">
        <v>46888</v>
      </c>
      <c r="P39" s="42">
        <v>101.854</v>
      </c>
      <c r="Q39" s="53">
        <v>4.1799999999999997E-2</v>
      </c>
      <c r="R39" s="44">
        <v>5000000</v>
      </c>
      <c r="S39" s="43">
        <f t="shared" si="1"/>
        <v>5092700</v>
      </c>
      <c r="T39" s="44">
        <v>111.11</v>
      </c>
      <c r="U39" s="43">
        <f t="shared" si="2"/>
        <v>5092811.1100000003</v>
      </c>
      <c r="V39" s="45">
        <f t="shared" si="3"/>
        <v>45053</v>
      </c>
      <c r="W39" s="46">
        <f t="shared" si="10"/>
        <v>11</v>
      </c>
      <c r="X39" s="46">
        <f t="shared" si="5"/>
        <v>1265000</v>
      </c>
      <c r="Y39" s="46">
        <f t="shared" si="6"/>
        <v>6265000</v>
      </c>
      <c r="Z39" s="47" t="str">
        <f t="shared" si="7"/>
        <v>4~5%</v>
      </c>
      <c r="AA39" s="47" t="str">
        <f t="shared" si="8"/>
        <v>5~7</v>
      </c>
      <c r="AB39" s="46">
        <f t="shared" si="9"/>
        <v>25631490.435808223</v>
      </c>
    </row>
    <row r="40" spans="1:28" s="33" customFormat="1">
      <c r="A40" s="33" t="s">
        <v>173</v>
      </c>
      <c r="B40" s="33" t="s">
        <v>54</v>
      </c>
      <c r="C40" s="48" t="s">
        <v>43</v>
      </c>
      <c r="D40" s="33" t="s">
        <v>61</v>
      </c>
      <c r="E40" s="37" t="s">
        <v>174</v>
      </c>
      <c r="F40" s="49" t="s">
        <v>175</v>
      </c>
      <c r="G40" s="33" t="s">
        <v>176</v>
      </c>
      <c r="H40" s="33" t="s">
        <v>47</v>
      </c>
      <c r="I40" s="37" t="s">
        <v>177</v>
      </c>
      <c r="J40" s="33">
        <v>3</v>
      </c>
      <c r="K40" s="39">
        <v>3.6999999999999998E-2</v>
      </c>
      <c r="L40" s="33">
        <v>2</v>
      </c>
      <c r="M40" s="40">
        <v>45013</v>
      </c>
      <c r="N40" s="41">
        <f t="shared" si="0"/>
        <v>5.2520547945205482</v>
      </c>
      <c r="O40" s="45">
        <v>46930</v>
      </c>
      <c r="P40" s="42">
        <v>99.99</v>
      </c>
      <c r="Q40" s="53">
        <v>3.7020999999999998E-2</v>
      </c>
      <c r="R40" s="44">
        <v>4000000</v>
      </c>
      <c r="S40" s="43">
        <f t="shared" si="1"/>
        <v>3999600</v>
      </c>
      <c r="T40" s="44">
        <v>37822.22</v>
      </c>
      <c r="U40" s="43">
        <f t="shared" si="2"/>
        <v>4037422.22</v>
      </c>
      <c r="V40" s="45">
        <f t="shared" si="3"/>
        <v>45015</v>
      </c>
      <c r="W40" s="46">
        <f t="shared" si="10"/>
        <v>11</v>
      </c>
      <c r="X40" s="46">
        <f t="shared" si="5"/>
        <v>814000</v>
      </c>
      <c r="Y40" s="46">
        <f t="shared" si="6"/>
        <v>4814000</v>
      </c>
      <c r="Z40" s="47" t="str">
        <f t="shared" si="7"/>
        <v>3~4%</v>
      </c>
      <c r="AA40" s="47" t="str">
        <f t="shared" si="8"/>
        <v>5~7</v>
      </c>
      <c r="AB40" s="46">
        <f t="shared" si="9"/>
        <v>21204762.728054795</v>
      </c>
    </row>
    <row r="41" spans="1:28" s="33" customFormat="1">
      <c r="A41" s="33" t="s">
        <v>178</v>
      </c>
      <c r="B41" s="33" t="s">
        <v>54</v>
      </c>
      <c r="C41" s="33" t="s">
        <v>60</v>
      </c>
      <c r="D41" s="36" t="s">
        <v>61</v>
      </c>
      <c r="E41" s="37" t="s">
        <v>112</v>
      </c>
      <c r="F41" s="37" t="s">
        <v>115</v>
      </c>
      <c r="G41" s="33" t="s">
        <v>114</v>
      </c>
      <c r="H41" s="38" t="s">
        <v>40</v>
      </c>
      <c r="I41" s="37" t="s">
        <v>179</v>
      </c>
      <c r="J41" s="33">
        <v>1</v>
      </c>
      <c r="K41" s="39">
        <v>1.4E-2</v>
      </c>
      <c r="L41" s="33">
        <v>2</v>
      </c>
      <c r="M41" s="40">
        <v>45014</v>
      </c>
      <c r="N41" s="41">
        <f t="shared" si="0"/>
        <v>5.3589041095890408</v>
      </c>
      <c r="O41" s="45">
        <v>46970</v>
      </c>
      <c r="P41" s="42">
        <v>88.759999999999991</v>
      </c>
      <c r="Q41" s="53">
        <v>3.7199999999999997E-2</v>
      </c>
      <c r="R41" s="44">
        <v>5000000</v>
      </c>
      <c r="S41" s="43">
        <f t="shared" si="1"/>
        <v>4437999.9999999991</v>
      </c>
      <c r="T41" s="44">
        <v>10500</v>
      </c>
      <c r="U41" s="43">
        <f t="shared" si="2"/>
        <v>4448499.9999999991</v>
      </c>
      <c r="V41" s="45">
        <f t="shared" si="3"/>
        <v>45016</v>
      </c>
      <c r="W41" s="46">
        <f t="shared" si="10"/>
        <v>11</v>
      </c>
      <c r="X41" s="46">
        <f t="shared" si="5"/>
        <v>385000</v>
      </c>
      <c r="Y41" s="46">
        <f t="shared" si="6"/>
        <v>5385000</v>
      </c>
      <c r="Z41" s="47" t="str">
        <f t="shared" si="7"/>
        <v>3~4%</v>
      </c>
      <c r="AA41" s="47" t="str">
        <f t="shared" si="8"/>
        <v>5~7</v>
      </c>
      <c r="AB41" s="46">
        <f t="shared" si="9"/>
        <v>23839084.931506842</v>
      </c>
    </row>
    <row r="42" spans="1:28" s="33" customFormat="1">
      <c r="A42" s="33" t="s">
        <v>180</v>
      </c>
      <c r="B42" s="33" t="s">
        <v>54</v>
      </c>
      <c r="C42" s="48" t="s">
        <v>67</v>
      </c>
      <c r="D42" s="33" t="s">
        <v>61</v>
      </c>
      <c r="E42" s="37" t="s">
        <v>181</v>
      </c>
      <c r="F42" s="49" t="s">
        <v>182</v>
      </c>
      <c r="G42" s="33" t="s">
        <v>39</v>
      </c>
      <c r="H42" s="33" t="s">
        <v>47</v>
      </c>
      <c r="I42" s="37" t="s">
        <v>183</v>
      </c>
      <c r="J42" s="33">
        <v>5</v>
      </c>
      <c r="K42" s="39">
        <v>5.5879999999999999E-2</v>
      </c>
      <c r="L42" s="33">
        <v>2</v>
      </c>
      <c r="M42" s="40" t="s">
        <v>184</v>
      </c>
      <c r="N42" s="41">
        <f t="shared" si="0"/>
        <v>4.3835616438356162</v>
      </c>
      <c r="O42" s="45">
        <v>46973</v>
      </c>
      <c r="P42" s="42">
        <v>101.78</v>
      </c>
      <c r="Q42" s="53">
        <v>5.1270000000000003E-2</v>
      </c>
      <c r="R42" s="44">
        <v>1200000</v>
      </c>
      <c r="S42" s="43">
        <f t="shared" si="1"/>
        <v>1221360</v>
      </c>
      <c r="T42" s="44">
        <v>8195.73</v>
      </c>
      <c r="U42" s="43">
        <f t="shared" si="2"/>
        <v>1229555.73</v>
      </c>
      <c r="V42" s="45">
        <f t="shared" si="3"/>
        <v>45375</v>
      </c>
      <c r="W42" s="46">
        <f t="shared" si="10"/>
        <v>9</v>
      </c>
      <c r="X42" s="46">
        <f t="shared" si="5"/>
        <v>301752</v>
      </c>
      <c r="Y42" s="46">
        <f t="shared" si="6"/>
        <v>1501752</v>
      </c>
      <c r="Z42" s="47" t="str">
        <f t="shared" si="7"/>
        <v>5~6%</v>
      </c>
      <c r="AA42" s="47" t="str">
        <f t="shared" si="8"/>
        <v>3~5</v>
      </c>
      <c r="AB42" s="46">
        <f t="shared" si="9"/>
        <v>5389833.3369863005</v>
      </c>
    </row>
    <row r="43" spans="1:28" s="33" customFormat="1">
      <c r="A43" s="33" t="s">
        <v>185</v>
      </c>
      <c r="B43" s="33" t="s">
        <v>77</v>
      </c>
      <c r="C43" s="48" t="s">
        <v>67</v>
      </c>
      <c r="D43" s="33" t="s">
        <v>61</v>
      </c>
      <c r="E43" s="37" t="s">
        <v>186</v>
      </c>
      <c r="F43" s="49" t="s">
        <v>187</v>
      </c>
      <c r="G43" s="33" t="s">
        <v>39</v>
      </c>
      <c r="H43" s="33" t="s">
        <v>47</v>
      </c>
      <c r="I43" s="37" t="s">
        <v>188</v>
      </c>
      <c r="J43" s="33">
        <v>5</v>
      </c>
      <c r="K43" s="39">
        <v>5.355E-2</v>
      </c>
      <c r="L43" s="33">
        <v>2</v>
      </c>
      <c r="M43" s="40">
        <v>45177</v>
      </c>
      <c r="N43" s="41">
        <f t="shared" si="0"/>
        <v>4.9369863013698634</v>
      </c>
      <c r="O43" s="45">
        <v>46979</v>
      </c>
      <c r="P43" s="42">
        <v>99.76</v>
      </c>
      <c r="Q43" s="53">
        <v>5.4100000000000002E-2</v>
      </c>
      <c r="R43" s="44">
        <v>2500000</v>
      </c>
      <c r="S43" s="43">
        <f t="shared" si="1"/>
        <v>2494000</v>
      </c>
      <c r="T43" s="44">
        <v>55662.98</v>
      </c>
      <c r="U43" s="43">
        <f t="shared" si="2"/>
        <v>2549662.98</v>
      </c>
      <c r="V43" s="45">
        <f t="shared" si="3"/>
        <v>45179</v>
      </c>
      <c r="W43" s="46">
        <f t="shared" si="10"/>
        <v>10</v>
      </c>
      <c r="X43" s="46">
        <f t="shared" si="5"/>
        <v>669375</v>
      </c>
      <c r="Y43" s="46">
        <f t="shared" si="6"/>
        <v>3169375</v>
      </c>
      <c r="Z43" s="47" t="str">
        <f t="shared" si="7"/>
        <v>5~6%</v>
      </c>
      <c r="AA43" s="47" t="str">
        <f t="shared" si="8"/>
        <v>3~5</v>
      </c>
      <c r="AB43" s="46">
        <f t="shared" si="9"/>
        <v>12587651.205369864</v>
      </c>
    </row>
    <row r="44" spans="1:28" s="33" customFormat="1">
      <c r="A44" s="33" t="s">
        <v>189</v>
      </c>
      <c r="B44" s="33" t="s">
        <v>54</v>
      </c>
      <c r="C44" s="33" t="s">
        <v>35</v>
      </c>
      <c r="D44" s="36" t="s">
        <v>61</v>
      </c>
      <c r="E44" s="37" t="s">
        <v>190</v>
      </c>
      <c r="F44" s="37" t="s">
        <v>191</v>
      </c>
      <c r="G44" s="33" t="s">
        <v>39</v>
      </c>
      <c r="H44" s="38" t="s">
        <v>40</v>
      </c>
      <c r="I44" s="37" t="s">
        <v>192</v>
      </c>
      <c r="J44" s="33">
        <v>5</v>
      </c>
      <c r="K44" s="39">
        <v>5.6500000000000002E-2</v>
      </c>
      <c r="L44" s="33">
        <v>2</v>
      </c>
      <c r="M44" s="40">
        <v>45384</v>
      </c>
      <c r="N44" s="41">
        <f t="shared" si="0"/>
        <v>4.4465753424657537</v>
      </c>
      <c r="O44" s="45">
        <v>47007</v>
      </c>
      <c r="P44" s="42">
        <v>102.67699999999999</v>
      </c>
      <c r="Q44" s="53">
        <v>4.9700000000000001E-2</v>
      </c>
      <c r="R44" s="44">
        <v>2000000</v>
      </c>
      <c r="S44" s="43">
        <f t="shared" si="1"/>
        <v>2053539.9999999998</v>
      </c>
      <c r="T44" s="44">
        <v>6591.67</v>
      </c>
      <c r="U44" s="43">
        <f t="shared" si="2"/>
        <v>2060131.6699999997</v>
      </c>
      <c r="V44" s="45">
        <f t="shared" si="3"/>
        <v>45386</v>
      </c>
      <c r="W44" s="46">
        <f t="shared" si="10"/>
        <v>9</v>
      </c>
      <c r="X44" s="46">
        <f t="shared" si="5"/>
        <v>508500</v>
      </c>
      <c r="Y44" s="46">
        <f t="shared" si="6"/>
        <v>2508500</v>
      </c>
      <c r="Z44" s="47" t="str">
        <f t="shared" si="7"/>
        <v>4~5%</v>
      </c>
      <c r="AA44" s="47" t="str">
        <f t="shared" si="8"/>
        <v>3~5</v>
      </c>
      <c r="AB44" s="46">
        <f t="shared" si="9"/>
        <v>9160530.6860547941</v>
      </c>
    </row>
    <row r="45" spans="1:28" s="33" customFormat="1">
      <c r="A45" s="33" t="s">
        <v>193</v>
      </c>
      <c r="B45" s="33" t="s">
        <v>54</v>
      </c>
      <c r="C45" s="48" t="s">
        <v>43</v>
      </c>
      <c r="D45" s="33" t="s">
        <v>61</v>
      </c>
      <c r="E45" s="37" t="s">
        <v>194</v>
      </c>
      <c r="F45" s="49" t="s">
        <v>195</v>
      </c>
      <c r="G45" s="33" t="s">
        <v>109</v>
      </c>
      <c r="H45" s="33" t="s">
        <v>47</v>
      </c>
      <c r="I45" s="37" t="s">
        <v>48</v>
      </c>
      <c r="J45" s="33">
        <v>4</v>
      </c>
      <c r="K45" s="39">
        <v>1.4999999999999999E-2</v>
      </c>
      <c r="L45" s="33">
        <v>2</v>
      </c>
      <c r="M45" s="40">
        <v>45001</v>
      </c>
      <c r="N45" s="41">
        <f t="shared" si="0"/>
        <v>5.5041095890410956</v>
      </c>
      <c r="O45" s="45">
        <v>47010</v>
      </c>
      <c r="P45" s="42">
        <v>86.42</v>
      </c>
      <c r="Q45" s="53">
        <v>4.2775000000000001E-2</v>
      </c>
      <c r="R45" s="44">
        <v>2000000</v>
      </c>
      <c r="S45" s="43">
        <f t="shared" si="1"/>
        <v>1728400</v>
      </c>
      <c r="T45" s="44">
        <v>166.67</v>
      </c>
      <c r="U45" s="43">
        <f t="shared" si="2"/>
        <v>1728566.67</v>
      </c>
      <c r="V45" s="45">
        <f t="shared" si="3"/>
        <v>45003</v>
      </c>
      <c r="W45" s="46">
        <v>11</v>
      </c>
      <c r="X45" s="46">
        <f t="shared" si="5"/>
        <v>165000</v>
      </c>
      <c r="Y45" s="46">
        <f t="shared" si="6"/>
        <v>2165000</v>
      </c>
      <c r="Z45" s="47" t="str">
        <f t="shared" si="7"/>
        <v>4~5%</v>
      </c>
      <c r="AA45" s="47" t="str">
        <f t="shared" si="8"/>
        <v>5~7</v>
      </c>
      <c r="AB45" s="46">
        <f t="shared" si="9"/>
        <v>9514220.3836438339</v>
      </c>
    </row>
    <row r="46" spans="1:28" s="33" customFormat="1">
      <c r="A46" s="33" t="s">
        <v>193</v>
      </c>
      <c r="B46" s="33" t="s">
        <v>77</v>
      </c>
      <c r="C46" s="33" t="s">
        <v>60</v>
      </c>
      <c r="D46" s="36" t="s">
        <v>61</v>
      </c>
      <c r="E46" s="37" t="s">
        <v>194</v>
      </c>
      <c r="F46" s="37" t="s">
        <v>196</v>
      </c>
      <c r="G46" s="33" t="s">
        <v>109</v>
      </c>
      <c r="H46" s="38" t="s">
        <v>40</v>
      </c>
      <c r="I46" s="37" t="s">
        <v>197</v>
      </c>
      <c r="J46" s="33">
        <v>4</v>
      </c>
      <c r="K46" s="39">
        <v>1.4999999999999999E-2</v>
      </c>
      <c r="L46" s="33">
        <v>2</v>
      </c>
      <c r="M46" s="40">
        <v>45001</v>
      </c>
      <c r="N46" s="41">
        <f t="shared" si="0"/>
        <v>5.5041095890410956</v>
      </c>
      <c r="O46" s="45">
        <v>47010</v>
      </c>
      <c r="P46" s="42">
        <v>86.42</v>
      </c>
      <c r="Q46" s="53">
        <v>4.2999999999999997E-2</v>
      </c>
      <c r="R46" s="44">
        <v>3000000</v>
      </c>
      <c r="S46" s="43">
        <f t="shared" si="1"/>
        <v>2592600</v>
      </c>
      <c r="T46" s="44">
        <v>11433.33</v>
      </c>
      <c r="U46" s="43">
        <f t="shared" si="2"/>
        <v>2604033.33</v>
      </c>
      <c r="V46" s="45">
        <f t="shared" si="3"/>
        <v>45003</v>
      </c>
      <c r="W46" s="46">
        <v>11</v>
      </c>
      <c r="X46" s="46">
        <f t="shared" si="5"/>
        <v>247500</v>
      </c>
      <c r="Y46" s="46">
        <f t="shared" si="6"/>
        <v>3247500</v>
      </c>
      <c r="Z46" s="47" t="str">
        <f t="shared" si="7"/>
        <v>4~5%</v>
      </c>
      <c r="AA46" s="47" t="str">
        <f t="shared" si="8"/>
        <v>5~7</v>
      </c>
      <c r="AB46" s="46">
        <f t="shared" si="9"/>
        <v>14332884.821835617</v>
      </c>
    </row>
    <row r="47" spans="1:28" s="33" customFormat="1">
      <c r="A47" s="33" t="s">
        <v>198</v>
      </c>
      <c r="B47" s="33" t="s">
        <v>54</v>
      </c>
      <c r="C47" s="33" t="s">
        <v>35</v>
      </c>
      <c r="D47" s="36" t="s">
        <v>61</v>
      </c>
      <c r="E47" s="37" t="s">
        <v>199</v>
      </c>
      <c r="F47" s="37" t="s">
        <v>200</v>
      </c>
      <c r="G47" s="33" t="s">
        <v>39</v>
      </c>
      <c r="H47" s="38" t="s">
        <v>40</v>
      </c>
      <c r="I47" s="37" t="s">
        <v>201</v>
      </c>
      <c r="J47" s="33">
        <v>7</v>
      </c>
      <c r="K47" s="39">
        <v>6.0999999999999999E-2</v>
      </c>
      <c r="L47" s="33">
        <v>2</v>
      </c>
      <c r="M47" s="40">
        <v>45385</v>
      </c>
      <c r="N47" s="41">
        <f t="shared" si="0"/>
        <v>4.4712328767123291</v>
      </c>
      <c r="O47" s="45">
        <v>47017</v>
      </c>
      <c r="P47" s="42">
        <v>103.34999999999998</v>
      </c>
      <c r="Q47" s="53">
        <v>5.2479999999999999E-2</v>
      </c>
      <c r="R47" s="44">
        <v>4000000</v>
      </c>
      <c r="S47" s="43">
        <f t="shared" si="1"/>
        <v>4133999.9999999995</v>
      </c>
      <c r="T47" s="44">
        <v>8133.33</v>
      </c>
      <c r="U47" s="43">
        <f t="shared" si="2"/>
        <v>4142133.3299999996</v>
      </c>
      <c r="V47" s="45">
        <f t="shared" si="3"/>
        <v>45387</v>
      </c>
      <c r="W47" s="46">
        <f t="shared" ref="W47:W110" si="11">_xlfn.CEILING.MATH(N47*L47)</f>
        <v>9</v>
      </c>
      <c r="X47" s="46">
        <f t="shared" si="5"/>
        <v>1098000</v>
      </c>
      <c r="Y47" s="46">
        <f t="shared" si="6"/>
        <v>5098000</v>
      </c>
      <c r="Z47" s="47" t="str">
        <f t="shared" si="7"/>
        <v>5~6%</v>
      </c>
      <c r="AA47" s="47" t="str">
        <f t="shared" si="8"/>
        <v>3~5</v>
      </c>
      <c r="AB47" s="46">
        <f t="shared" si="9"/>
        <v>18520442.724821918</v>
      </c>
    </row>
    <row r="48" spans="1:28" s="33" customFormat="1" ht="26.25">
      <c r="A48" s="33" t="s">
        <v>202</v>
      </c>
      <c r="B48" s="33" t="s">
        <v>54</v>
      </c>
      <c r="C48" s="48" t="s">
        <v>43</v>
      </c>
      <c r="D48" s="33" t="s">
        <v>61</v>
      </c>
      <c r="E48" s="37" t="s">
        <v>203</v>
      </c>
      <c r="F48" s="49" t="s">
        <v>204</v>
      </c>
      <c r="G48" s="33" t="s">
        <v>64</v>
      </c>
      <c r="H48" s="33" t="s">
        <v>47</v>
      </c>
      <c r="I48" s="37" t="s">
        <v>205</v>
      </c>
      <c r="J48" s="33">
        <v>3</v>
      </c>
      <c r="K48" s="39">
        <v>3.875E-2</v>
      </c>
      <c r="L48" s="33">
        <v>2</v>
      </c>
      <c r="M48" s="40">
        <v>45007</v>
      </c>
      <c r="N48" s="41">
        <f t="shared" si="0"/>
        <v>5.6520547945205477</v>
      </c>
      <c r="O48" s="45">
        <v>47070</v>
      </c>
      <c r="P48" s="42">
        <v>99.7</v>
      </c>
      <c r="Q48" s="53">
        <v>3.9343999999999997E-2</v>
      </c>
      <c r="R48" s="44">
        <v>7000000</v>
      </c>
      <c r="S48" s="43">
        <f t="shared" si="1"/>
        <v>6979000</v>
      </c>
      <c r="T48" s="44">
        <v>97197.92</v>
      </c>
      <c r="U48" s="43">
        <f t="shared" si="2"/>
        <v>7076197.9199999999</v>
      </c>
      <c r="V48" s="45">
        <f t="shared" si="3"/>
        <v>45009</v>
      </c>
      <c r="W48" s="46">
        <f t="shared" si="11"/>
        <v>12</v>
      </c>
      <c r="X48" s="46">
        <f t="shared" si="5"/>
        <v>1627500</v>
      </c>
      <c r="Y48" s="46">
        <f t="shared" si="6"/>
        <v>8627500</v>
      </c>
      <c r="Z48" s="47" t="str">
        <f t="shared" si="7"/>
        <v>3~4%</v>
      </c>
      <c r="AA48" s="47" t="str">
        <f t="shared" si="8"/>
        <v>5~7</v>
      </c>
      <c r="AB48" s="46">
        <f t="shared" si="9"/>
        <v>39995058.38071233</v>
      </c>
    </row>
    <row r="49" spans="1:28" s="33" customFormat="1" ht="26.25">
      <c r="A49" s="33" t="s">
        <v>202</v>
      </c>
      <c r="B49" s="33" t="s">
        <v>54</v>
      </c>
      <c r="C49" s="33" t="s">
        <v>60</v>
      </c>
      <c r="D49" s="36" t="s">
        <v>61</v>
      </c>
      <c r="E49" s="37" t="s">
        <v>203</v>
      </c>
      <c r="F49" s="37" t="s">
        <v>206</v>
      </c>
      <c r="G49" s="33" t="s">
        <v>64</v>
      </c>
      <c r="H49" s="38" t="s">
        <v>40</v>
      </c>
      <c r="I49" s="37" t="s">
        <v>207</v>
      </c>
      <c r="J49" s="33">
        <v>3</v>
      </c>
      <c r="K49" s="39">
        <v>3.875E-2</v>
      </c>
      <c r="L49" s="33">
        <v>2</v>
      </c>
      <c r="M49" s="40">
        <v>45001</v>
      </c>
      <c r="N49" s="41">
        <f t="shared" si="0"/>
        <v>5.6684931506849319</v>
      </c>
      <c r="O49" s="45">
        <v>47070</v>
      </c>
      <c r="P49" s="42">
        <v>97.63</v>
      </c>
      <c r="Q49" s="53">
        <v>4.3482E-2</v>
      </c>
      <c r="R49" s="44">
        <v>2000000</v>
      </c>
      <c r="S49" s="43">
        <f t="shared" si="1"/>
        <v>1952600</v>
      </c>
      <c r="T49" s="44">
        <v>26479.17</v>
      </c>
      <c r="U49" s="43">
        <f t="shared" si="2"/>
        <v>1979079.17</v>
      </c>
      <c r="V49" s="45">
        <f t="shared" si="3"/>
        <v>45003</v>
      </c>
      <c r="W49" s="46">
        <f t="shared" si="11"/>
        <v>12</v>
      </c>
      <c r="X49" s="46">
        <f t="shared" si="5"/>
        <v>465000</v>
      </c>
      <c r="Y49" s="46">
        <f t="shared" si="6"/>
        <v>2465000</v>
      </c>
      <c r="Z49" s="47" t="str">
        <f t="shared" si="7"/>
        <v>4~5%</v>
      </c>
      <c r="AA49" s="47" t="str">
        <f t="shared" si="8"/>
        <v>5~7</v>
      </c>
      <c r="AB49" s="46">
        <f t="shared" si="9"/>
        <v>11218396.719808219</v>
      </c>
    </row>
    <row r="50" spans="1:28" s="33" customFormat="1" ht="26.25">
      <c r="A50" s="33" t="s">
        <v>202</v>
      </c>
      <c r="B50" s="33" t="s">
        <v>77</v>
      </c>
      <c r="C50" s="48" t="s">
        <v>43</v>
      </c>
      <c r="D50" s="33" t="s">
        <v>61</v>
      </c>
      <c r="E50" s="37" t="s">
        <v>203</v>
      </c>
      <c r="F50" s="49" t="s">
        <v>204</v>
      </c>
      <c r="G50" s="33" t="s">
        <v>64</v>
      </c>
      <c r="H50" s="33" t="s">
        <v>47</v>
      </c>
      <c r="I50" s="37" t="s">
        <v>208</v>
      </c>
      <c r="J50" s="33">
        <v>3</v>
      </c>
      <c r="K50" s="39">
        <v>3.875E-2</v>
      </c>
      <c r="L50" s="33">
        <v>2</v>
      </c>
      <c r="M50" s="40">
        <v>45001</v>
      </c>
      <c r="N50" s="41">
        <f t="shared" si="0"/>
        <v>5.6684931506849319</v>
      </c>
      <c r="O50" s="45">
        <v>47070</v>
      </c>
      <c r="P50" s="42">
        <v>97.63</v>
      </c>
      <c r="Q50" s="53">
        <v>4.3499999999999997E-2</v>
      </c>
      <c r="R50" s="44">
        <v>3000000</v>
      </c>
      <c r="S50" s="43">
        <f t="shared" si="1"/>
        <v>2928900</v>
      </c>
      <c r="T50" s="44">
        <v>21525</v>
      </c>
      <c r="U50" s="43">
        <f t="shared" si="2"/>
        <v>2950425</v>
      </c>
      <c r="V50" s="45">
        <f t="shared" si="3"/>
        <v>45003</v>
      </c>
      <c r="W50" s="46">
        <f t="shared" si="11"/>
        <v>12</v>
      </c>
      <c r="X50" s="46">
        <f t="shared" si="5"/>
        <v>697500</v>
      </c>
      <c r="Y50" s="46">
        <f t="shared" si="6"/>
        <v>3697500</v>
      </c>
      <c r="Z50" s="47" t="str">
        <f t="shared" si="7"/>
        <v>4~5%</v>
      </c>
      <c r="AA50" s="47" t="str">
        <f t="shared" si="8"/>
        <v>5~7</v>
      </c>
      <c r="AB50" s="46">
        <f t="shared" si="9"/>
        <v>16724463.90410959</v>
      </c>
    </row>
    <row r="51" spans="1:28" s="33" customFormat="1">
      <c r="A51" s="33" t="s">
        <v>209</v>
      </c>
      <c r="B51" s="33" t="s">
        <v>77</v>
      </c>
      <c r="C51" s="33" t="s">
        <v>210</v>
      </c>
      <c r="D51" s="36" t="s">
        <v>61</v>
      </c>
      <c r="E51" s="37" t="s">
        <v>73</v>
      </c>
      <c r="F51" s="37" t="s">
        <v>211</v>
      </c>
      <c r="G51" s="33" t="s">
        <v>75</v>
      </c>
      <c r="H51" s="38" t="s">
        <v>40</v>
      </c>
      <c r="I51" s="37" t="s">
        <v>212</v>
      </c>
      <c r="J51" s="33">
        <v>1</v>
      </c>
      <c r="K51" s="39">
        <v>5.2499999999999998E-2</v>
      </c>
      <c r="L51" s="33">
        <v>2</v>
      </c>
      <c r="M51" s="40">
        <v>45141</v>
      </c>
      <c r="N51" s="41">
        <f t="shared" si="0"/>
        <v>5.2904109589041095</v>
      </c>
      <c r="O51" s="45">
        <v>47072</v>
      </c>
      <c r="P51" s="42">
        <v>104.9539</v>
      </c>
      <c r="Q51" s="53">
        <v>4.19E-2</v>
      </c>
      <c r="R51" s="44">
        <v>2000000</v>
      </c>
      <c r="S51" s="43">
        <f t="shared" si="1"/>
        <v>2099078</v>
      </c>
      <c r="T51" s="44">
        <v>8757.18</v>
      </c>
      <c r="U51" s="43">
        <f t="shared" si="2"/>
        <v>2107835.1800000002</v>
      </c>
      <c r="V51" s="45">
        <f t="shared" si="3"/>
        <v>45143</v>
      </c>
      <c r="W51" s="46">
        <f t="shared" si="11"/>
        <v>11</v>
      </c>
      <c r="X51" s="46">
        <f t="shared" si="5"/>
        <v>577500</v>
      </c>
      <c r="Y51" s="46">
        <f t="shared" si="6"/>
        <v>2577500</v>
      </c>
      <c r="Z51" s="47" t="str">
        <f t="shared" si="7"/>
        <v>4~5%</v>
      </c>
      <c r="AA51" s="47" t="str">
        <f t="shared" si="8"/>
        <v>5~7</v>
      </c>
      <c r="AB51" s="46">
        <f t="shared" si="9"/>
        <v>11151314.335835617</v>
      </c>
    </row>
    <row r="52" spans="1:28" s="33" customFormat="1">
      <c r="A52" s="33" t="s">
        <v>213</v>
      </c>
      <c r="B52" s="33" t="s">
        <v>34</v>
      </c>
      <c r="C52" s="48" t="s">
        <v>43</v>
      </c>
      <c r="D52" s="33" t="s">
        <v>61</v>
      </c>
      <c r="E52" s="37" t="s">
        <v>214</v>
      </c>
      <c r="F52" s="49" t="s">
        <v>215</v>
      </c>
      <c r="G52" s="33" t="s">
        <v>216</v>
      </c>
      <c r="H52" s="33" t="s">
        <v>47</v>
      </c>
      <c r="I52" s="37" t="s">
        <v>217</v>
      </c>
      <c r="J52" s="33">
        <v>9</v>
      </c>
      <c r="K52" s="39">
        <v>5.1249999999999997E-2</v>
      </c>
      <c r="L52" s="33">
        <v>2</v>
      </c>
      <c r="M52" s="40">
        <v>44979</v>
      </c>
      <c r="N52" s="41">
        <f t="shared" si="0"/>
        <v>5.7863013698630139</v>
      </c>
      <c r="O52" s="45">
        <v>47091</v>
      </c>
      <c r="P52" s="42">
        <v>99.5</v>
      </c>
      <c r="Q52" s="53">
        <v>5.2200000000000003E-2</v>
      </c>
      <c r="R52" s="44">
        <v>1500000</v>
      </c>
      <c r="S52" s="43">
        <f t="shared" si="1"/>
        <v>1492500</v>
      </c>
      <c r="T52" s="44">
        <v>0</v>
      </c>
      <c r="U52" s="43">
        <f t="shared" si="2"/>
        <v>1492500</v>
      </c>
      <c r="V52" s="45">
        <f t="shared" si="3"/>
        <v>44981</v>
      </c>
      <c r="W52" s="46">
        <f t="shared" si="11"/>
        <v>12</v>
      </c>
      <c r="X52" s="46">
        <f t="shared" si="5"/>
        <v>461250</v>
      </c>
      <c r="Y52" s="46">
        <f t="shared" si="6"/>
        <v>1961250</v>
      </c>
      <c r="Z52" s="47" t="str">
        <f t="shared" si="7"/>
        <v>5~6%</v>
      </c>
      <c r="AA52" s="47" t="str">
        <f t="shared" si="8"/>
        <v>5~7</v>
      </c>
      <c r="AB52" s="46">
        <f t="shared" si="9"/>
        <v>8636054.7945205476</v>
      </c>
    </row>
    <row r="53" spans="1:28" s="33" customFormat="1">
      <c r="A53" s="33" t="s">
        <v>218</v>
      </c>
      <c r="B53" s="33" t="s">
        <v>77</v>
      </c>
      <c r="C53" s="48" t="s">
        <v>43</v>
      </c>
      <c r="D53" s="33" t="s">
        <v>61</v>
      </c>
      <c r="E53" s="37" t="s">
        <v>219</v>
      </c>
      <c r="F53" s="49" t="s">
        <v>220</v>
      </c>
      <c r="G53" s="33" t="s">
        <v>83</v>
      </c>
      <c r="H53" s="33" t="s">
        <v>47</v>
      </c>
      <c r="I53" s="37" t="s">
        <v>221</v>
      </c>
      <c r="J53" s="33">
        <v>3</v>
      </c>
      <c r="K53" s="39">
        <v>1.9300000000000001E-2</v>
      </c>
      <c r="L53" s="33">
        <v>2</v>
      </c>
      <c r="M53" s="40">
        <v>45177</v>
      </c>
      <c r="N53" s="41">
        <f t="shared" si="0"/>
        <v>5.2684931506849315</v>
      </c>
      <c r="O53" s="45">
        <v>47100</v>
      </c>
      <c r="P53" s="42">
        <v>87.070000000000007</v>
      </c>
      <c r="Q53" s="53">
        <v>4.7300000000000002E-2</v>
      </c>
      <c r="R53" s="44">
        <v>2500000</v>
      </c>
      <c r="S53" s="43">
        <f t="shared" si="1"/>
        <v>2176750.0000000005</v>
      </c>
      <c r="T53" s="44">
        <v>2569.44</v>
      </c>
      <c r="U53" s="43">
        <f t="shared" si="2"/>
        <v>2179319.4400000004</v>
      </c>
      <c r="V53" s="45">
        <f t="shared" si="3"/>
        <v>45179</v>
      </c>
      <c r="W53" s="46">
        <f t="shared" si="11"/>
        <v>11</v>
      </c>
      <c r="X53" s="46">
        <f t="shared" si="5"/>
        <v>265375</v>
      </c>
      <c r="Y53" s="46">
        <f t="shared" si="6"/>
        <v>2765375</v>
      </c>
      <c r="Z53" s="47" t="str">
        <f t="shared" si="7"/>
        <v>4~5%</v>
      </c>
      <c r="AA53" s="47" t="str">
        <f t="shared" si="8"/>
        <v>5~7</v>
      </c>
      <c r="AB53" s="46">
        <f t="shared" si="9"/>
        <v>11481729.542794522</v>
      </c>
    </row>
    <row r="54" spans="1:28" s="33" customFormat="1">
      <c r="A54" s="33" t="s">
        <v>222</v>
      </c>
      <c r="B54" s="33" t="s">
        <v>223</v>
      </c>
      <c r="C54" s="48" t="s">
        <v>67</v>
      </c>
      <c r="D54" s="33" t="s">
        <v>224</v>
      </c>
      <c r="E54" s="37" t="s">
        <v>225</v>
      </c>
      <c r="F54" s="54" t="s">
        <v>226</v>
      </c>
      <c r="G54" s="33" t="s">
        <v>39</v>
      </c>
      <c r="H54" s="33" t="s">
        <v>227</v>
      </c>
      <c r="I54" s="55" t="s">
        <v>228</v>
      </c>
      <c r="J54" s="33">
        <v>6</v>
      </c>
      <c r="K54" s="39">
        <v>4.8500000000000001E-2</v>
      </c>
      <c r="L54" s="33">
        <v>2</v>
      </c>
      <c r="M54" s="40">
        <v>45874</v>
      </c>
      <c r="N54" s="41">
        <f t="shared" si="0"/>
        <v>3.4383561643835616</v>
      </c>
      <c r="O54" s="45">
        <v>47129</v>
      </c>
      <c r="P54" s="42">
        <v>101.245</v>
      </c>
      <c r="Q54" s="53">
        <v>4.4540000000000003E-2</v>
      </c>
      <c r="R54" s="44">
        <v>2500000</v>
      </c>
      <c r="S54" s="43">
        <f t="shared" si="1"/>
        <v>2531125</v>
      </c>
      <c r="T54" s="44">
        <v>8083.33</v>
      </c>
      <c r="U54" s="43">
        <f t="shared" si="2"/>
        <v>2539208.33</v>
      </c>
      <c r="V54" s="45">
        <v>45875</v>
      </c>
      <c r="W54" s="46">
        <f t="shared" si="11"/>
        <v>7</v>
      </c>
      <c r="X54" s="46">
        <f t="shared" si="5"/>
        <v>424375</v>
      </c>
      <c r="Y54" s="46">
        <f t="shared" si="6"/>
        <v>2924375</v>
      </c>
      <c r="Z54" s="47" t="str">
        <f t="shared" si="7"/>
        <v>4~5%</v>
      </c>
      <c r="AA54" s="47" t="str">
        <f t="shared" si="8"/>
        <v>3~5</v>
      </c>
      <c r="AB54" s="46">
        <f t="shared" si="9"/>
        <v>8730702.6141095888</v>
      </c>
    </row>
    <row r="55" spans="1:28" s="33" customFormat="1">
      <c r="A55" s="33" t="s">
        <v>229</v>
      </c>
      <c r="B55" s="33" t="s">
        <v>77</v>
      </c>
      <c r="C55" s="33" t="s">
        <v>35</v>
      </c>
      <c r="D55" s="36" t="s">
        <v>61</v>
      </c>
      <c r="E55" s="37" t="s">
        <v>230</v>
      </c>
      <c r="F55" s="37" t="s">
        <v>200</v>
      </c>
      <c r="G55" s="33" t="s">
        <v>104</v>
      </c>
      <c r="H55" s="38" t="s">
        <v>40</v>
      </c>
      <c r="I55" s="37" t="s">
        <v>231</v>
      </c>
      <c r="J55" s="33">
        <v>8</v>
      </c>
      <c r="K55" s="39">
        <v>6.5000000000000002E-2</v>
      </c>
      <c r="L55" s="33">
        <v>2</v>
      </c>
      <c r="M55" s="40">
        <v>45392</v>
      </c>
      <c r="N55" s="41">
        <f t="shared" si="0"/>
        <v>4.7726027397260271</v>
      </c>
      <c r="O55" s="45">
        <v>47134</v>
      </c>
      <c r="P55" s="42">
        <v>104.67</v>
      </c>
      <c r="Q55" s="53">
        <v>5.3695E-2</v>
      </c>
      <c r="R55" s="44">
        <v>8000000</v>
      </c>
      <c r="S55" s="43">
        <f t="shared" si="1"/>
        <v>8373600</v>
      </c>
      <c r="T55" s="44">
        <v>4062.5</v>
      </c>
      <c r="U55" s="43">
        <f t="shared" si="2"/>
        <v>8377662.5</v>
      </c>
      <c r="V55" s="45">
        <f>M55+2</f>
        <v>45394</v>
      </c>
      <c r="W55" s="46">
        <f t="shared" si="11"/>
        <v>10</v>
      </c>
      <c r="X55" s="46">
        <f t="shared" si="5"/>
        <v>2600000</v>
      </c>
      <c r="Y55" s="46">
        <f t="shared" si="6"/>
        <v>10600000</v>
      </c>
      <c r="Z55" s="47" t="str">
        <f t="shared" si="7"/>
        <v>5~6%</v>
      </c>
      <c r="AA55" s="47" t="str">
        <f t="shared" si="8"/>
        <v>3~5</v>
      </c>
      <c r="AB55" s="46">
        <f t="shared" si="9"/>
        <v>39983255</v>
      </c>
    </row>
    <row r="56" spans="1:28" s="33" customFormat="1">
      <c r="A56" s="56" t="s">
        <v>232</v>
      </c>
      <c r="B56" s="56" t="s">
        <v>233</v>
      </c>
      <c r="C56" s="57" t="s">
        <v>35</v>
      </c>
      <c r="D56" s="36" t="s">
        <v>61</v>
      </c>
      <c r="E56" s="58" t="s">
        <v>234</v>
      </c>
      <c r="F56" s="54" t="s">
        <v>235</v>
      </c>
      <c r="G56" s="56" t="s">
        <v>39</v>
      </c>
      <c r="H56" s="56" t="s">
        <v>236</v>
      </c>
      <c r="I56" s="55" t="s">
        <v>237</v>
      </c>
      <c r="J56" s="33">
        <v>6</v>
      </c>
      <c r="K56" s="59">
        <v>4.8750000000000002E-2</v>
      </c>
      <c r="L56" s="33">
        <v>2</v>
      </c>
      <c r="M56" s="45">
        <v>45518</v>
      </c>
      <c r="N56" s="41">
        <f t="shared" si="0"/>
        <v>4.4657534246575343</v>
      </c>
      <c r="O56" s="45">
        <v>47148</v>
      </c>
      <c r="P56" s="42">
        <v>101.5</v>
      </c>
      <c r="Q56" s="53">
        <v>4.4999999999999998E-2</v>
      </c>
      <c r="R56" s="44">
        <v>2000000</v>
      </c>
      <c r="S56" s="43">
        <f t="shared" si="1"/>
        <v>2030000</v>
      </c>
      <c r="T56" s="44">
        <v>4062.5</v>
      </c>
      <c r="U56" s="43">
        <f t="shared" si="2"/>
        <v>2034062.5</v>
      </c>
      <c r="V56" s="45">
        <v>45519</v>
      </c>
      <c r="W56" s="46">
        <f t="shared" si="11"/>
        <v>9</v>
      </c>
      <c r="X56" s="46">
        <f t="shared" si="5"/>
        <v>438750</v>
      </c>
      <c r="Y56" s="46">
        <f t="shared" si="6"/>
        <v>2438750</v>
      </c>
      <c r="Z56" s="47" t="str">
        <f t="shared" si="7"/>
        <v>4~5%</v>
      </c>
      <c r="AA56" s="47" t="str">
        <f t="shared" si="8"/>
        <v>3~5</v>
      </c>
      <c r="AB56" s="46">
        <f t="shared" si="9"/>
        <v>9083621.5753424652</v>
      </c>
    </row>
    <row r="57" spans="1:28" s="33" customFormat="1">
      <c r="A57" s="33" t="s">
        <v>238</v>
      </c>
      <c r="B57" s="33" t="s">
        <v>223</v>
      </c>
      <c r="C57" s="48" t="s">
        <v>67</v>
      </c>
      <c r="D57" s="33" t="s">
        <v>61</v>
      </c>
      <c r="E57" s="37" t="s">
        <v>239</v>
      </c>
      <c r="F57" s="49" t="s">
        <v>240</v>
      </c>
      <c r="G57" s="33" t="s">
        <v>39</v>
      </c>
      <c r="H57" s="33" t="s">
        <v>47</v>
      </c>
      <c r="I57" s="37" t="s">
        <v>241</v>
      </c>
      <c r="J57" s="33">
        <v>4</v>
      </c>
      <c r="K57" s="39">
        <v>5.076E-2</v>
      </c>
      <c r="L57" s="33">
        <v>2</v>
      </c>
      <c r="M57" s="40">
        <v>45356</v>
      </c>
      <c r="N57" s="41">
        <f t="shared" si="0"/>
        <v>4.9095890410958907</v>
      </c>
      <c r="O57" s="45">
        <v>47148</v>
      </c>
      <c r="P57" s="42">
        <v>101.02500000000001</v>
      </c>
      <c r="Q57" s="53">
        <v>4.7699999999999999E-2</v>
      </c>
      <c r="R57" s="44">
        <v>3000000</v>
      </c>
      <c r="S57" s="43">
        <f t="shared" si="1"/>
        <v>3030750</v>
      </c>
      <c r="T57" s="44">
        <v>14805</v>
      </c>
      <c r="U57" s="43">
        <f t="shared" si="2"/>
        <v>3045555</v>
      </c>
      <c r="V57" s="45">
        <f t="shared" ref="V57:V67" si="12">M57+2</f>
        <v>45358</v>
      </c>
      <c r="W57" s="46">
        <f t="shared" si="11"/>
        <v>10</v>
      </c>
      <c r="X57" s="46">
        <f t="shared" si="5"/>
        <v>761400</v>
      </c>
      <c r="Y57" s="46">
        <f t="shared" si="6"/>
        <v>3761400</v>
      </c>
      <c r="Z57" s="47" t="str">
        <f t="shared" si="7"/>
        <v>4~5%</v>
      </c>
      <c r="AA57" s="47" t="str">
        <f t="shared" si="8"/>
        <v>3~5</v>
      </c>
      <c r="AB57" s="46">
        <f t="shared" si="9"/>
        <v>14952423.452054795</v>
      </c>
    </row>
    <row r="58" spans="1:28" s="33" customFormat="1">
      <c r="A58" s="33" t="s">
        <v>242</v>
      </c>
      <c r="B58" s="33" t="s">
        <v>54</v>
      </c>
      <c r="C58" s="48" t="s">
        <v>43</v>
      </c>
      <c r="D58" s="33" t="s">
        <v>61</v>
      </c>
      <c r="E58" s="37" t="s">
        <v>161</v>
      </c>
      <c r="F58" s="49" t="s">
        <v>243</v>
      </c>
      <c r="G58" s="33" t="s">
        <v>163</v>
      </c>
      <c r="H58" s="33" t="s">
        <v>47</v>
      </c>
      <c r="I58" s="37" t="s">
        <v>244</v>
      </c>
      <c r="J58" s="33">
        <v>8</v>
      </c>
      <c r="K58" s="39">
        <v>3.875E-2</v>
      </c>
      <c r="L58" s="33">
        <v>2</v>
      </c>
      <c r="M58" s="40">
        <v>44964</v>
      </c>
      <c r="N58" s="41">
        <f t="shared" si="0"/>
        <v>6.0082191780821921</v>
      </c>
      <c r="O58" s="45">
        <v>47157</v>
      </c>
      <c r="P58" s="42">
        <v>97.7</v>
      </c>
      <c r="Q58" s="53">
        <v>4.3104999999999997E-2</v>
      </c>
      <c r="R58" s="44">
        <v>5000000</v>
      </c>
      <c r="S58" s="43">
        <f t="shared" si="1"/>
        <v>4885000</v>
      </c>
      <c r="T58" s="44">
        <v>96336.81</v>
      </c>
      <c r="U58" s="43">
        <f t="shared" si="2"/>
        <v>4981336.8099999996</v>
      </c>
      <c r="V58" s="45">
        <f t="shared" si="12"/>
        <v>44966</v>
      </c>
      <c r="W58" s="46">
        <f t="shared" si="11"/>
        <v>13</v>
      </c>
      <c r="X58" s="46">
        <f t="shared" si="5"/>
        <v>1259375</v>
      </c>
      <c r="Y58" s="46">
        <f t="shared" si="6"/>
        <v>6259375</v>
      </c>
      <c r="Z58" s="47" t="str">
        <f t="shared" si="7"/>
        <v>4~5%</v>
      </c>
      <c r="AA58" s="47" t="str">
        <f t="shared" si="8"/>
        <v>5~7</v>
      </c>
      <c r="AB58" s="46">
        <f t="shared" si="9"/>
        <v>29928963.354328766</v>
      </c>
    </row>
    <row r="59" spans="1:28" s="33" customFormat="1">
      <c r="A59" s="33" t="s">
        <v>245</v>
      </c>
      <c r="B59" s="33" t="s">
        <v>34</v>
      </c>
      <c r="C59" s="33" t="s">
        <v>35</v>
      </c>
      <c r="D59" s="36" t="s">
        <v>61</v>
      </c>
      <c r="E59" s="37" t="s">
        <v>144</v>
      </c>
      <c r="F59" s="37" t="s">
        <v>145</v>
      </c>
      <c r="G59" s="33" t="s">
        <v>39</v>
      </c>
      <c r="H59" s="38" t="s">
        <v>40</v>
      </c>
      <c r="I59" s="37" t="s">
        <v>133</v>
      </c>
      <c r="J59" s="33">
        <v>7</v>
      </c>
      <c r="K59" s="39">
        <v>5.1950000000000003E-2</v>
      </c>
      <c r="L59" s="33">
        <v>2</v>
      </c>
      <c r="M59" s="40">
        <v>45372</v>
      </c>
      <c r="N59" s="41">
        <f t="shared" si="0"/>
        <v>4.9452054794520546</v>
      </c>
      <c r="O59" s="45">
        <v>47177</v>
      </c>
      <c r="P59" s="42">
        <v>100.33000000000001</v>
      </c>
      <c r="Q59" s="53">
        <v>5.1200000000000002E-2</v>
      </c>
      <c r="R59" s="44">
        <v>850000</v>
      </c>
      <c r="S59" s="43">
        <f t="shared" si="1"/>
        <v>852805.00000000012</v>
      </c>
      <c r="T59" s="44">
        <v>0</v>
      </c>
      <c r="U59" s="43">
        <f t="shared" si="2"/>
        <v>852805.00000000012</v>
      </c>
      <c r="V59" s="45">
        <f t="shared" si="12"/>
        <v>45374</v>
      </c>
      <c r="W59" s="46">
        <f t="shared" si="11"/>
        <v>10</v>
      </c>
      <c r="X59" s="46">
        <f t="shared" si="5"/>
        <v>220787.5</v>
      </c>
      <c r="Y59" s="46">
        <f t="shared" si="6"/>
        <v>1070787.5</v>
      </c>
      <c r="Z59" s="47" t="str">
        <f t="shared" si="7"/>
        <v>5~6%</v>
      </c>
      <c r="AA59" s="47" t="str">
        <f t="shared" si="8"/>
        <v>3~5</v>
      </c>
      <c r="AB59" s="46">
        <f t="shared" si="9"/>
        <v>4217295.9589041099</v>
      </c>
    </row>
    <row r="60" spans="1:28" s="33" customFormat="1">
      <c r="A60" s="33" t="s">
        <v>245</v>
      </c>
      <c r="B60" s="33" t="s">
        <v>54</v>
      </c>
      <c r="C60" s="33" t="s">
        <v>35</v>
      </c>
      <c r="D60" s="36" t="s">
        <v>61</v>
      </c>
      <c r="E60" s="37" t="s">
        <v>246</v>
      </c>
      <c r="F60" s="37" t="s">
        <v>132</v>
      </c>
      <c r="G60" s="33" t="s">
        <v>39</v>
      </c>
      <c r="H60" s="38" t="s">
        <v>40</v>
      </c>
      <c r="I60" s="37" t="s">
        <v>247</v>
      </c>
      <c r="J60" s="33">
        <v>5</v>
      </c>
      <c r="K60" s="39">
        <v>5.1950000000000003E-2</v>
      </c>
      <c r="L60" s="33">
        <v>2</v>
      </c>
      <c r="M60" s="40">
        <v>45371</v>
      </c>
      <c r="N60" s="41">
        <f t="shared" si="0"/>
        <v>4.9479452054794519</v>
      </c>
      <c r="O60" s="45">
        <v>47177</v>
      </c>
      <c r="P60" s="42">
        <v>100.39</v>
      </c>
      <c r="Q60" s="53">
        <v>5.1055000000000003E-2</v>
      </c>
      <c r="R60" s="44">
        <v>4000000</v>
      </c>
      <c r="S60" s="43">
        <f t="shared" si="1"/>
        <v>4015600</v>
      </c>
      <c r="T60" s="44">
        <v>12698.89</v>
      </c>
      <c r="U60" s="43">
        <f t="shared" si="2"/>
        <v>4028298.89</v>
      </c>
      <c r="V60" s="45">
        <f t="shared" si="12"/>
        <v>45373</v>
      </c>
      <c r="W60" s="46">
        <f t="shared" si="11"/>
        <v>10</v>
      </c>
      <c r="X60" s="46">
        <f t="shared" si="5"/>
        <v>1039000</v>
      </c>
      <c r="Y60" s="46">
        <f t="shared" si="6"/>
        <v>5039000</v>
      </c>
      <c r="Z60" s="47" t="str">
        <f t="shared" si="7"/>
        <v>5~6%</v>
      </c>
      <c r="AA60" s="47" t="str">
        <f t="shared" si="8"/>
        <v>3~5</v>
      </c>
      <c r="AB60" s="46">
        <f t="shared" si="9"/>
        <v>19931802.179013699</v>
      </c>
    </row>
    <row r="61" spans="1:28" s="33" customFormat="1">
      <c r="A61" s="33" t="s">
        <v>248</v>
      </c>
      <c r="B61" s="33" t="s">
        <v>223</v>
      </c>
      <c r="C61" s="33" t="s">
        <v>35</v>
      </c>
      <c r="D61" s="36" t="s">
        <v>61</v>
      </c>
      <c r="E61" s="37" t="s">
        <v>249</v>
      </c>
      <c r="F61" s="37" t="s">
        <v>250</v>
      </c>
      <c r="G61" s="33" t="s">
        <v>39</v>
      </c>
      <c r="H61" s="38" t="s">
        <v>40</v>
      </c>
      <c r="I61" s="37" t="s">
        <v>251</v>
      </c>
      <c r="J61" s="33">
        <v>4</v>
      </c>
      <c r="K61" s="39">
        <v>0.05</v>
      </c>
      <c r="L61" s="33">
        <v>2</v>
      </c>
      <c r="M61" s="40">
        <v>45356</v>
      </c>
      <c r="N61" s="41">
        <f t="shared" si="0"/>
        <v>4.9890410958904106</v>
      </c>
      <c r="O61" s="45">
        <v>47177</v>
      </c>
      <c r="P61" s="42">
        <v>100.55000000000001</v>
      </c>
      <c r="Q61" s="53">
        <v>4.87E-2</v>
      </c>
      <c r="R61" s="44">
        <v>3000000</v>
      </c>
      <c r="S61" s="43">
        <f t="shared" si="1"/>
        <v>3016500.0000000005</v>
      </c>
      <c r="T61" s="44">
        <v>2916.67</v>
      </c>
      <c r="U61" s="43">
        <f t="shared" si="2"/>
        <v>3019416.6700000004</v>
      </c>
      <c r="V61" s="45">
        <f t="shared" si="12"/>
        <v>45358</v>
      </c>
      <c r="W61" s="46">
        <f t="shared" si="11"/>
        <v>10</v>
      </c>
      <c r="X61" s="46">
        <f t="shared" si="5"/>
        <v>750000</v>
      </c>
      <c r="Y61" s="46">
        <f t="shared" si="6"/>
        <v>3750000</v>
      </c>
      <c r="Z61" s="47" t="str">
        <f t="shared" si="7"/>
        <v>4~5%</v>
      </c>
      <c r="AA61" s="47" t="str">
        <f t="shared" si="8"/>
        <v>3~5</v>
      </c>
      <c r="AB61" s="46">
        <f t="shared" si="9"/>
        <v>15063993.852246577</v>
      </c>
    </row>
    <row r="62" spans="1:28" s="33" customFormat="1">
      <c r="A62" s="33" t="s">
        <v>245</v>
      </c>
      <c r="B62" s="33" t="s">
        <v>223</v>
      </c>
      <c r="C62" s="48" t="s">
        <v>67</v>
      </c>
      <c r="D62" s="33" t="s">
        <v>61</v>
      </c>
      <c r="E62" s="37" t="s">
        <v>252</v>
      </c>
      <c r="F62" s="37" t="s">
        <v>145</v>
      </c>
      <c r="G62" s="33" t="s">
        <v>39</v>
      </c>
      <c r="H62" s="33" t="s">
        <v>47</v>
      </c>
      <c r="I62" s="37" t="s">
        <v>241</v>
      </c>
      <c r="J62" s="33">
        <v>5</v>
      </c>
      <c r="K62" s="39">
        <v>5.1950000000000003E-2</v>
      </c>
      <c r="L62" s="33">
        <v>2</v>
      </c>
      <c r="M62" s="40">
        <v>45356</v>
      </c>
      <c r="N62" s="41">
        <f t="shared" si="0"/>
        <v>4.9890410958904106</v>
      </c>
      <c r="O62" s="45">
        <v>47177</v>
      </c>
      <c r="P62" s="42">
        <v>101.21599999999999</v>
      </c>
      <c r="Q62" s="53">
        <v>4.9099999999999998E-2</v>
      </c>
      <c r="R62" s="44">
        <v>3000000</v>
      </c>
      <c r="S62" s="43">
        <f t="shared" si="1"/>
        <v>3036480</v>
      </c>
      <c r="T62" s="44">
        <v>3030.42</v>
      </c>
      <c r="U62" s="43">
        <f t="shared" si="2"/>
        <v>3039510.42</v>
      </c>
      <c r="V62" s="45">
        <f t="shared" si="12"/>
        <v>45358</v>
      </c>
      <c r="W62" s="46">
        <f t="shared" si="11"/>
        <v>10</v>
      </c>
      <c r="X62" s="46">
        <f t="shared" si="5"/>
        <v>779250</v>
      </c>
      <c r="Y62" s="46">
        <f t="shared" si="6"/>
        <v>3779250</v>
      </c>
      <c r="Z62" s="47" t="str">
        <f t="shared" si="7"/>
        <v>4~5%</v>
      </c>
      <c r="AA62" s="47" t="str">
        <f t="shared" si="8"/>
        <v>3~5</v>
      </c>
      <c r="AB62" s="46">
        <f t="shared" si="9"/>
        <v>15164242.396767121</v>
      </c>
    </row>
    <row r="63" spans="1:28" s="33" customFormat="1" ht="26.25">
      <c r="A63" s="33" t="s">
        <v>253</v>
      </c>
      <c r="B63" s="33" t="s">
        <v>54</v>
      </c>
      <c r="C63" s="48" t="s">
        <v>67</v>
      </c>
      <c r="D63" s="33" t="s">
        <v>61</v>
      </c>
      <c r="E63" s="37" t="s">
        <v>254</v>
      </c>
      <c r="F63" s="49" t="s">
        <v>255</v>
      </c>
      <c r="G63" s="33" t="s">
        <v>39</v>
      </c>
      <c r="H63" s="33" t="s">
        <v>47</v>
      </c>
      <c r="I63" s="37" t="s">
        <v>256</v>
      </c>
      <c r="J63" s="33">
        <v>7</v>
      </c>
      <c r="K63" s="39">
        <v>4.9000000000000002E-2</v>
      </c>
      <c r="L63" s="33">
        <v>2</v>
      </c>
      <c r="M63" s="40">
        <v>45384</v>
      </c>
      <c r="N63" s="41">
        <f t="shared" si="0"/>
        <v>4.9479452054794519</v>
      </c>
      <c r="O63" s="45">
        <v>47190</v>
      </c>
      <c r="P63" s="42">
        <v>99.910299999999992</v>
      </c>
      <c r="Q63" s="53">
        <v>4.9200000000000001E-2</v>
      </c>
      <c r="R63" s="44">
        <v>2000000</v>
      </c>
      <c r="S63" s="43">
        <f t="shared" si="1"/>
        <v>1998205.9999999998</v>
      </c>
      <c r="T63" s="44">
        <v>5172.22</v>
      </c>
      <c r="U63" s="43">
        <f t="shared" si="2"/>
        <v>2003378.2199999997</v>
      </c>
      <c r="V63" s="45">
        <f t="shared" si="12"/>
        <v>45386</v>
      </c>
      <c r="W63" s="46">
        <f t="shared" si="11"/>
        <v>10</v>
      </c>
      <c r="X63" s="46">
        <f t="shared" si="5"/>
        <v>490000</v>
      </c>
      <c r="Y63" s="46">
        <f t="shared" si="6"/>
        <v>2490000</v>
      </c>
      <c r="Z63" s="47" t="str">
        <f t="shared" si="7"/>
        <v>4~5%</v>
      </c>
      <c r="AA63" s="47" t="str">
        <f t="shared" si="8"/>
        <v>3~5</v>
      </c>
      <c r="AB63" s="46">
        <f t="shared" si="9"/>
        <v>9912605.6584109571</v>
      </c>
    </row>
    <row r="64" spans="1:28" s="33" customFormat="1" ht="26.25">
      <c r="A64" s="33" t="s">
        <v>257</v>
      </c>
      <c r="B64" s="33" t="s">
        <v>77</v>
      </c>
      <c r="C64" s="48" t="s">
        <v>67</v>
      </c>
      <c r="D64" s="33" t="s">
        <v>61</v>
      </c>
      <c r="E64" s="37" t="s">
        <v>258</v>
      </c>
      <c r="F64" s="49" t="s">
        <v>259</v>
      </c>
      <c r="G64" s="33" t="s">
        <v>104</v>
      </c>
      <c r="H64" s="33" t="s">
        <v>47</v>
      </c>
      <c r="I64" s="37" t="s">
        <v>260</v>
      </c>
      <c r="J64" s="33">
        <v>8</v>
      </c>
      <c r="K64" s="39">
        <v>5.2499999999999998E-2</v>
      </c>
      <c r="L64" s="33">
        <v>2</v>
      </c>
      <c r="M64" s="40">
        <v>45392</v>
      </c>
      <c r="N64" s="41">
        <f t="shared" si="0"/>
        <v>4.9506849315068493</v>
      </c>
      <c r="O64" s="45">
        <v>47199</v>
      </c>
      <c r="P64" s="42">
        <v>99.92</v>
      </c>
      <c r="Q64" s="53">
        <v>5.2678999999999997E-2</v>
      </c>
      <c r="R64" s="44">
        <v>6000000</v>
      </c>
      <c r="S64" s="43">
        <f t="shared" si="1"/>
        <v>5995200</v>
      </c>
      <c r="T64" s="44">
        <v>319.38</v>
      </c>
      <c r="U64" s="43">
        <f t="shared" si="2"/>
        <v>5995519.3799999999</v>
      </c>
      <c r="V64" s="45">
        <f t="shared" si="12"/>
        <v>45394</v>
      </c>
      <c r="W64" s="46">
        <f t="shared" si="11"/>
        <v>10</v>
      </c>
      <c r="X64" s="46">
        <f t="shared" si="5"/>
        <v>1575000</v>
      </c>
      <c r="Y64" s="46">
        <f t="shared" si="6"/>
        <v>7575000</v>
      </c>
      <c r="Z64" s="47" t="str">
        <f t="shared" si="7"/>
        <v>5~6%</v>
      </c>
      <c r="AA64" s="47" t="str">
        <f t="shared" si="8"/>
        <v>3~5</v>
      </c>
      <c r="AB64" s="46">
        <f t="shared" si="9"/>
        <v>29681927.451123286</v>
      </c>
    </row>
    <row r="65" spans="1:28" s="33" customFormat="1" ht="26.25">
      <c r="A65" s="33" t="s">
        <v>257</v>
      </c>
      <c r="B65" s="33" t="s">
        <v>54</v>
      </c>
      <c r="C65" s="33" t="s">
        <v>35</v>
      </c>
      <c r="D65" s="36" t="s">
        <v>61</v>
      </c>
      <c r="E65" s="37" t="s">
        <v>261</v>
      </c>
      <c r="F65" s="37" t="s">
        <v>262</v>
      </c>
      <c r="G65" s="33" t="s">
        <v>39</v>
      </c>
      <c r="H65" s="38" t="s">
        <v>40</v>
      </c>
      <c r="I65" s="37" t="s">
        <v>263</v>
      </c>
      <c r="J65" s="33">
        <v>8</v>
      </c>
      <c r="K65" s="39">
        <v>5.2499999999999998E-2</v>
      </c>
      <c r="L65" s="33">
        <v>2</v>
      </c>
      <c r="M65" s="40">
        <v>45385</v>
      </c>
      <c r="N65" s="41">
        <f t="shared" si="0"/>
        <v>4.9698630136986299</v>
      </c>
      <c r="O65" s="45">
        <v>47199</v>
      </c>
      <c r="P65" s="42">
        <v>100.07999999999998</v>
      </c>
      <c r="Q65" s="53">
        <v>5.2310000000000002E-2</v>
      </c>
      <c r="R65" s="44">
        <v>6000000</v>
      </c>
      <c r="S65" s="43">
        <f t="shared" si="1"/>
        <v>6004799.9999999991</v>
      </c>
      <c r="T65" s="44">
        <v>9625</v>
      </c>
      <c r="U65" s="43">
        <f t="shared" si="2"/>
        <v>6014424.9999999991</v>
      </c>
      <c r="V65" s="45">
        <f t="shared" si="12"/>
        <v>45387</v>
      </c>
      <c r="W65" s="46">
        <f t="shared" si="11"/>
        <v>10</v>
      </c>
      <c r="X65" s="46">
        <f t="shared" si="5"/>
        <v>1575000</v>
      </c>
      <c r="Y65" s="46">
        <f t="shared" si="6"/>
        <v>7575000</v>
      </c>
      <c r="Z65" s="47" t="str">
        <f t="shared" si="7"/>
        <v>5~6%</v>
      </c>
      <c r="AA65" s="47" t="str">
        <f t="shared" si="8"/>
        <v>3~5</v>
      </c>
      <c r="AB65" s="46">
        <f t="shared" si="9"/>
        <v>29890868.356164377</v>
      </c>
    </row>
    <row r="66" spans="1:28" s="33" customFormat="1">
      <c r="A66" s="33" t="s">
        <v>264</v>
      </c>
      <c r="B66" s="33" t="s">
        <v>54</v>
      </c>
      <c r="C66" s="48" t="s">
        <v>67</v>
      </c>
      <c r="D66" s="33" t="s">
        <v>61</v>
      </c>
      <c r="E66" s="37" t="s">
        <v>265</v>
      </c>
      <c r="F66" s="49" t="s">
        <v>266</v>
      </c>
      <c r="G66" s="33" t="s">
        <v>267</v>
      </c>
      <c r="H66" s="33" t="s">
        <v>47</v>
      </c>
      <c r="I66" s="37" t="s">
        <v>268</v>
      </c>
      <c r="J66" s="33">
        <v>7</v>
      </c>
      <c r="K66" s="39">
        <v>4.8500000000000001E-2</v>
      </c>
      <c r="L66" s="33">
        <v>2</v>
      </c>
      <c r="M66" s="40">
        <v>45392</v>
      </c>
      <c r="N66" s="41">
        <f t="shared" ref="N66:N129" si="13">(O66-M66)/365</f>
        <v>4.9698630136986299</v>
      </c>
      <c r="O66" s="45">
        <v>47206</v>
      </c>
      <c r="P66" s="42">
        <v>99.125200000000007</v>
      </c>
      <c r="Q66" s="53">
        <v>5.0508999999999998E-2</v>
      </c>
      <c r="R66" s="44">
        <v>2000000</v>
      </c>
      <c r="S66" s="43">
        <f t="shared" ref="S66:S79" si="14">R66*P66/100</f>
        <v>1982504</v>
      </c>
      <c r="T66" s="44">
        <v>2963.89</v>
      </c>
      <c r="U66" s="43">
        <f t="shared" ref="U66:U70" si="15">S66+T66</f>
        <v>1985467.89</v>
      </c>
      <c r="V66" s="45">
        <f t="shared" si="12"/>
        <v>45394</v>
      </c>
      <c r="W66" s="46">
        <f t="shared" si="11"/>
        <v>10</v>
      </c>
      <c r="X66" s="46">
        <f t="shared" ref="X66:X129" si="16">R66*K66/L66*W66</f>
        <v>485000</v>
      </c>
      <c r="Y66" s="46">
        <f t="shared" ref="Y66:Y129" si="17">R66+X66</f>
        <v>2485000</v>
      </c>
      <c r="Z66" s="47" t="str">
        <f t="shared" ref="Z66:Z129" si="18">IF(Q66&lt;=3%, "1~3%", IF(Q66&lt;=4%, "3~4%", IF(Q66&lt;=5%, "4~5%", "5~6%")))</f>
        <v>5~6%</v>
      </c>
      <c r="AA66" s="47" t="str">
        <f t="shared" ref="AA66:AA129" si="19">IF(N66&lt;=3,"1~3",IF(N66&lt;=5,"3~5",IF(N66&lt;=7,"5~7","7~10")))</f>
        <v>3~5</v>
      </c>
      <c r="AB66" s="46">
        <f t="shared" ref="AB66:AB129" si="20">U66*N66</f>
        <v>9867503.4313972592</v>
      </c>
    </row>
    <row r="67" spans="1:28" s="33" customFormat="1">
      <c r="A67" s="33" t="s">
        <v>264</v>
      </c>
      <c r="B67" s="33" t="s">
        <v>77</v>
      </c>
      <c r="C67" s="33" t="s">
        <v>35</v>
      </c>
      <c r="D67" s="36" t="s">
        <v>61</v>
      </c>
      <c r="E67" s="37" t="s">
        <v>265</v>
      </c>
      <c r="F67" s="49" t="s">
        <v>266</v>
      </c>
      <c r="G67" s="33" t="s">
        <v>267</v>
      </c>
      <c r="H67" s="38" t="s">
        <v>40</v>
      </c>
      <c r="I67" s="37" t="s">
        <v>269</v>
      </c>
      <c r="J67" s="33">
        <v>7</v>
      </c>
      <c r="K67" s="39">
        <v>4.8500000000000001E-2</v>
      </c>
      <c r="L67" s="33">
        <v>2</v>
      </c>
      <c r="M67" s="40">
        <v>45392</v>
      </c>
      <c r="N67" s="41">
        <f t="shared" si="13"/>
        <v>4.9698630136986299</v>
      </c>
      <c r="O67" s="45">
        <v>47206</v>
      </c>
      <c r="P67" s="42">
        <v>99.125200000000007</v>
      </c>
      <c r="Q67" s="53">
        <v>5.0508999999999998E-2</v>
      </c>
      <c r="R67" s="44">
        <v>2000000</v>
      </c>
      <c r="S67" s="43">
        <f t="shared" si="14"/>
        <v>1982504</v>
      </c>
      <c r="T67" s="44">
        <v>13166.67</v>
      </c>
      <c r="U67" s="43">
        <f t="shared" si="15"/>
        <v>1995670.67</v>
      </c>
      <c r="V67" s="45">
        <f t="shared" si="12"/>
        <v>45394</v>
      </c>
      <c r="W67" s="46">
        <f t="shared" si="11"/>
        <v>10</v>
      </c>
      <c r="X67" s="46">
        <f t="shared" si="16"/>
        <v>485000</v>
      </c>
      <c r="Y67" s="46">
        <f t="shared" si="17"/>
        <v>2485000</v>
      </c>
      <c r="Z67" s="47" t="str">
        <f t="shared" si="18"/>
        <v>5~6%</v>
      </c>
      <c r="AA67" s="47" t="str">
        <f t="shared" si="19"/>
        <v>3~5</v>
      </c>
      <c r="AB67" s="46">
        <f t="shared" si="20"/>
        <v>9918209.8503561635</v>
      </c>
    </row>
    <row r="68" spans="1:28" s="33" customFormat="1">
      <c r="A68" s="56" t="s">
        <v>270</v>
      </c>
      <c r="B68" s="56" t="s">
        <v>101</v>
      </c>
      <c r="C68" s="48" t="s">
        <v>43</v>
      </c>
      <c r="D68" s="36" t="s">
        <v>271</v>
      </c>
      <c r="E68" s="58" t="s">
        <v>272</v>
      </c>
      <c r="F68" s="54" t="s">
        <v>273</v>
      </c>
      <c r="G68" s="56" t="s">
        <v>274</v>
      </c>
      <c r="H68" s="56" t="s">
        <v>275</v>
      </c>
      <c r="I68" s="55" t="s">
        <v>276</v>
      </c>
      <c r="J68" s="56">
        <v>8</v>
      </c>
      <c r="K68" s="59">
        <v>5.6500000000000002E-2</v>
      </c>
      <c r="L68" s="33">
        <v>2</v>
      </c>
      <c r="M68" s="45">
        <v>45602</v>
      </c>
      <c r="N68" s="60">
        <f t="shared" si="13"/>
        <v>4.4602739726027396</v>
      </c>
      <c r="O68" s="61">
        <v>47230</v>
      </c>
      <c r="P68" s="62">
        <v>103</v>
      </c>
      <c r="Q68" s="63">
        <v>4.8800000000000003E-2</v>
      </c>
      <c r="R68" s="64">
        <v>4800000</v>
      </c>
      <c r="S68" s="43">
        <f t="shared" si="14"/>
        <v>4944000</v>
      </c>
      <c r="T68" s="65">
        <v>11300</v>
      </c>
      <c r="U68" s="43">
        <f t="shared" si="15"/>
        <v>4955300</v>
      </c>
      <c r="V68" s="66">
        <v>45603</v>
      </c>
      <c r="W68" s="46">
        <f t="shared" si="11"/>
        <v>9</v>
      </c>
      <c r="X68" s="46">
        <f t="shared" si="16"/>
        <v>1220400</v>
      </c>
      <c r="Y68" s="46">
        <f t="shared" si="17"/>
        <v>6020400</v>
      </c>
      <c r="Z68" s="47" t="str">
        <f t="shared" si="18"/>
        <v>4~5%</v>
      </c>
      <c r="AA68" s="47" t="str">
        <f t="shared" si="19"/>
        <v>3~5</v>
      </c>
      <c r="AB68" s="46">
        <f t="shared" si="20"/>
        <v>22101995.616438355</v>
      </c>
    </row>
    <row r="69" spans="1:28" s="33" customFormat="1">
      <c r="A69" s="33" t="s">
        <v>277</v>
      </c>
      <c r="B69" s="33" t="s">
        <v>54</v>
      </c>
      <c r="C69" s="33" t="s">
        <v>60</v>
      </c>
      <c r="D69" s="36" t="s">
        <v>61</v>
      </c>
      <c r="E69" s="37" t="s">
        <v>278</v>
      </c>
      <c r="F69" s="37" t="s">
        <v>279</v>
      </c>
      <c r="G69" s="33" t="s">
        <v>163</v>
      </c>
      <c r="H69" s="38" t="s">
        <v>40</v>
      </c>
      <c r="I69" s="37" t="s">
        <v>280</v>
      </c>
      <c r="J69" s="33">
        <v>8</v>
      </c>
      <c r="K69" s="39">
        <v>3.6249999999999998E-2</v>
      </c>
      <c r="L69" s="33">
        <v>2</v>
      </c>
      <c r="M69" s="40">
        <v>45392</v>
      </c>
      <c r="N69" s="41">
        <f t="shared" si="13"/>
        <v>5.0356164383561648</v>
      </c>
      <c r="O69" s="45">
        <v>47230</v>
      </c>
      <c r="P69" s="42">
        <v>93.620800000000003</v>
      </c>
      <c r="Q69" s="53">
        <v>5.0768000000000001E-2</v>
      </c>
      <c r="R69" s="44">
        <v>2000000</v>
      </c>
      <c r="S69" s="43">
        <f t="shared" si="14"/>
        <v>1872416</v>
      </c>
      <c r="T69" s="44">
        <v>33833.33</v>
      </c>
      <c r="U69" s="43">
        <f t="shared" si="15"/>
        <v>1906249.33</v>
      </c>
      <c r="V69" s="45">
        <f>M69+2</f>
        <v>45394</v>
      </c>
      <c r="W69" s="46">
        <f t="shared" si="11"/>
        <v>11</v>
      </c>
      <c r="X69" s="46">
        <f t="shared" si="16"/>
        <v>398750</v>
      </c>
      <c r="Y69" s="46">
        <f t="shared" si="17"/>
        <v>2398750</v>
      </c>
      <c r="Z69" s="47" t="str">
        <f t="shared" si="18"/>
        <v>5~6%</v>
      </c>
      <c r="AA69" s="47" t="str">
        <f t="shared" si="19"/>
        <v>5~7</v>
      </c>
      <c r="AB69" s="46">
        <f t="shared" si="20"/>
        <v>9599140.4617534261</v>
      </c>
    </row>
    <row r="70" spans="1:28" s="33" customFormat="1">
      <c r="A70" s="33" t="s">
        <v>277</v>
      </c>
      <c r="B70" s="33" t="s">
        <v>77</v>
      </c>
      <c r="C70" s="48" t="s">
        <v>43</v>
      </c>
      <c r="D70" s="33" t="s">
        <v>61</v>
      </c>
      <c r="E70" s="37" t="s">
        <v>278</v>
      </c>
      <c r="F70" s="49" t="s">
        <v>281</v>
      </c>
      <c r="G70" s="33" t="s">
        <v>216</v>
      </c>
      <c r="H70" s="33" t="s">
        <v>47</v>
      </c>
      <c r="I70" s="37" t="s">
        <v>282</v>
      </c>
      <c r="J70" s="33">
        <v>8</v>
      </c>
      <c r="K70" s="39">
        <v>3.6249999999999998E-2</v>
      </c>
      <c r="L70" s="33">
        <v>2</v>
      </c>
      <c r="M70" s="40">
        <v>45392</v>
      </c>
      <c r="N70" s="41">
        <f t="shared" si="13"/>
        <v>5.0356164383561648</v>
      </c>
      <c r="O70" s="45">
        <v>47230</v>
      </c>
      <c r="P70" s="42">
        <v>93.620800000000003</v>
      </c>
      <c r="Q70" s="53">
        <v>5.0768000000000001E-2</v>
      </c>
      <c r="R70" s="44">
        <v>2000000</v>
      </c>
      <c r="S70" s="43">
        <f t="shared" si="14"/>
        <v>1872416</v>
      </c>
      <c r="T70" s="44"/>
      <c r="U70" s="43">
        <f t="shared" si="15"/>
        <v>1872416</v>
      </c>
      <c r="V70" s="45">
        <f>M70+2</f>
        <v>45394</v>
      </c>
      <c r="W70" s="46">
        <f t="shared" si="11"/>
        <v>11</v>
      </c>
      <c r="X70" s="46">
        <f t="shared" si="16"/>
        <v>398750</v>
      </c>
      <c r="Y70" s="46">
        <f t="shared" si="17"/>
        <v>2398750</v>
      </c>
      <c r="Z70" s="47" t="str">
        <f t="shared" si="18"/>
        <v>5~6%</v>
      </c>
      <c r="AA70" s="47" t="str">
        <f t="shared" si="19"/>
        <v>5~7</v>
      </c>
      <c r="AB70" s="46">
        <f t="shared" si="20"/>
        <v>9428768.7890410963</v>
      </c>
    </row>
    <row r="71" spans="1:28" s="33" customFormat="1">
      <c r="A71" s="56" t="s">
        <v>283</v>
      </c>
      <c r="B71" s="56" t="s">
        <v>233</v>
      </c>
      <c r="C71" s="57" t="s">
        <v>35</v>
      </c>
      <c r="D71" s="36" t="s">
        <v>61</v>
      </c>
      <c r="E71" s="58" t="s">
        <v>284</v>
      </c>
      <c r="F71" s="54" t="s">
        <v>285</v>
      </c>
      <c r="G71" s="56" t="s">
        <v>39</v>
      </c>
      <c r="H71" s="56" t="s">
        <v>236</v>
      </c>
      <c r="I71" s="55" t="s">
        <v>286</v>
      </c>
      <c r="J71" s="56">
        <v>6</v>
      </c>
      <c r="K71" s="59">
        <v>5.4140000000000001E-2</v>
      </c>
      <c r="L71" s="33">
        <v>2</v>
      </c>
      <c r="M71" s="45">
        <v>45504</v>
      </c>
      <c r="N71" s="60">
        <f t="shared" si="13"/>
        <v>4.7780821917808218</v>
      </c>
      <c r="O71" s="61">
        <v>47248</v>
      </c>
      <c r="P71" s="62">
        <v>102</v>
      </c>
      <c r="Q71" s="63">
        <v>4.9367809772275298E-2</v>
      </c>
      <c r="R71" s="64">
        <v>6000000</v>
      </c>
      <c r="S71" s="43">
        <f t="shared" si="14"/>
        <v>6120000</v>
      </c>
      <c r="T71" s="65">
        <v>73089</v>
      </c>
      <c r="U71" s="67">
        <v>6193089</v>
      </c>
      <c r="V71" s="66">
        <v>45505</v>
      </c>
      <c r="W71" s="46">
        <f t="shared" si="11"/>
        <v>10</v>
      </c>
      <c r="X71" s="46">
        <f t="shared" si="16"/>
        <v>1624200</v>
      </c>
      <c r="Y71" s="46">
        <f t="shared" si="17"/>
        <v>7624200</v>
      </c>
      <c r="Z71" s="47" t="str">
        <f t="shared" si="18"/>
        <v>4~5%</v>
      </c>
      <c r="AA71" s="47" t="str">
        <f t="shared" si="19"/>
        <v>3~5</v>
      </c>
      <c r="AB71" s="46">
        <f t="shared" si="20"/>
        <v>29591088.263013698</v>
      </c>
    </row>
    <row r="72" spans="1:28" s="33" customFormat="1">
      <c r="A72" s="56" t="s">
        <v>283</v>
      </c>
      <c r="B72" s="56" t="s">
        <v>233</v>
      </c>
      <c r="C72" s="57" t="s">
        <v>35</v>
      </c>
      <c r="D72" s="36" t="s">
        <v>61</v>
      </c>
      <c r="E72" s="58" t="s">
        <v>284</v>
      </c>
      <c r="F72" s="54" t="s">
        <v>285</v>
      </c>
      <c r="G72" s="56" t="s">
        <v>39</v>
      </c>
      <c r="H72" s="56" t="s">
        <v>236</v>
      </c>
      <c r="I72" s="55" t="s">
        <v>286</v>
      </c>
      <c r="J72" s="56">
        <v>6</v>
      </c>
      <c r="K72" s="59">
        <v>5.4140000000000001E-2</v>
      </c>
      <c r="L72" s="33">
        <v>2</v>
      </c>
      <c r="M72" s="45">
        <v>45504</v>
      </c>
      <c r="N72" s="60">
        <f t="shared" si="13"/>
        <v>4.7780821917808218</v>
      </c>
      <c r="O72" s="61">
        <v>47248</v>
      </c>
      <c r="P72" s="62">
        <v>102</v>
      </c>
      <c r="Q72" s="63">
        <v>4.9367809772275298E-2</v>
      </c>
      <c r="R72" s="64">
        <v>2000000</v>
      </c>
      <c r="S72" s="43">
        <f t="shared" si="14"/>
        <v>2040000</v>
      </c>
      <c r="T72" s="65">
        <v>24363</v>
      </c>
      <c r="U72" s="67">
        <v>2064363</v>
      </c>
      <c r="V72" s="66">
        <v>45505</v>
      </c>
      <c r="W72" s="46">
        <f t="shared" si="11"/>
        <v>10</v>
      </c>
      <c r="X72" s="46">
        <f t="shared" si="16"/>
        <v>541400</v>
      </c>
      <c r="Y72" s="46">
        <f t="shared" si="17"/>
        <v>2541400</v>
      </c>
      <c r="Z72" s="47" t="str">
        <f t="shared" si="18"/>
        <v>4~5%</v>
      </c>
      <c r="AA72" s="47" t="str">
        <f t="shared" si="19"/>
        <v>3~5</v>
      </c>
      <c r="AB72" s="46">
        <f t="shared" si="20"/>
        <v>9863696.0876712333</v>
      </c>
    </row>
    <row r="73" spans="1:28" s="33" customFormat="1">
      <c r="A73" s="33" t="s">
        <v>287</v>
      </c>
      <c r="B73" s="33" t="s">
        <v>54</v>
      </c>
      <c r="C73" s="48" t="s">
        <v>43</v>
      </c>
      <c r="D73" s="33" t="s">
        <v>61</v>
      </c>
      <c r="E73" s="37" t="s">
        <v>55</v>
      </c>
      <c r="F73" s="49" t="s">
        <v>56</v>
      </c>
      <c r="G73" s="33" t="s">
        <v>57</v>
      </c>
      <c r="H73" s="33" t="s">
        <v>47</v>
      </c>
      <c r="I73" s="37" t="s">
        <v>58</v>
      </c>
      <c r="J73" s="33">
        <v>7</v>
      </c>
      <c r="K73" s="39">
        <v>3.5000000000000003E-2</v>
      </c>
      <c r="L73" s="33">
        <v>2</v>
      </c>
      <c r="M73" s="40">
        <v>44999</v>
      </c>
      <c r="N73" s="41">
        <f t="shared" si="13"/>
        <v>6.1753424657534248</v>
      </c>
      <c r="O73" s="45">
        <v>47253</v>
      </c>
      <c r="P73" s="42">
        <v>92.17</v>
      </c>
      <c r="Q73" s="53">
        <v>4.9763000000000002E-2</v>
      </c>
      <c r="R73" s="44">
        <v>2000000</v>
      </c>
      <c r="S73" s="43">
        <f t="shared" si="14"/>
        <v>1843400</v>
      </c>
      <c r="T73" s="44">
        <v>23138.89</v>
      </c>
      <c r="U73" s="43">
        <f t="shared" ref="U73:U85" si="21">S73+T73</f>
        <v>1866538.89</v>
      </c>
      <c r="V73" s="45">
        <f t="shared" ref="V73:V79" si="22">M73+2</f>
        <v>45001</v>
      </c>
      <c r="W73" s="46">
        <f t="shared" si="11"/>
        <v>13</v>
      </c>
      <c r="X73" s="46">
        <f t="shared" si="16"/>
        <v>455000</v>
      </c>
      <c r="Y73" s="46">
        <f t="shared" si="17"/>
        <v>2455000</v>
      </c>
      <c r="Z73" s="47" t="str">
        <f t="shared" si="18"/>
        <v>4~5%</v>
      </c>
      <c r="AA73" s="47" t="str">
        <f t="shared" si="19"/>
        <v>5~7</v>
      </c>
      <c r="AB73" s="46">
        <f t="shared" si="20"/>
        <v>11526516.871397261</v>
      </c>
    </row>
    <row r="74" spans="1:28" s="33" customFormat="1">
      <c r="A74" s="33" t="s">
        <v>287</v>
      </c>
      <c r="B74" s="33" t="s">
        <v>101</v>
      </c>
      <c r="C74" s="33" t="s">
        <v>60</v>
      </c>
      <c r="D74" s="36" t="s">
        <v>61</v>
      </c>
      <c r="E74" s="37" t="s">
        <v>55</v>
      </c>
      <c r="F74" s="37" t="s">
        <v>128</v>
      </c>
      <c r="G74" s="33" t="s">
        <v>57</v>
      </c>
      <c r="H74" s="38" t="s">
        <v>40</v>
      </c>
      <c r="I74" s="37" t="s">
        <v>288</v>
      </c>
      <c r="J74" s="33">
        <v>7</v>
      </c>
      <c r="K74" s="39">
        <v>3.5000000000000003E-2</v>
      </c>
      <c r="L74" s="33">
        <v>2</v>
      </c>
      <c r="M74" s="40">
        <v>44994</v>
      </c>
      <c r="N74" s="41">
        <f t="shared" si="13"/>
        <v>6.1890410958904107</v>
      </c>
      <c r="O74" s="45">
        <v>47253</v>
      </c>
      <c r="P74" s="42">
        <v>91.954999999999998</v>
      </c>
      <c r="Q74" s="53">
        <v>5.0099999999999999E-2</v>
      </c>
      <c r="R74" s="44">
        <v>1000000</v>
      </c>
      <c r="S74" s="43">
        <f t="shared" si="14"/>
        <v>919550</v>
      </c>
      <c r="T74" s="44">
        <v>11083.33</v>
      </c>
      <c r="U74" s="43">
        <f t="shared" si="21"/>
        <v>930633.33</v>
      </c>
      <c r="V74" s="45">
        <f t="shared" si="22"/>
        <v>44996</v>
      </c>
      <c r="W74" s="46">
        <f t="shared" si="11"/>
        <v>13</v>
      </c>
      <c r="X74" s="46">
        <f t="shared" si="16"/>
        <v>227500</v>
      </c>
      <c r="Y74" s="46">
        <f t="shared" si="17"/>
        <v>1227500</v>
      </c>
      <c r="Z74" s="47" t="str">
        <f t="shared" si="18"/>
        <v>5~6%</v>
      </c>
      <c r="AA74" s="47" t="str">
        <f t="shared" si="19"/>
        <v>5~7</v>
      </c>
      <c r="AB74" s="46">
        <f t="shared" si="20"/>
        <v>5759727.9245753419</v>
      </c>
    </row>
    <row r="75" spans="1:28" s="33" customFormat="1">
      <c r="A75" s="33" t="s">
        <v>289</v>
      </c>
      <c r="B75" s="33" t="s">
        <v>77</v>
      </c>
      <c r="C75" s="33" t="s">
        <v>35</v>
      </c>
      <c r="D75" s="36" t="s">
        <v>61</v>
      </c>
      <c r="E75" s="37" t="s">
        <v>290</v>
      </c>
      <c r="F75" s="37" t="s">
        <v>291</v>
      </c>
      <c r="G75" s="33" t="s">
        <v>39</v>
      </c>
      <c r="H75" s="38" t="s">
        <v>40</v>
      </c>
      <c r="I75" s="37" t="s">
        <v>125</v>
      </c>
      <c r="J75" s="33">
        <v>5</v>
      </c>
      <c r="K75" s="39">
        <v>5.4100000000000002E-2</v>
      </c>
      <c r="L75" s="33">
        <v>2</v>
      </c>
      <c r="M75" s="40">
        <v>45442</v>
      </c>
      <c r="N75" s="41">
        <f t="shared" si="13"/>
        <v>4.9671232876712326</v>
      </c>
      <c r="O75" s="45">
        <v>47255</v>
      </c>
      <c r="P75" s="42">
        <v>100.25</v>
      </c>
      <c r="Q75" s="53">
        <v>5.3499999999999999E-2</v>
      </c>
      <c r="R75" s="44">
        <v>1071000</v>
      </c>
      <c r="S75" s="43">
        <f t="shared" si="14"/>
        <v>1073677.5</v>
      </c>
      <c r="T75" s="44">
        <v>15750</v>
      </c>
      <c r="U75" s="43">
        <f t="shared" si="21"/>
        <v>1089427.5</v>
      </c>
      <c r="V75" s="45">
        <f t="shared" si="22"/>
        <v>45444</v>
      </c>
      <c r="W75" s="46">
        <f t="shared" si="11"/>
        <v>10</v>
      </c>
      <c r="X75" s="46">
        <f t="shared" si="16"/>
        <v>289705.5</v>
      </c>
      <c r="Y75" s="46">
        <f t="shared" si="17"/>
        <v>1360705.5</v>
      </c>
      <c r="Z75" s="47" t="str">
        <f t="shared" si="18"/>
        <v>5~6%</v>
      </c>
      <c r="AA75" s="47" t="str">
        <f t="shared" si="19"/>
        <v>3~5</v>
      </c>
      <c r="AB75" s="46">
        <f t="shared" si="20"/>
        <v>5411320.7054794515</v>
      </c>
    </row>
    <row r="76" spans="1:28" s="33" customFormat="1">
      <c r="A76" s="33" t="s">
        <v>292</v>
      </c>
      <c r="B76" s="33" t="s">
        <v>223</v>
      </c>
      <c r="C76" s="33" t="s">
        <v>35</v>
      </c>
      <c r="D76" s="36" t="s">
        <v>61</v>
      </c>
      <c r="E76" s="37" t="s">
        <v>293</v>
      </c>
      <c r="F76" s="37" t="s">
        <v>294</v>
      </c>
      <c r="G76" s="33" t="s">
        <v>39</v>
      </c>
      <c r="H76" s="38" t="s">
        <v>40</v>
      </c>
      <c r="I76" s="37" t="s">
        <v>295</v>
      </c>
      <c r="J76" s="33">
        <v>4</v>
      </c>
      <c r="K76" s="39">
        <v>5.3350000000000002E-2</v>
      </c>
      <c r="L76" s="33">
        <v>2</v>
      </c>
      <c r="M76" s="40">
        <v>45324</v>
      </c>
      <c r="N76" s="41">
        <f t="shared" si="13"/>
        <v>5.3616438356164382</v>
      </c>
      <c r="O76" s="45">
        <v>47281</v>
      </c>
      <c r="P76" s="42">
        <v>102.739</v>
      </c>
      <c r="Q76" s="53">
        <v>4.8869999999999997E-2</v>
      </c>
      <c r="R76" s="44">
        <v>1450000</v>
      </c>
      <c r="S76" s="43">
        <f t="shared" si="14"/>
        <v>1489715.5</v>
      </c>
      <c r="T76" s="44">
        <v>11603.62</v>
      </c>
      <c r="U76" s="43">
        <f t="shared" si="21"/>
        <v>1501319.12</v>
      </c>
      <c r="V76" s="45">
        <f t="shared" si="22"/>
        <v>45326</v>
      </c>
      <c r="W76" s="46">
        <f t="shared" si="11"/>
        <v>11</v>
      </c>
      <c r="X76" s="46">
        <f t="shared" si="16"/>
        <v>425466.25</v>
      </c>
      <c r="Y76" s="46">
        <f t="shared" si="17"/>
        <v>1875466.25</v>
      </c>
      <c r="Z76" s="47" t="str">
        <f t="shared" si="18"/>
        <v>4~5%</v>
      </c>
      <c r="AA76" s="47" t="str">
        <f t="shared" si="19"/>
        <v>5~7</v>
      </c>
      <c r="AB76" s="46">
        <f t="shared" si="20"/>
        <v>8049538.4050410958</v>
      </c>
    </row>
    <row r="77" spans="1:28" s="33" customFormat="1">
      <c r="A77" s="33" t="s">
        <v>292</v>
      </c>
      <c r="B77" s="33" t="s">
        <v>223</v>
      </c>
      <c r="C77" s="48" t="s">
        <v>67</v>
      </c>
      <c r="D77" s="33" t="s">
        <v>61</v>
      </c>
      <c r="E77" s="37" t="s">
        <v>293</v>
      </c>
      <c r="F77" s="49" t="s">
        <v>296</v>
      </c>
      <c r="G77" s="33" t="s">
        <v>39</v>
      </c>
      <c r="H77" s="33" t="s">
        <v>47</v>
      </c>
      <c r="I77" s="37" t="s">
        <v>297</v>
      </c>
      <c r="J77" s="33">
        <v>4</v>
      </c>
      <c r="K77" s="39">
        <v>5.3350000000000002E-2</v>
      </c>
      <c r="L77" s="33">
        <v>2</v>
      </c>
      <c r="M77" s="40">
        <v>45320</v>
      </c>
      <c r="N77" s="41">
        <f t="shared" si="13"/>
        <v>5.3726027397260276</v>
      </c>
      <c r="O77" s="45">
        <v>47281</v>
      </c>
      <c r="P77" s="42">
        <v>101.556</v>
      </c>
      <c r="Q77" s="53">
        <v>5.16E-2</v>
      </c>
      <c r="R77" s="44">
        <v>680000</v>
      </c>
      <c r="S77" s="43">
        <f t="shared" si="14"/>
        <v>690580.8</v>
      </c>
      <c r="T77" s="44">
        <v>4736.29</v>
      </c>
      <c r="U77" s="43">
        <f t="shared" si="21"/>
        <v>695317.09000000008</v>
      </c>
      <c r="V77" s="45">
        <f t="shared" si="22"/>
        <v>45322</v>
      </c>
      <c r="W77" s="46">
        <f t="shared" si="11"/>
        <v>11</v>
      </c>
      <c r="X77" s="46">
        <f t="shared" si="16"/>
        <v>199529</v>
      </c>
      <c r="Y77" s="46">
        <f t="shared" si="17"/>
        <v>879529</v>
      </c>
      <c r="Z77" s="47" t="str">
        <f t="shared" si="18"/>
        <v>5~6%</v>
      </c>
      <c r="AA77" s="47" t="str">
        <f t="shared" si="19"/>
        <v>5~7</v>
      </c>
      <c r="AB77" s="46">
        <f t="shared" si="20"/>
        <v>3735662.5027123294</v>
      </c>
    </row>
    <row r="78" spans="1:28" s="33" customFormat="1">
      <c r="A78" s="33" t="s">
        <v>292</v>
      </c>
      <c r="B78" s="33" t="s">
        <v>77</v>
      </c>
      <c r="C78" s="33" t="s">
        <v>35</v>
      </c>
      <c r="D78" s="36" t="s">
        <v>61</v>
      </c>
      <c r="E78" s="37" t="s">
        <v>219</v>
      </c>
      <c r="F78" s="37" t="s">
        <v>294</v>
      </c>
      <c r="G78" s="33" t="s">
        <v>39</v>
      </c>
      <c r="H78" s="38" t="s">
        <v>40</v>
      </c>
      <c r="I78" s="37" t="s">
        <v>298</v>
      </c>
      <c r="J78" s="33">
        <v>4</v>
      </c>
      <c r="K78" s="39">
        <v>5.3350000000000002E-2</v>
      </c>
      <c r="L78" s="33">
        <v>2</v>
      </c>
      <c r="M78" s="40">
        <v>45309</v>
      </c>
      <c r="N78" s="41">
        <f t="shared" si="13"/>
        <v>5.4027397260273968</v>
      </c>
      <c r="O78" s="45">
        <v>47281</v>
      </c>
      <c r="P78" s="42">
        <v>101.74300000000001</v>
      </c>
      <c r="Q78" s="53">
        <v>5.11E-2</v>
      </c>
      <c r="R78" s="44">
        <v>4000000</v>
      </c>
      <c r="S78" s="43">
        <f t="shared" si="14"/>
        <v>4069720.0000000005</v>
      </c>
      <c r="T78" s="44">
        <v>22044.2</v>
      </c>
      <c r="U78" s="43">
        <f t="shared" si="21"/>
        <v>4091764.2000000007</v>
      </c>
      <c r="V78" s="45">
        <f t="shared" si="22"/>
        <v>45311</v>
      </c>
      <c r="W78" s="46">
        <f t="shared" si="11"/>
        <v>11</v>
      </c>
      <c r="X78" s="46">
        <f t="shared" si="16"/>
        <v>1173700</v>
      </c>
      <c r="Y78" s="46">
        <f t="shared" si="17"/>
        <v>5173700</v>
      </c>
      <c r="Z78" s="47" t="str">
        <f t="shared" si="18"/>
        <v>5~6%</v>
      </c>
      <c r="AA78" s="47" t="str">
        <f t="shared" si="19"/>
        <v>5~7</v>
      </c>
      <c r="AB78" s="46">
        <f t="shared" si="20"/>
        <v>22106736.992876712</v>
      </c>
    </row>
    <row r="79" spans="1:28" s="33" customFormat="1">
      <c r="A79" s="33" t="s">
        <v>299</v>
      </c>
      <c r="B79" s="33" t="s">
        <v>54</v>
      </c>
      <c r="C79" s="33" t="s">
        <v>35</v>
      </c>
      <c r="D79" s="36" t="s">
        <v>61</v>
      </c>
      <c r="E79" s="37" t="s">
        <v>300</v>
      </c>
      <c r="F79" s="37" t="s">
        <v>301</v>
      </c>
      <c r="G79" s="33" t="s">
        <v>39</v>
      </c>
      <c r="H79" s="38" t="s">
        <v>40</v>
      </c>
      <c r="I79" s="37" t="s">
        <v>302</v>
      </c>
      <c r="J79" s="33">
        <v>5</v>
      </c>
      <c r="K79" s="39">
        <v>3.3059999999999999E-2</v>
      </c>
      <c r="L79" s="33">
        <v>2</v>
      </c>
      <c r="M79" s="40">
        <v>45384</v>
      </c>
      <c r="N79" s="41">
        <f t="shared" si="13"/>
        <v>5.2383561643835614</v>
      </c>
      <c r="O79" s="45">
        <v>47296</v>
      </c>
      <c r="P79" s="42">
        <v>92.057900000000004</v>
      </c>
      <c r="Q79" s="53">
        <v>5.0500000000000003E-2</v>
      </c>
      <c r="R79" s="44">
        <v>5000000</v>
      </c>
      <c r="S79" s="43">
        <f t="shared" si="14"/>
        <v>4602895</v>
      </c>
      <c r="T79" s="44">
        <v>43620.83</v>
      </c>
      <c r="U79" s="43">
        <f t="shared" si="21"/>
        <v>4646515.83</v>
      </c>
      <c r="V79" s="45">
        <f t="shared" si="22"/>
        <v>45386</v>
      </c>
      <c r="W79" s="46">
        <f t="shared" si="11"/>
        <v>11</v>
      </c>
      <c r="X79" s="46">
        <f t="shared" si="16"/>
        <v>909150</v>
      </c>
      <c r="Y79" s="46">
        <f t="shared" si="17"/>
        <v>5909150</v>
      </c>
      <c r="Z79" s="47" t="str">
        <f t="shared" si="18"/>
        <v>5~6%</v>
      </c>
      <c r="AA79" s="47" t="str">
        <f t="shared" si="19"/>
        <v>5~7</v>
      </c>
      <c r="AB79" s="46">
        <f t="shared" si="20"/>
        <v>24340104.8409863</v>
      </c>
    </row>
    <row r="80" spans="1:28" s="33" customFormat="1">
      <c r="A80" s="56" t="s">
        <v>303</v>
      </c>
      <c r="B80" s="56" t="s">
        <v>304</v>
      </c>
      <c r="C80" s="57" t="s">
        <v>35</v>
      </c>
      <c r="D80" s="36" t="s">
        <v>61</v>
      </c>
      <c r="E80" s="58" t="s">
        <v>305</v>
      </c>
      <c r="F80" s="54" t="s">
        <v>306</v>
      </c>
      <c r="G80" s="56" t="s">
        <v>307</v>
      </c>
      <c r="H80" s="56" t="s">
        <v>236</v>
      </c>
      <c r="I80" s="55" t="s">
        <v>308</v>
      </c>
      <c r="J80" s="56">
        <v>6</v>
      </c>
      <c r="K80" s="59">
        <v>0.05</v>
      </c>
      <c r="L80" s="33">
        <v>2</v>
      </c>
      <c r="M80" s="45">
        <v>45587</v>
      </c>
      <c r="N80" s="60">
        <f t="shared" si="13"/>
        <v>4.6958904109589037</v>
      </c>
      <c r="O80" s="61">
        <v>47301</v>
      </c>
      <c r="P80" s="62">
        <v>102.5</v>
      </c>
      <c r="Q80" s="63">
        <v>4.403E-2</v>
      </c>
      <c r="R80" s="64">
        <v>230000</v>
      </c>
      <c r="S80" s="43">
        <f>P80*R80/100</f>
        <v>235750</v>
      </c>
      <c r="T80" s="65">
        <v>3545.83</v>
      </c>
      <c r="U80" s="67">
        <f t="shared" si="21"/>
        <v>239295.83</v>
      </c>
      <c r="V80" s="66">
        <v>45588</v>
      </c>
      <c r="W80" s="46">
        <f t="shared" si="11"/>
        <v>10</v>
      </c>
      <c r="X80" s="46">
        <f t="shared" si="16"/>
        <v>57500</v>
      </c>
      <c r="Y80" s="46">
        <f t="shared" si="17"/>
        <v>287500</v>
      </c>
      <c r="Z80" s="47" t="str">
        <f t="shared" si="18"/>
        <v>4~5%</v>
      </c>
      <c r="AA80" s="47" t="str">
        <f t="shared" si="19"/>
        <v>3~5</v>
      </c>
      <c r="AB80" s="46">
        <f t="shared" si="20"/>
        <v>1123706.9934794519</v>
      </c>
    </row>
    <row r="81" spans="1:28" s="33" customFormat="1">
      <c r="A81" s="56" t="s">
        <v>303</v>
      </c>
      <c r="B81" s="56" t="s">
        <v>233</v>
      </c>
      <c r="C81" s="57" t="s">
        <v>35</v>
      </c>
      <c r="D81" s="36" t="s">
        <v>309</v>
      </c>
      <c r="E81" s="58" t="s">
        <v>305</v>
      </c>
      <c r="F81" s="54" t="s">
        <v>306</v>
      </c>
      <c r="G81" s="56" t="s">
        <v>307</v>
      </c>
      <c r="H81" s="56" t="s">
        <v>236</v>
      </c>
      <c r="I81" s="55" t="s">
        <v>308</v>
      </c>
      <c r="J81" s="56">
        <v>6</v>
      </c>
      <c r="K81" s="59">
        <v>0.05</v>
      </c>
      <c r="L81" s="33">
        <v>2</v>
      </c>
      <c r="M81" s="45">
        <v>45586</v>
      </c>
      <c r="N81" s="60">
        <f t="shared" si="13"/>
        <v>4.6986301369863011</v>
      </c>
      <c r="O81" s="61">
        <v>47301</v>
      </c>
      <c r="P81" s="62">
        <v>102.89</v>
      </c>
      <c r="Q81" s="63">
        <v>4.2999999999999997E-2</v>
      </c>
      <c r="R81" s="64">
        <v>600000</v>
      </c>
      <c r="S81" s="43">
        <f>P81*R81/100</f>
        <v>617340</v>
      </c>
      <c r="T81" s="65">
        <v>9250</v>
      </c>
      <c r="U81" s="67">
        <f t="shared" si="21"/>
        <v>626590</v>
      </c>
      <c r="V81" s="66">
        <v>45588</v>
      </c>
      <c r="W81" s="46">
        <f t="shared" si="11"/>
        <v>10</v>
      </c>
      <c r="X81" s="46">
        <f t="shared" si="16"/>
        <v>150000</v>
      </c>
      <c r="Y81" s="46">
        <f t="shared" si="17"/>
        <v>750000</v>
      </c>
      <c r="Z81" s="47" t="str">
        <f t="shared" si="18"/>
        <v>4~5%</v>
      </c>
      <c r="AA81" s="47" t="str">
        <f t="shared" si="19"/>
        <v>3~5</v>
      </c>
      <c r="AB81" s="46">
        <f t="shared" si="20"/>
        <v>2944114.6575342463</v>
      </c>
    </row>
    <row r="82" spans="1:28" s="33" customFormat="1">
      <c r="A82" s="33" t="s">
        <v>310</v>
      </c>
      <c r="B82" s="33" t="s">
        <v>54</v>
      </c>
      <c r="C82" s="48" t="s">
        <v>43</v>
      </c>
      <c r="D82" s="33" t="s">
        <v>61</v>
      </c>
      <c r="E82" s="37" t="s">
        <v>136</v>
      </c>
      <c r="F82" s="49" t="s">
        <v>137</v>
      </c>
      <c r="G82" s="33" t="s">
        <v>57</v>
      </c>
      <c r="H82" s="33" t="s">
        <v>47</v>
      </c>
      <c r="I82" s="37" t="s">
        <v>149</v>
      </c>
      <c r="J82" s="33">
        <v>6</v>
      </c>
      <c r="K82" s="39">
        <v>2.4500000000000001E-2</v>
      </c>
      <c r="L82" s="33">
        <v>2</v>
      </c>
      <c r="M82" s="40">
        <v>45036</v>
      </c>
      <c r="N82" s="41">
        <f t="shared" si="13"/>
        <v>6.3260273972602743</v>
      </c>
      <c r="O82" s="45">
        <v>47345</v>
      </c>
      <c r="P82" s="42">
        <v>88.676999999999992</v>
      </c>
      <c r="Q82" s="53">
        <v>4.4400000000000002E-2</v>
      </c>
      <c r="R82" s="44">
        <v>3000000</v>
      </c>
      <c r="S82" s="43">
        <f>R82*P82/100</f>
        <v>2660309.9999999995</v>
      </c>
      <c r="T82" s="44">
        <v>31645.833333333332</v>
      </c>
      <c r="U82" s="43">
        <f t="shared" si="21"/>
        <v>2691955.833333333</v>
      </c>
      <c r="V82" s="45">
        <f>M82+2</f>
        <v>45038</v>
      </c>
      <c r="W82" s="46">
        <f t="shared" si="11"/>
        <v>13</v>
      </c>
      <c r="X82" s="46">
        <f t="shared" si="16"/>
        <v>477750</v>
      </c>
      <c r="Y82" s="46">
        <f t="shared" si="17"/>
        <v>3477750</v>
      </c>
      <c r="Z82" s="47" t="str">
        <f t="shared" si="18"/>
        <v>4~5%</v>
      </c>
      <c r="AA82" s="47" t="str">
        <f t="shared" si="19"/>
        <v>5~7</v>
      </c>
      <c r="AB82" s="46">
        <f t="shared" si="20"/>
        <v>17029386.353881277</v>
      </c>
    </row>
    <row r="83" spans="1:28" s="33" customFormat="1">
      <c r="A83" s="33" t="s">
        <v>311</v>
      </c>
      <c r="B83" s="33" t="s">
        <v>119</v>
      </c>
      <c r="C83" s="33" t="s">
        <v>60</v>
      </c>
      <c r="D83" s="36" t="s">
        <v>61</v>
      </c>
      <c r="E83" s="37" t="s">
        <v>312</v>
      </c>
      <c r="F83" s="37" t="s">
        <v>313</v>
      </c>
      <c r="G83" s="33" t="s">
        <v>168</v>
      </c>
      <c r="H83" s="38" t="s">
        <v>40</v>
      </c>
      <c r="I83" s="37" t="s">
        <v>263</v>
      </c>
      <c r="J83" s="33">
        <v>8</v>
      </c>
      <c r="K83" s="39">
        <v>2.375E-2</v>
      </c>
      <c r="L83" s="33">
        <v>2</v>
      </c>
      <c r="M83" s="40">
        <v>45436</v>
      </c>
      <c r="N83" s="41">
        <f t="shared" si="13"/>
        <v>5.2602739726027394</v>
      </c>
      <c r="O83" s="45">
        <v>47356</v>
      </c>
      <c r="P83" s="42">
        <v>87.6</v>
      </c>
      <c r="Q83" s="53">
        <v>5.0999999999999997E-2</v>
      </c>
      <c r="R83" s="44">
        <v>2500000</v>
      </c>
      <c r="S83" s="43">
        <f>R83*P83/100</f>
        <v>2190000</v>
      </c>
      <c r="T83" s="44">
        <v>15173.61</v>
      </c>
      <c r="U83" s="43">
        <f t="shared" si="21"/>
        <v>2205173.61</v>
      </c>
      <c r="V83" s="45">
        <f>M83+2</f>
        <v>45438</v>
      </c>
      <c r="W83" s="46">
        <f t="shared" si="11"/>
        <v>11</v>
      </c>
      <c r="X83" s="46">
        <f t="shared" si="16"/>
        <v>326562.5</v>
      </c>
      <c r="Y83" s="46">
        <f t="shared" si="17"/>
        <v>2826562.5</v>
      </c>
      <c r="Z83" s="47" t="str">
        <f t="shared" si="18"/>
        <v>5~6%</v>
      </c>
      <c r="AA83" s="47" t="str">
        <f t="shared" si="19"/>
        <v>5~7</v>
      </c>
      <c r="AB83" s="46">
        <f t="shared" si="20"/>
        <v>11599817.345753424</v>
      </c>
    </row>
    <row r="84" spans="1:28" s="33" customFormat="1">
      <c r="A84" s="33" t="s">
        <v>311</v>
      </c>
      <c r="B84" s="33" t="s">
        <v>54</v>
      </c>
      <c r="C84" s="33" t="s">
        <v>60</v>
      </c>
      <c r="D84" s="36" t="s">
        <v>61</v>
      </c>
      <c r="E84" s="37" t="s">
        <v>314</v>
      </c>
      <c r="F84" s="37" t="s">
        <v>313</v>
      </c>
      <c r="G84" s="33" t="s">
        <v>168</v>
      </c>
      <c r="H84" s="38" t="s">
        <v>40</v>
      </c>
      <c r="I84" s="37" t="s">
        <v>315</v>
      </c>
      <c r="J84" s="33">
        <v>5</v>
      </c>
      <c r="K84" s="39">
        <v>2.375E-2</v>
      </c>
      <c r="L84" s="33">
        <v>2</v>
      </c>
      <c r="M84" s="40">
        <v>44999</v>
      </c>
      <c r="N84" s="41">
        <f t="shared" si="13"/>
        <v>6.4575342465753423</v>
      </c>
      <c r="O84" s="45">
        <v>47356</v>
      </c>
      <c r="P84" s="42">
        <v>85.991</v>
      </c>
      <c r="Q84" s="53">
        <v>4.9134999999999998E-2</v>
      </c>
      <c r="R84" s="44">
        <v>9000000</v>
      </c>
      <c r="S84" s="43">
        <f>R84*P84/100</f>
        <v>7739190</v>
      </c>
      <c r="T84" s="44">
        <v>10687.5</v>
      </c>
      <c r="U84" s="43">
        <f t="shared" si="21"/>
        <v>7749877.5</v>
      </c>
      <c r="V84" s="45">
        <f>M84+2</f>
        <v>45001</v>
      </c>
      <c r="W84" s="46">
        <f t="shared" si="11"/>
        <v>13</v>
      </c>
      <c r="X84" s="46">
        <f t="shared" si="16"/>
        <v>1389375</v>
      </c>
      <c r="Y84" s="46">
        <f t="shared" si="17"/>
        <v>10389375</v>
      </c>
      <c r="Z84" s="47" t="str">
        <f t="shared" si="18"/>
        <v>4~5%</v>
      </c>
      <c r="AA84" s="47" t="str">
        <f t="shared" si="19"/>
        <v>5~7</v>
      </c>
      <c r="AB84" s="46">
        <f t="shared" si="20"/>
        <v>50045099.3630137</v>
      </c>
    </row>
    <row r="85" spans="1:28" s="33" customFormat="1" ht="26.25">
      <c r="A85" s="33" t="s">
        <v>316</v>
      </c>
      <c r="B85" s="33" t="s">
        <v>54</v>
      </c>
      <c r="C85" s="48" t="s">
        <v>43</v>
      </c>
      <c r="D85" s="33" t="s">
        <v>61</v>
      </c>
      <c r="E85" s="37" t="s">
        <v>317</v>
      </c>
      <c r="F85" s="54" t="s">
        <v>318</v>
      </c>
      <c r="G85" s="33" t="s">
        <v>216</v>
      </c>
      <c r="H85" s="33" t="s">
        <v>47</v>
      </c>
      <c r="I85" s="37" t="s">
        <v>319</v>
      </c>
      <c r="J85" s="33">
        <v>5</v>
      </c>
      <c r="K85" s="39">
        <v>2.375E-2</v>
      </c>
      <c r="L85" s="33">
        <v>2</v>
      </c>
      <c r="M85" s="40">
        <v>45013</v>
      </c>
      <c r="N85" s="41">
        <f t="shared" si="13"/>
        <v>6.4246575342465757</v>
      </c>
      <c r="O85" s="45">
        <v>47358</v>
      </c>
      <c r="P85" s="42">
        <v>90.47</v>
      </c>
      <c r="Q85" s="53">
        <v>4.0647999999999997E-2</v>
      </c>
      <c r="R85" s="44">
        <v>2000000</v>
      </c>
      <c r="S85" s="43">
        <f>R85*P85/100</f>
        <v>1809400</v>
      </c>
      <c r="T85" s="44">
        <v>3958.33</v>
      </c>
      <c r="U85" s="43">
        <f t="shared" si="21"/>
        <v>1813358.33</v>
      </c>
      <c r="V85" s="45">
        <f>M85+2</f>
        <v>45015</v>
      </c>
      <c r="W85" s="46">
        <f t="shared" si="11"/>
        <v>13</v>
      </c>
      <c r="X85" s="46">
        <f t="shared" si="16"/>
        <v>308750</v>
      </c>
      <c r="Y85" s="46">
        <f t="shared" si="17"/>
        <v>2308750</v>
      </c>
      <c r="Z85" s="47" t="str">
        <f t="shared" si="18"/>
        <v>4~5%</v>
      </c>
      <c r="AA85" s="47" t="str">
        <f t="shared" si="19"/>
        <v>5~7</v>
      </c>
      <c r="AB85" s="46">
        <f t="shared" si="20"/>
        <v>11650206.25712329</v>
      </c>
    </row>
    <row r="86" spans="1:28" s="33" customFormat="1">
      <c r="A86" s="56" t="s">
        <v>320</v>
      </c>
      <c r="B86" s="56" t="s">
        <v>321</v>
      </c>
      <c r="C86" s="57" t="s">
        <v>35</v>
      </c>
      <c r="D86" s="36" t="s">
        <v>61</v>
      </c>
      <c r="E86" s="58" t="s">
        <v>322</v>
      </c>
      <c r="F86" s="54" t="s">
        <v>323</v>
      </c>
      <c r="G86" s="56" t="s">
        <v>39</v>
      </c>
      <c r="H86" s="56" t="s">
        <v>236</v>
      </c>
      <c r="I86" s="55" t="s">
        <v>324</v>
      </c>
      <c r="J86" s="56">
        <v>7</v>
      </c>
      <c r="K86" s="59">
        <v>5.1499999999999997E-2</v>
      </c>
      <c r="L86" s="33">
        <v>2</v>
      </c>
      <c r="M86" s="40">
        <v>45545</v>
      </c>
      <c r="N86" s="41">
        <f t="shared" si="13"/>
        <v>5.1232876712328768</v>
      </c>
      <c r="O86" s="45">
        <v>47415</v>
      </c>
      <c r="P86" s="42">
        <v>103.2</v>
      </c>
      <c r="Q86" s="53">
        <v>4.4445999999999999E-2</v>
      </c>
      <c r="R86" s="68">
        <v>2800000</v>
      </c>
      <c r="S86" s="68">
        <v>2889600</v>
      </c>
      <c r="T86" s="68">
        <v>18826.11</v>
      </c>
      <c r="U86" s="68">
        <v>2908426.11</v>
      </c>
      <c r="V86" s="45">
        <f>M86+1</f>
        <v>45546</v>
      </c>
      <c r="W86" s="46">
        <f t="shared" si="11"/>
        <v>11</v>
      </c>
      <c r="X86" s="46">
        <f t="shared" si="16"/>
        <v>793100</v>
      </c>
      <c r="Y86" s="46">
        <f t="shared" si="17"/>
        <v>3593100</v>
      </c>
      <c r="Z86" s="47" t="str">
        <f t="shared" si="18"/>
        <v>4~5%</v>
      </c>
      <c r="AA86" s="47" t="str">
        <f t="shared" si="19"/>
        <v>5~7</v>
      </c>
      <c r="AB86" s="46">
        <f t="shared" si="20"/>
        <v>14900703.632054795</v>
      </c>
    </row>
    <row r="87" spans="1:28" s="33" customFormat="1">
      <c r="A87" s="56" t="s">
        <v>320</v>
      </c>
      <c r="B87" s="56" t="s">
        <v>321</v>
      </c>
      <c r="C87" s="57" t="s">
        <v>35</v>
      </c>
      <c r="D87" s="36" t="s">
        <v>61</v>
      </c>
      <c r="E87" s="58" t="s">
        <v>322</v>
      </c>
      <c r="F87" s="54" t="s">
        <v>323</v>
      </c>
      <c r="G87" s="56" t="s">
        <v>39</v>
      </c>
      <c r="H87" s="56" t="s">
        <v>236</v>
      </c>
      <c r="I87" s="55" t="s">
        <v>324</v>
      </c>
      <c r="J87" s="56">
        <v>7</v>
      </c>
      <c r="K87" s="59">
        <v>5.1499999999999997E-2</v>
      </c>
      <c r="L87" s="33">
        <v>2</v>
      </c>
      <c r="M87" s="40">
        <v>45544</v>
      </c>
      <c r="N87" s="41">
        <f t="shared" si="13"/>
        <v>5.1260273972602741</v>
      </c>
      <c r="O87" s="45">
        <v>47415</v>
      </c>
      <c r="P87" s="42">
        <v>103</v>
      </c>
      <c r="Q87" s="53">
        <v>4.4882999999999999E-2</v>
      </c>
      <c r="R87" s="68">
        <v>500000</v>
      </c>
      <c r="S87" s="68">
        <f>R87*P87/100</f>
        <v>515000</v>
      </c>
      <c r="T87" s="68">
        <v>3290.28</v>
      </c>
      <c r="U87" s="68">
        <f>S87+T87</f>
        <v>518290.28</v>
      </c>
      <c r="V87" s="45">
        <f>M87+1</f>
        <v>45545</v>
      </c>
      <c r="W87" s="46">
        <f t="shared" si="11"/>
        <v>11</v>
      </c>
      <c r="X87" s="46">
        <f t="shared" si="16"/>
        <v>141625</v>
      </c>
      <c r="Y87" s="46">
        <f t="shared" si="17"/>
        <v>641625</v>
      </c>
      <c r="Z87" s="47" t="str">
        <f t="shared" si="18"/>
        <v>4~5%</v>
      </c>
      <c r="AA87" s="47" t="str">
        <f t="shared" si="19"/>
        <v>5~7</v>
      </c>
      <c r="AB87" s="46">
        <f t="shared" si="20"/>
        <v>2656770.1750136986</v>
      </c>
    </row>
    <row r="88" spans="1:28" s="33" customFormat="1">
      <c r="A88" s="56" t="s">
        <v>320</v>
      </c>
      <c r="B88" s="56" t="s">
        <v>321</v>
      </c>
      <c r="C88" s="57" t="s">
        <v>35</v>
      </c>
      <c r="D88" s="36" t="s">
        <v>61</v>
      </c>
      <c r="E88" s="58" t="s">
        <v>322</v>
      </c>
      <c r="F88" s="54" t="s">
        <v>323</v>
      </c>
      <c r="G88" s="56" t="s">
        <v>39</v>
      </c>
      <c r="H88" s="56" t="s">
        <v>236</v>
      </c>
      <c r="I88" s="55" t="s">
        <v>324</v>
      </c>
      <c r="J88" s="56">
        <v>7</v>
      </c>
      <c r="K88" s="59">
        <v>5.1499999999999997E-2</v>
      </c>
      <c r="L88" s="33">
        <v>2</v>
      </c>
      <c r="M88" s="40">
        <v>45541</v>
      </c>
      <c r="N88" s="41">
        <f t="shared" si="13"/>
        <v>5.1342465753424653</v>
      </c>
      <c r="O88" s="45">
        <v>47415</v>
      </c>
      <c r="P88" s="42">
        <v>103.090857</v>
      </c>
      <c r="Q88" s="53">
        <v>4.4685999999999997E-2</v>
      </c>
      <c r="R88" s="68">
        <v>3500000</v>
      </c>
      <c r="S88" s="68">
        <f>R88*P88/100</f>
        <v>3608179.9950000001</v>
      </c>
      <c r="T88" s="68">
        <v>23031.94</v>
      </c>
      <c r="U88" s="68">
        <f>S88+T88</f>
        <v>3631211.9350000001</v>
      </c>
      <c r="V88" s="45">
        <f>M88+1</f>
        <v>45542</v>
      </c>
      <c r="W88" s="46">
        <f t="shared" si="11"/>
        <v>11</v>
      </c>
      <c r="X88" s="46">
        <f t="shared" si="16"/>
        <v>991375</v>
      </c>
      <c r="Y88" s="46">
        <f t="shared" si="17"/>
        <v>4491375</v>
      </c>
      <c r="Z88" s="47" t="str">
        <f t="shared" si="18"/>
        <v>4~5%</v>
      </c>
      <c r="AA88" s="47" t="str">
        <f t="shared" si="19"/>
        <v>5~7</v>
      </c>
      <c r="AB88" s="46">
        <f t="shared" si="20"/>
        <v>18643537.441616438</v>
      </c>
    </row>
    <row r="89" spans="1:28" s="33" customFormat="1">
      <c r="A89" s="56" t="s">
        <v>320</v>
      </c>
      <c r="B89" s="56" t="s">
        <v>325</v>
      </c>
      <c r="C89" s="57" t="s">
        <v>35</v>
      </c>
      <c r="D89" s="36" t="s">
        <v>61</v>
      </c>
      <c r="E89" s="58" t="s">
        <v>322</v>
      </c>
      <c r="F89" s="54" t="s">
        <v>323</v>
      </c>
      <c r="G89" s="56" t="s">
        <v>39</v>
      </c>
      <c r="H89" s="56" t="s">
        <v>236</v>
      </c>
      <c r="I89" s="55" t="s">
        <v>326</v>
      </c>
      <c r="J89" s="56">
        <v>7</v>
      </c>
      <c r="K89" s="59">
        <v>5.1499999999999997E-2</v>
      </c>
      <c r="L89" s="33">
        <v>2</v>
      </c>
      <c r="M89" s="40">
        <v>45539</v>
      </c>
      <c r="N89" s="41">
        <f t="shared" si="13"/>
        <v>5.13972602739726</v>
      </c>
      <c r="O89" s="45">
        <v>47415</v>
      </c>
      <c r="P89" s="42">
        <v>102.8</v>
      </c>
      <c r="Q89" s="53">
        <v>4.5332999999999998E-2</v>
      </c>
      <c r="R89" s="68">
        <v>3000000</v>
      </c>
      <c r="S89" s="68">
        <f>R89*P89/100</f>
        <v>3084000</v>
      </c>
      <c r="T89" s="68">
        <v>17595.830000000002</v>
      </c>
      <c r="U89" s="68">
        <f>S89+T89</f>
        <v>3101595.83</v>
      </c>
      <c r="V89" s="45">
        <f>M89+1</f>
        <v>45540</v>
      </c>
      <c r="W89" s="46">
        <f t="shared" si="11"/>
        <v>11</v>
      </c>
      <c r="X89" s="46">
        <f t="shared" si="16"/>
        <v>849750</v>
      </c>
      <c r="Y89" s="46">
        <f t="shared" si="17"/>
        <v>3849750</v>
      </c>
      <c r="Z89" s="47" t="str">
        <f t="shared" si="18"/>
        <v>4~5%</v>
      </c>
      <c r="AA89" s="47" t="str">
        <f t="shared" si="19"/>
        <v>5~7</v>
      </c>
      <c r="AB89" s="46">
        <f t="shared" si="20"/>
        <v>15941352.813917808</v>
      </c>
    </row>
    <row r="90" spans="1:28" s="33" customFormat="1">
      <c r="A90" s="33" t="s">
        <v>327</v>
      </c>
      <c r="B90" s="33" t="s">
        <v>54</v>
      </c>
      <c r="C90" s="33" t="s">
        <v>60</v>
      </c>
      <c r="D90" s="36" t="s">
        <v>61</v>
      </c>
      <c r="E90" s="37" t="s">
        <v>214</v>
      </c>
      <c r="F90" s="37" t="s">
        <v>328</v>
      </c>
      <c r="G90" s="33" t="s">
        <v>216</v>
      </c>
      <c r="H90" s="38" t="s">
        <v>40</v>
      </c>
      <c r="I90" s="37" t="s">
        <v>329</v>
      </c>
      <c r="J90" s="33">
        <v>9</v>
      </c>
      <c r="K90" s="39">
        <v>3.2500000000000001E-2</v>
      </c>
      <c r="L90" s="33">
        <v>2</v>
      </c>
      <c r="M90" s="40">
        <v>44973</v>
      </c>
      <c r="N90" s="41">
        <f t="shared" si="13"/>
        <v>6.7315068493150685</v>
      </c>
      <c r="O90" s="45">
        <v>47430</v>
      </c>
      <c r="P90" s="42">
        <v>89.570000000000007</v>
      </c>
      <c r="Q90" s="53">
        <v>5.0834999999999998E-2</v>
      </c>
      <c r="R90" s="44">
        <v>6000000</v>
      </c>
      <c r="S90" s="43">
        <f>R90*P90/100</f>
        <v>5374200</v>
      </c>
      <c r="T90" s="44">
        <v>53083.33</v>
      </c>
      <c r="U90" s="43">
        <f>S90+T90</f>
        <v>5427283.3300000001</v>
      </c>
      <c r="V90" s="45">
        <f>M90+2</f>
        <v>44975</v>
      </c>
      <c r="W90" s="46">
        <f t="shared" si="11"/>
        <v>14</v>
      </c>
      <c r="X90" s="46">
        <f t="shared" si="16"/>
        <v>1365000</v>
      </c>
      <c r="Y90" s="46">
        <f t="shared" si="17"/>
        <v>7365000</v>
      </c>
      <c r="Z90" s="47" t="str">
        <f t="shared" si="18"/>
        <v>5~6%</v>
      </c>
      <c r="AA90" s="47" t="str">
        <f t="shared" si="19"/>
        <v>5~7</v>
      </c>
      <c r="AB90" s="46">
        <f t="shared" si="20"/>
        <v>36533794.909068495</v>
      </c>
    </row>
    <row r="91" spans="1:28" s="33" customFormat="1">
      <c r="A91" s="33" t="s">
        <v>330</v>
      </c>
      <c r="B91" s="33" t="s">
        <v>77</v>
      </c>
      <c r="C91" s="48" t="s">
        <v>67</v>
      </c>
      <c r="D91" s="33" t="s">
        <v>309</v>
      </c>
      <c r="E91" s="37" t="s">
        <v>331</v>
      </c>
      <c r="F91" s="49" t="s">
        <v>148</v>
      </c>
      <c r="G91" s="33" t="s">
        <v>39</v>
      </c>
      <c r="H91" s="33" t="s">
        <v>47</v>
      </c>
      <c r="I91" s="37" t="s">
        <v>149</v>
      </c>
      <c r="J91" s="33">
        <v>6</v>
      </c>
      <c r="K91" s="39">
        <v>5.0999999999999997E-2</v>
      </c>
      <c r="L91" s="33">
        <v>2</v>
      </c>
      <c r="M91" s="40">
        <v>45674</v>
      </c>
      <c r="N91" s="41">
        <f t="shared" si="13"/>
        <v>4.8301369863013699</v>
      </c>
      <c r="O91" s="45">
        <v>47437</v>
      </c>
      <c r="P91" s="42">
        <v>100.2</v>
      </c>
      <c r="Q91" s="53">
        <v>5.0299999999999997E-2</v>
      </c>
      <c r="R91" s="44">
        <v>7900000</v>
      </c>
      <c r="S91" s="43">
        <v>7915800</v>
      </c>
      <c r="T91" s="44">
        <v>74984.17</v>
      </c>
      <c r="U91" s="43">
        <v>7990784.1699999999</v>
      </c>
      <c r="V91" s="45">
        <v>45679</v>
      </c>
      <c r="W91" s="46">
        <f t="shared" si="11"/>
        <v>10</v>
      </c>
      <c r="X91" s="46">
        <f t="shared" si="16"/>
        <v>2014500</v>
      </c>
      <c r="Y91" s="46">
        <f t="shared" si="17"/>
        <v>9914500</v>
      </c>
      <c r="Z91" s="47" t="str">
        <f t="shared" si="18"/>
        <v>5~6%</v>
      </c>
      <c r="AA91" s="47" t="str">
        <f t="shared" si="19"/>
        <v>3~5</v>
      </c>
      <c r="AB91" s="46">
        <f t="shared" si="20"/>
        <v>38596582.169068493</v>
      </c>
    </row>
    <row r="92" spans="1:28" s="33" customFormat="1">
      <c r="A92" s="56" t="s">
        <v>332</v>
      </c>
      <c r="B92" s="56" t="s">
        <v>233</v>
      </c>
      <c r="C92" s="57" t="s">
        <v>210</v>
      </c>
      <c r="D92" s="36" t="s">
        <v>61</v>
      </c>
      <c r="E92" s="58" t="s">
        <v>333</v>
      </c>
      <c r="F92" s="54" t="s">
        <v>334</v>
      </c>
      <c r="G92" s="56" t="s">
        <v>335</v>
      </c>
      <c r="H92" s="56" t="s">
        <v>236</v>
      </c>
      <c r="I92" s="55" t="s">
        <v>336</v>
      </c>
      <c r="J92" s="33">
        <v>5</v>
      </c>
      <c r="K92" s="59">
        <v>4.7500000000000001E-2</v>
      </c>
      <c r="L92" s="33">
        <v>2</v>
      </c>
      <c r="M92" s="45">
        <v>45509</v>
      </c>
      <c r="N92" s="41">
        <f t="shared" si="13"/>
        <v>5.4520547945205475</v>
      </c>
      <c r="O92" s="45">
        <v>47499</v>
      </c>
      <c r="P92" s="42">
        <v>101.4</v>
      </c>
      <c r="Q92" s="53">
        <v>4.4569999999999999E-2</v>
      </c>
      <c r="R92" s="44">
        <v>5000000</v>
      </c>
      <c r="S92" s="43">
        <f t="shared" ref="S92:S117" si="23">R92*P92/100</f>
        <v>5070000</v>
      </c>
      <c r="T92" s="44">
        <v>13194.44</v>
      </c>
      <c r="U92" s="43">
        <f t="shared" ref="U92:U110" si="24">S92+T92</f>
        <v>5083194.4400000004</v>
      </c>
      <c r="V92" s="45">
        <v>45510</v>
      </c>
      <c r="W92" s="46">
        <f t="shared" si="11"/>
        <v>11</v>
      </c>
      <c r="X92" s="46">
        <f t="shared" si="16"/>
        <v>1306250</v>
      </c>
      <c r="Y92" s="46">
        <f t="shared" si="17"/>
        <v>6306250</v>
      </c>
      <c r="Z92" s="47" t="str">
        <f t="shared" si="18"/>
        <v>4~5%</v>
      </c>
      <c r="AA92" s="47" t="str">
        <f t="shared" si="19"/>
        <v>5~7</v>
      </c>
      <c r="AB92" s="46">
        <f t="shared" si="20"/>
        <v>27713854.618082192</v>
      </c>
    </row>
    <row r="93" spans="1:28" s="33" customFormat="1">
      <c r="A93" s="33" t="s">
        <v>337</v>
      </c>
      <c r="B93" s="33" t="s">
        <v>54</v>
      </c>
      <c r="C93" s="48" t="s">
        <v>43</v>
      </c>
      <c r="D93" s="33" t="s">
        <v>338</v>
      </c>
      <c r="E93" s="37" t="s">
        <v>339</v>
      </c>
      <c r="F93" s="49" t="s">
        <v>340</v>
      </c>
      <c r="G93" s="33" t="s">
        <v>57</v>
      </c>
      <c r="H93" s="33" t="s">
        <v>227</v>
      </c>
      <c r="I93" s="37" t="s">
        <v>341</v>
      </c>
      <c r="J93" s="33">
        <v>7</v>
      </c>
      <c r="K93" s="39">
        <v>4.8000000000000001E-2</v>
      </c>
      <c r="L93" s="33">
        <v>2</v>
      </c>
      <c r="M93" s="40">
        <v>45824</v>
      </c>
      <c r="N93" s="41">
        <f t="shared" si="13"/>
        <v>4.6575342465753424</v>
      </c>
      <c r="O93" s="45">
        <v>47524</v>
      </c>
      <c r="P93" s="42">
        <v>101.1</v>
      </c>
      <c r="Q93" s="53">
        <v>4.5330000000000002E-2</v>
      </c>
      <c r="R93" s="44">
        <v>2995000</v>
      </c>
      <c r="S93" s="43">
        <f t="shared" si="23"/>
        <v>3027945</v>
      </c>
      <c r="T93" s="44">
        <v>50316</v>
      </c>
      <c r="U93" s="43">
        <f t="shared" si="24"/>
        <v>3078261</v>
      </c>
      <c r="V93" s="45">
        <v>45825</v>
      </c>
      <c r="W93" s="46">
        <f t="shared" si="11"/>
        <v>10</v>
      </c>
      <c r="X93" s="46">
        <f t="shared" si="16"/>
        <v>718800</v>
      </c>
      <c r="Y93" s="46">
        <f t="shared" si="17"/>
        <v>3713800</v>
      </c>
      <c r="Z93" s="47" t="str">
        <f t="shared" si="18"/>
        <v>4~5%</v>
      </c>
      <c r="AA93" s="47" t="str">
        <f t="shared" si="19"/>
        <v>3~5</v>
      </c>
      <c r="AB93" s="46">
        <f t="shared" si="20"/>
        <v>14337106.02739726</v>
      </c>
    </row>
    <row r="94" spans="1:28" s="33" customFormat="1">
      <c r="A94" s="33" t="s">
        <v>342</v>
      </c>
      <c r="B94" s="33" t="s">
        <v>77</v>
      </c>
      <c r="C94" s="48" t="s">
        <v>43</v>
      </c>
      <c r="D94" s="33" t="s">
        <v>61</v>
      </c>
      <c r="E94" s="37" t="s">
        <v>136</v>
      </c>
      <c r="F94" s="49" t="s">
        <v>137</v>
      </c>
      <c r="G94" s="33" t="s">
        <v>57</v>
      </c>
      <c r="H94" s="33" t="s">
        <v>47</v>
      </c>
      <c r="I94" s="37" t="s">
        <v>149</v>
      </c>
      <c r="J94" s="33">
        <v>6</v>
      </c>
      <c r="K94" s="39">
        <v>5.1249999999999997E-2</v>
      </c>
      <c r="L94" s="33">
        <v>2</v>
      </c>
      <c r="M94" s="40">
        <v>45051</v>
      </c>
      <c r="N94" s="41">
        <f t="shared" si="13"/>
        <v>6.7753424657534245</v>
      </c>
      <c r="O94" s="45">
        <v>47524</v>
      </c>
      <c r="P94" s="42">
        <v>103.60000000000001</v>
      </c>
      <c r="Q94" s="53">
        <v>4.4999999999999998E-2</v>
      </c>
      <c r="R94" s="44">
        <v>9000000</v>
      </c>
      <c r="S94" s="43">
        <f t="shared" si="23"/>
        <v>9324000.0000000019</v>
      </c>
      <c r="T94" s="44">
        <v>10222.219999999999</v>
      </c>
      <c r="U94" s="43">
        <f t="shared" si="24"/>
        <v>9334222.2200000025</v>
      </c>
      <c r="V94" s="45">
        <f>M94+2</f>
        <v>45053</v>
      </c>
      <c r="W94" s="46">
        <f t="shared" si="11"/>
        <v>14</v>
      </c>
      <c r="X94" s="46">
        <f t="shared" si="16"/>
        <v>3228750</v>
      </c>
      <c r="Y94" s="46">
        <f t="shared" si="17"/>
        <v>12228750</v>
      </c>
      <c r="Z94" s="47" t="str">
        <f t="shared" si="18"/>
        <v>4~5%</v>
      </c>
      <c r="AA94" s="47" t="str">
        <f t="shared" si="19"/>
        <v>5~7</v>
      </c>
      <c r="AB94" s="46">
        <f t="shared" si="20"/>
        <v>63242552.191945218</v>
      </c>
    </row>
    <row r="95" spans="1:28" s="33" customFormat="1">
      <c r="A95" s="33" t="s">
        <v>343</v>
      </c>
      <c r="B95" s="33" t="s">
        <v>223</v>
      </c>
      <c r="C95" s="48" t="s">
        <v>43</v>
      </c>
      <c r="D95" s="36" t="s">
        <v>61</v>
      </c>
      <c r="E95" s="37" t="s">
        <v>344</v>
      </c>
      <c r="F95" s="37" t="s">
        <v>345</v>
      </c>
      <c r="G95" s="33" t="s">
        <v>346</v>
      </c>
      <c r="H95" s="33" t="s">
        <v>347</v>
      </c>
      <c r="I95" s="37" t="s">
        <v>348</v>
      </c>
      <c r="J95" s="33">
        <v>7</v>
      </c>
      <c r="K95" s="39">
        <v>5.1249999999999997E-2</v>
      </c>
      <c r="L95" s="69">
        <v>2</v>
      </c>
      <c r="M95" s="40">
        <v>45667</v>
      </c>
      <c r="N95" s="41">
        <f t="shared" si="13"/>
        <v>5.1013698630136988</v>
      </c>
      <c r="O95" s="45">
        <v>47529</v>
      </c>
      <c r="P95" s="42">
        <v>101</v>
      </c>
      <c r="Q95" s="53">
        <v>4.8995999999999998E-2</v>
      </c>
      <c r="R95" s="44">
        <v>2000000</v>
      </c>
      <c r="S95" s="43">
        <f t="shared" si="23"/>
        <v>2020000</v>
      </c>
      <c r="T95" s="70">
        <v>42138.89</v>
      </c>
      <c r="U95" s="46">
        <f t="shared" si="24"/>
        <v>2062138.89</v>
      </c>
      <c r="V95" s="45">
        <v>45670</v>
      </c>
      <c r="W95" s="46">
        <f t="shared" si="11"/>
        <v>11</v>
      </c>
      <c r="X95" s="46">
        <f t="shared" si="16"/>
        <v>563750</v>
      </c>
      <c r="Y95" s="46">
        <f t="shared" si="17"/>
        <v>2563750</v>
      </c>
      <c r="Z95" s="46" t="str">
        <f t="shared" si="18"/>
        <v>4~5%</v>
      </c>
      <c r="AA95" s="57" t="str">
        <f t="shared" si="19"/>
        <v>5~7</v>
      </c>
      <c r="AB95" s="46">
        <f t="shared" si="20"/>
        <v>10519733.186794519</v>
      </c>
    </row>
    <row r="96" spans="1:28" s="33" customFormat="1">
      <c r="A96" s="33" t="s">
        <v>349</v>
      </c>
      <c r="B96" s="33" t="s">
        <v>77</v>
      </c>
      <c r="C96" s="48" t="s">
        <v>43</v>
      </c>
      <c r="D96" s="33" t="s">
        <v>61</v>
      </c>
      <c r="E96" s="37" t="s">
        <v>350</v>
      </c>
      <c r="F96" s="54" t="s">
        <v>351</v>
      </c>
      <c r="G96" s="33" t="s">
        <v>352</v>
      </c>
      <c r="H96" s="33" t="s">
        <v>47</v>
      </c>
      <c r="I96" s="37" t="s">
        <v>353</v>
      </c>
      <c r="J96" s="33">
        <v>6</v>
      </c>
      <c r="K96" s="39">
        <v>5.2999999999999999E-2</v>
      </c>
      <c r="L96" s="33">
        <v>2</v>
      </c>
      <c r="M96" s="40">
        <v>45177</v>
      </c>
      <c r="N96" s="41">
        <f t="shared" si="13"/>
        <v>6.4438356164383563</v>
      </c>
      <c r="O96" s="45">
        <v>47529</v>
      </c>
      <c r="P96" s="42">
        <v>102.18400000000001</v>
      </c>
      <c r="Q96" s="53">
        <v>4.8989999999999999E-2</v>
      </c>
      <c r="R96" s="44">
        <v>2500000</v>
      </c>
      <c r="S96" s="43">
        <f t="shared" si="23"/>
        <v>2554600.0000000005</v>
      </c>
      <c r="T96" s="44">
        <v>27048.15</v>
      </c>
      <c r="U96" s="43">
        <f t="shared" si="24"/>
        <v>2581648.1500000004</v>
      </c>
      <c r="V96" s="45">
        <f t="shared" ref="V96:V102" si="25">M96+2</f>
        <v>45179</v>
      </c>
      <c r="W96" s="46">
        <f t="shared" si="11"/>
        <v>13</v>
      </c>
      <c r="X96" s="46">
        <f t="shared" si="16"/>
        <v>861250</v>
      </c>
      <c r="Y96" s="46">
        <f t="shared" si="17"/>
        <v>3361250</v>
      </c>
      <c r="Z96" s="47" t="str">
        <f t="shared" si="18"/>
        <v>4~5%</v>
      </c>
      <c r="AA96" s="47" t="str">
        <f t="shared" si="19"/>
        <v>5~7</v>
      </c>
      <c r="AB96" s="46">
        <f t="shared" si="20"/>
        <v>16635716.298082195</v>
      </c>
    </row>
    <row r="97" spans="1:28" s="33" customFormat="1">
      <c r="A97" s="33" t="s">
        <v>349</v>
      </c>
      <c r="B97" s="33" t="s">
        <v>77</v>
      </c>
      <c r="C97" s="33" t="s">
        <v>60</v>
      </c>
      <c r="D97" s="36" t="s">
        <v>61</v>
      </c>
      <c r="E97" s="37" t="s">
        <v>350</v>
      </c>
      <c r="F97" s="54" t="s">
        <v>351</v>
      </c>
      <c r="G97" s="33" t="s">
        <v>352</v>
      </c>
      <c r="H97" s="38" t="s">
        <v>40</v>
      </c>
      <c r="I97" s="37" t="s">
        <v>354</v>
      </c>
      <c r="J97" s="33">
        <v>6</v>
      </c>
      <c r="K97" s="39">
        <v>5.2999999999999999E-2</v>
      </c>
      <c r="L97" s="33">
        <v>2</v>
      </c>
      <c r="M97" s="40">
        <v>45141</v>
      </c>
      <c r="N97" s="41">
        <f t="shared" si="13"/>
        <v>6.5424657534246577</v>
      </c>
      <c r="O97" s="45">
        <v>47529</v>
      </c>
      <c r="P97" s="42">
        <v>103.532</v>
      </c>
      <c r="Q97" s="53">
        <v>4.6600000000000003E-2</v>
      </c>
      <c r="R97" s="44">
        <v>2000000</v>
      </c>
      <c r="S97" s="43">
        <f t="shared" si="23"/>
        <v>2070640</v>
      </c>
      <c r="T97" s="44">
        <v>4166.67</v>
      </c>
      <c r="U97" s="43">
        <f t="shared" si="24"/>
        <v>2074806.67</v>
      </c>
      <c r="V97" s="45">
        <f t="shared" si="25"/>
        <v>45143</v>
      </c>
      <c r="W97" s="46">
        <f t="shared" si="11"/>
        <v>14</v>
      </c>
      <c r="X97" s="46">
        <f t="shared" si="16"/>
        <v>742000</v>
      </c>
      <c r="Y97" s="46">
        <f t="shared" si="17"/>
        <v>2742000</v>
      </c>
      <c r="Z97" s="47" t="str">
        <f t="shared" si="18"/>
        <v>4~5%</v>
      </c>
      <c r="AA97" s="47" t="str">
        <f t="shared" si="19"/>
        <v>5~7</v>
      </c>
      <c r="AB97" s="46">
        <f t="shared" si="20"/>
        <v>13574351.583452055</v>
      </c>
    </row>
    <row r="98" spans="1:28" s="33" customFormat="1">
      <c r="A98" s="33" t="s">
        <v>355</v>
      </c>
      <c r="B98" s="33" t="s">
        <v>34</v>
      </c>
      <c r="C98" s="48" t="s">
        <v>43</v>
      </c>
      <c r="D98" s="33" t="s">
        <v>61</v>
      </c>
      <c r="E98" s="37" t="s">
        <v>194</v>
      </c>
      <c r="F98" s="49" t="s">
        <v>195</v>
      </c>
      <c r="G98" s="33" t="s">
        <v>109</v>
      </c>
      <c r="H98" s="33" t="s">
        <v>47</v>
      </c>
      <c r="I98" s="37" t="s">
        <v>48</v>
      </c>
      <c r="J98" s="33">
        <v>4</v>
      </c>
      <c r="K98" s="39">
        <v>4.9500000000000002E-2</v>
      </c>
      <c r="L98" s="33">
        <v>2</v>
      </c>
      <c r="M98" s="40">
        <v>45014</v>
      </c>
      <c r="N98" s="41">
        <f t="shared" si="13"/>
        <v>6.9643835616438352</v>
      </c>
      <c r="O98" s="45">
        <v>47556</v>
      </c>
      <c r="P98" s="42">
        <v>105.2</v>
      </c>
      <c r="Q98" s="53">
        <v>4.0800000000000003E-2</v>
      </c>
      <c r="R98" s="44">
        <v>2000000</v>
      </c>
      <c r="S98" s="43">
        <f t="shared" si="23"/>
        <v>2104000</v>
      </c>
      <c r="T98" s="44">
        <v>0</v>
      </c>
      <c r="U98" s="43">
        <f t="shared" si="24"/>
        <v>2104000</v>
      </c>
      <c r="V98" s="45">
        <f t="shared" si="25"/>
        <v>45016</v>
      </c>
      <c r="W98" s="46">
        <f t="shared" si="11"/>
        <v>14</v>
      </c>
      <c r="X98" s="46">
        <f t="shared" si="16"/>
        <v>693000</v>
      </c>
      <c r="Y98" s="46">
        <f t="shared" si="17"/>
        <v>2693000</v>
      </c>
      <c r="Z98" s="47" t="str">
        <f t="shared" si="18"/>
        <v>4~5%</v>
      </c>
      <c r="AA98" s="47" t="str">
        <f t="shared" si="19"/>
        <v>5~7</v>
      </c>
      <c r="AB98" s="46">
        <f t="shared" si="20"/>
        <v>14653063.01369863</v>
      </c>
    </row>
    <row r="99" spans="1:28" s="33" customFormat="1">
      <c r="A99" s="33" t="s">
        <v>355</v>
      </c>
      <c r="B99" s="33" t="s">
        <v>54</v>
      </c>
      <c r="C99" s="48" t="s">
        <v>43</v>
      </c>
      <c r="D99" s="33" t="s">
        <v>61</v>
      </c>
      <c r="E99" s="37" t="s">
        <v>194</v>
      </c>
      <c r="F99" s="49" t="s">
        <v>195</v>
      </c>
      <c r="G99" s="33" t="s">
        <v>109</v>
      </c>
      <c r="H99" s="33" t="s">
        <v>47</v>
      </c>
      <c r="I99" s="37" t="s">
        <v>48</v>
      </c>
      <c r="J99" s="33">
        <v>4</v>
      </c>
      <c r="K99" s="39">
        <v>4.9500000000000002E-2</v>
      </c>
      <c r="L99" s="33">
        <v>2</v>
      </c>
      <c r="M99" s="40">
        <v>45014</v>
      </c>
      <c r="N99" s="41">
        <f t="shared" si="13"/>
        <v>6.9643835616438352</v>
      </c>
      <c r="O99" s="45">
        <v>47556</v>
      </c>
      <c r="P99" s="42">
        <v>105.2</v>
      </c>
      <c r="Q99" s="53">
        <v>4.0902000000000001E-2</v>
      </c>
      <c r="R99" s="44">
        <v>7450000</v>
      </c>
      <c r="S99" s="43">
        <f t="shared" si="23"/>
        <v>7837400</v>
      </c>
      <c r="T99" s="44">
        <v>15365.62</v>
      </c>
      <c r="U99" s="43">
        <f t="shared" si="24"/>
        <v>7852765.6200000001</v>
      </c>
      <c r="V99" s="45">
        <f t="shared" si="25"/>
        <v>45016</v>
      </c>
      <c r="W99" s="46">
        <f t="shared" si="11"/>
        <v>14</v>
      </c>
      <c r="X99" s="46">
        <f t="shared" si="16"/>
        <v>2581425</v>
      </c>
      <c r="Y99" s="46">
        <f t="shared" si="17"/>
        <v>10031425</v>
      </c>
      <c r="Z99" s="47" t="str">
        <f t="shared" si="18"/>
        <v>4~5%</v>
      </c>
      <c r="AA99" s="47" t="str">
        <f t="shared" si="19"/>
        <v>5~7</v>
      </c>
      <c r="AB99" s="46">
        <f t="shared" si="20"/>
        <v>54689671.79736986</v>
      </c>
    </row>
    <row r="100" spans="1:28" s="33" customFormat="1">
      <c r="A100" s="33" t="s">
        <v>356</v>
      </c>
      <c r="B100" s="33" t="s">
        <v>77</v>
      </c>
      <c r="C100" s="33" t="s">
        <v>60</v>
      </c>
      <c r="D100" s="36" t="s">
        <v>61</v>
      </c>
      <c r="E100" s="37" t="s">
        <v>357</v>
      </c>
      <c r="F100" s="37" t="s">
        <v>358</v>
      </c>
      <c r="G100" s="33" t="s">
        <v>359</v>
      </c>
      <c r="H100" s="38" t="s">
        <v>40</v>
      </c>
      <c r="I100" s="37" t="s">
        <v>197</v>
      </c>
      <c r="J100" s="33">
        <v>4</v>
      </c>
      <c r="K100" s="39">
        <v>0.03</v>
      </c>
      <c r="L100" s="33">
        <v>2</v>
      </c>
      <c r="M100" s="40">
        <v>45014</v>
      </c>
      <c r="N100" s="41">
        <f t="shared" si="13"/>
        <v>6.9945205479452053</v>
      </c>
      <c r="O100" s="45">
        <v>47567</v>
      </c>
      <c r="P100" s="42">
        <v>95.12</v>
      </c>
      <c r="Q100" s="53">
        <v>3.7999999999999999E-2</v>
      </c>
      <c r="R100" s="44">
        <v>5000000</v>
      </c>
      <c r="S100" s="43">
        <f t="shared" si="23"/>
        <v>4756000</v>
      </c>
      <c r="T100" s="44">
        <v>7361.11</v>
      </c>
      <c r="U100" s="43">
        <f t="shared" si="24"/>
        <v>4763361.1100000003</v>
      </c>
      <c r="V100" s="45">
        <f t="shared" si="25"/>
        <v>45016</v>
      </c>
      <c r="W100" s="46">
        <f t="shared" si="11"/>
        <v>14</v>
      </c>
      <c r="X100" s="46">
        <f t="shared" si="16"/>
        <v>1050000</v>
      </c>
      <c r="Y100" s="46">
        <f t="shared" si="17"/>
        <v>6050000</v>
      </c>
      <c r="Z100" s="47" t="str">
        <f t="shared" si="18"/>
        <v>3~4%</v>
      </c>
      <c r="AA100" s="47" t="str">
        <f t="shared" si="19"/>
        <v>5~7</v>
      </c>
      <c r="AB100" s="46">
        <f t="shared" si="20"/>
        <v>33317427.161178082</v>
      </c>
    </row>
    <row r="101" spans="1:28" s="33" customFormat="1">
      <c r="A101" s="33" t="s">
        <v>356</v>
      </c>
      <c r="B101" s="33" t="s">
        <v>54</v>
      </c>
      <c r="C101" s="33" t="s">
        <v>60</v>
      </c>
      <c r="D101" s="36" t="s">
        <v>61</v>
      </c>
      <c r="E101" s="37" t="s">
        <v>357</v>
      </c>
      <c r="F101" s="37" t="s">
        <v>358</v>
      </c>
      <c r="G101" s="33" t="s">
        <v>359</v>
      </c>
      <c r="H101" s="38" t="s">
        <v>40</v>
      </c>
      <c r="I101" s="37" t="s">
        <v>197</v>
      </c>
      <c r="J101" s="33">
        <v>4</v>
      </c>
      <c r="K101" s="39">
        <v>0.03</v>
      </c>
      <c r="L101" s="33">
        <v>2</v>
      </c>
      <c r="M101" s="40">
        <v>45013</v>
      </c>
      <c r="N101" s="41">
        <f t="shared" si="13"/>
        <v>6.9972602739726026</v>
      </c>
      <c r="O101" s="45">
        <v>47567</v>
      </c>
      <c r="P101" s="42">
        <v>95</v>
      </c>
      <c r="Q101" s="53">
        <v>3.8158999999999998E-2</v>
      </c>
      <c r="R101" s="44">
        <v>5000000</v>
      </c>
      <c r="S101" s="43">
        <f t="shared" si="23"/>
        <v>4750000</v>
      </c>
      <c r="T101" s="44">
        <v>1250</v>
      </c>
      <c r="U101" s="43">
        <f t="shared" si="24"/>
        <v>4751250</v>
      </c>
      <c r="V101" s="45">
        <f t="shared" si="25"/>
        <v>45015</v>
      </c>
      <c r="W101" s="46">
        <f t="shared" si="11"/>
        <v>14</v>
      </c>
      <c r="X101" s="46">
        <f t="shared" si="16"/>
        <v>1050000</v>
      </c>
      <c r="Y101" s="46">
        <f t="shared" si="17"/>
        <v>6050000</v>
      </c>
      <c r="Z101" s="47" t="str">
        <f t="shared" si="18"/>
        <v>3~4%</v>
      </c>
      <c r="AA101" s="47" t="str">
        <f t="shared" si="19"/>
        <v>5~7</v>
      </c>
      <c r="AB101" s="46">
        <f t="shared" si="20"/>
        <v>33245732.87671233</v>
      </c>
    </row>
    <row r="102" spans="1:28" s="33" customFormat="1">
      <c r="A102" s="33" t="s">
        <v>360</v>
      </c>
      <c r="B102" s="33" t="s">
        <v>77</v>
      </c>
      <c r="C102" s="48" t="s">
        <v>43</v>
      </c>
      <c r="D102" s="33" t="s">
        <v>61</v>
      </c>
      <c r="E102" s="37" t="s">
        <v>361</v>
      </c>
      <c r="F102" s="49" t="s">
        <v>362</v>
      </c>
      <c r="G102" s="33" t="s">
        <v>359</v>
      </c>
      <c r="H102" s="33" t="s">
        <v>47</v>
      </c>
      <c r="I102" s="37" t="s">
        <v>153</v>
      </c>
      <c r="J102" s="33">
        <v>4</v>
      </c>
      <c r="K102" s="39">
        <v>2.8500000000000001E-2</v>
      </c>
      <c r="L102" s="33">
        <v>2</v>
      </c>
      <c r="M102" s="40">
        <v>45141</v>
      </c>
      <c r="N102" s="41">
        <f t="shared" si="13"/>
        <v>6.6520547945205477</v>
      </c>
      <c r="O102" s="45">
        <v>47569</v>
      </c>
      <c r="P102" s="42">
        <v>90.447999999999993</v>
      </c>
      <c r="Q102" s="53">
        <v>4.5199999999999997E-2</v>
      </c>
      <c r="R102" s="44">
        <v>871000</v>
      </c>
      <c r="S102" s="43">
        <f t="shared" si="23"/>
        <v>787802.08</v>
      </c>
      <c r="T102" s="44">
        <v>108906.25</v>
      </c>
      <c r="U102" s="43">
        <f t="shared" si="24"/>
        <v>896708.33</v>
      </c>
      <c r="V102" s="45">
        <f t="shared" si="25"/>
        <v>45143</v>
      </c>
      <c r="W102" s="46">
        <f t="shared" si="11"/>
        <v>14</v>
      </c>
      <c r="X102" s="46">
        <f t="shared" si="16"/>
        <v>173764.5</v>
      </c>
      <c r="Y102" s="46">
        <f t="shared" si="17"/>
        <v>1044764.5</v>
      </c>
      <c r="Z102" s="47" t="str">
        <f t="shared" si="18"/>
        <v>4~5%</v>
      </c>
      <c r="AA102" s="47" t="str">
        <f t="shared" si="19"/>
        <v>5~7</v>
      </c>
      <c r="AB102" s="46">
        <f t="shared" si="20"/>
        <v>5964952.9458630132</v>
      </c>
    </row>
    <row r="103" spans="1:28" s="33" customFormat="1">
      <c r="A103" s="56" t="s">
        <v>363</v>
      </c>
      <c r="B103" s="56" t="s">
        <v>364</v>
      </c>
      <c r="C103" s="57" t="s">
        <v>60</v>
      </c>
      <c r="D103" s="36" t="s">
        <v>61</v>
      </c>
      <c r="E103" s="58" t="s">
        <v>365</v>
      </c>
      <c r="F103" s="54" t="s">
        <v>366</v>
      </c>
      <c r="G103" s="56" t="s">
        <v>83</v>
      </c>
      <c r="H103" s="56" t="s">
        <v>236</v>
      </c>
      <c r="I103" s="55" t="s">
        <v>367</v>
      </c>
      <c r="J103" s="33">
        <v>8</v>
      </c>
      <c r="K103" s="59">
        <v>2.0500000000000001E-2</v>
      </c>
      <c r="L103" s="33">
        <v>2</v>
      </c>
      <c r="M103" s="45">
        <v>45513</v>
      </c>
      <c r="N103" s="41">
        <f t="shared" si="13"/>
        <v>5.6438356164383565</v>
      </c>
      <c r="O103" s="45">
        <v>47573</v>
      </c>
      <c r="P103" s="42">
        <v>87.173000000000002</v>
      </c>
      <c r="Q103" s="53">
        <v>4.6600000000000003E-2</v>
      </c>
      <c r="R103" s="44">
        <v>2260000</v>
      </c>
      <c r="S103" s="43">
        <f t="shared" si="23"/>
        <v>1970109.8</v>
      </c>
      <c r="T103" s="44">
        <v>16987.669999999998</v>
      </c>
      <c r="U103" s="43">
        <f t="shared" si="24"/>
        <v>1987097.47</v>
      </c>
      <c r="V103" s="45">
        <v>45516</v>
      </c>
      <c r="W103" s="46">
        <f t="shared" si="11"/>
        <v>12</v>
      </c>
      <c r="X103" s="46">
        <f t="shared" si="16"/>
        <v>277980</v>
      </c>
      <c r="Y103" s="46">
        <f t="shared" si="17"/>
        <v>2537980</v>
      </c>
      <c r="Z103" s="47" t="str">
        <f t="shared" si="18"/>
        <v>4~5%</v>
      </c>
      <c r="AA103" s="47" t="str">
        <f t="shared" si="19"/>
        <v>5~7</v>
      </c>
      <c r="AB103" s="46">
        <f t="shared" si="20"/>
        <v>11214851.474520549</v>
      </c>
    </row>
    <row r="104" spans="1:28" s="33" customFormat="1">
      <c r="A104" s="17" t="s">
        <v>368</v>
      </c>
      <c r="B104" s="17" t="s">
        <v>34</v>
      </c>
      <c r="C104" s="17" t="s">
        <v>35</v>
      </c>
      <c r="D104" s="18" t="s">
        <v>36</v>
      </c>
      <c r="E104" s="19" t="s">
        <v>68</v>
      </c>
      <c r="F104" s="19" t="s">
        <v>369</v>
      </c>
      <c r="G104" s="17" t="s">
        <v>39</v>
      </c>
      <c r="H104" s="20" t="s">
        <v>40</v>
      </c>
      <c r="I104" s="19" t="s">
        <v>370</v>
      </c>
      <c r="J104" s="17">
        <v>7</v>
      </c>
      <c r="K104" s="21">
        <v>4.9500000000000002E-2</v>
      </c>
      <c r="L104" s="17">
        <v>2</v>
      </c>
      <c r="M104" s="22">
        <v>44350</v>
      </c>
      <c r="N104" s="23">
        <f t="shared" si="13"/>
        <v>8.830136986301369</v>
      </c>
      <c r="O104" s="30">
        <v>47573</v>
      </c>
      <c r="P104" s="25">
        <v>120.16800000000001</v>
      </c>
      <c r="Q104" s="71">
        <v>2.4000569999999999E-2</v>
      </c>
      <c r="R104" s="29">
        <v>1500000</v>
      </c>
      <c r="S104" s="28">
        <f t="shared" si="23"/>
        <v>1802520</v>
      </c>
      <c r="T104" s="29">
        <v>0</v>
      </c>
      <c r="U104" s="28">
        <f t="shared" si="24"/>
        <v>1802520</v>
      </c>
      <c r="V104" s="30">
        <f>M104+2</f>
        <v>44352</v>
      </c>
      <c r="W104" s="31">
        <f t="shared" si="11"/>
        <v>18</v>
      </c>
      <c r="X104" s="31">
        <f t="shared" si="16"/>
        <v>668250</v>
      </c>
      <c r="Y104" s="31">
        <f t="shared" si="17"/>
        <v>2168250</v>
      </c>
      <c r="Z104" s="32" t="str">
        <f t="shared" si="18"/>
        <v>1~3%</v>
      </c>
      <c r="AA104" s="32" t="str">
        <f t="shared" si="19"/>
        <v>7~10</v>
      </c>
      <c r="AB104" s="31">
        <f t="shared" si="20"/>
        <v>15916498.520547943</v>
      </c>
    </row>
    <row r="105" spans="1:28" s="33" customFormat="1">
      <c r="A105" s="33" t="s">
        <v>371</v>
      </c>
      <c r="B105" s="33" t="s">
        <v>101</v>
      </c>
      <c r="C105" s="48" t="s">
        <v>43</v>
      </c>
      <c r="D105" s="33" t="s">
        <v>61</v>
      </c>
      <c r="E105" s="37" t="s">
        <v>372</v>
      </c>
      <c r="F105" s="49" t="s">
        <v>373</v>
      </c>
      <c r="G105" s="33" t="s">
        <v>46</v>
      </c>
      <c r="H105" s="33" t="s">
        <v>47</v>
      </c>
      <c r="I105" s="37" t="s">
        <v>149</v>
      </c>
      <c r="J105" s="33">
        <v>6</v>
      </c>
      <c r="K105" s="39">
        <v>2.8500000000000001E-2</v>
      </c>
      <c r="L105" s="33">
        <v>2</v>
      </c>
      <c r="M105" s="40">
        <v>45071</v>
      </c>
      <c r="N105" s="41">
        <f t="shared" si="13"/>
        <v>6.8575342465753426</v>
      </c>
      <c r="O105" s="45">
        <v>47574</v>
      </c>
      <c r="P105" s="42">
        <v>91.47</v>
      </c>
      <c r="Q105" s="53">
        <v>4.2999999999999997E-2</v>
      </c>
      <c r="R105" s="44">
        <v>2000000</v>
      </c>
      <c r="S105" s="43">
        <f t="shared" si="23"/>
        <v>1829400</v>
      </c>
      <c r="T105" s="44">
        <v>8550</v>
      </c>
      <c r="U105" s="43">
        <f t="shared" si="24"/>
        <v>1837950</v>
      </c>
      <c r="V105" s="45">
        <f>M105+2</f>
        <v>45073</v>
      </c>
      <c r="W105" s="46">
        <f t="shared" si="11"/>
        <v>14</v>
      </c>
      <c r="X105" s="46">
        <f t="shared" si="16"/>
        <v>399000</v>
      </c>
      <c r="Y105" s="46">
        <f t="shared" si="17"/>
        <v>2399000</v>
      </c>
      <c r="Z105" s="47" t="str">
        <f t="shared" si="18"/>
        <v>4~5%</v>
      </c>
      <c r="AA105" s="47" t="str">
        <f t="shared" si="19"/>
        <v>5~7</v>
      </c>
      <c r="AB105" s="46">
        <f t="shared" si="20"/>
        <v>12603805.06849315</v>
      </c>
    </row>
    <row r="106" spans="1:28" s="33" customFormat="1">
      <c r="A106" s="33" t="s">
        <v>374</v>
      </c>
      <c r="B106" s="33" t="s">
        <v>77</v>
      </c>
      <c r="C106" s="48" t="s">
        <v>43</v>
      </c>
      <c r="D106" s="33" t="s">
        <v>375</v>
      </c>
      <c r="E106" s="37" t="s">
        <v>376</v>
      </c>
      <c r="F106" s="49" t="s">
        <v>204</v>
      </c>
      <c r="G106" s="33" t="s">
        <v>64</v>
      </c>
      <c r="H106" s="33" t="s">
        <v>47</v>
      </c>
      <c r="I106" s="37" t="s">
        <v>205</v>
      </c>
      <c r="J106" s="33">
        <v>5</v>
      </c>
      <c r="K106" s="39">
        <v>2.75E-2</v>
      </c>
      <c r="L106" s="33">
        <v>2</v>
      </c>
      <c r="M106" s="40">
        <v>45664</v>
      </c>
      <c r="N106" s="41">
        <f t="shared" si="13"/>
        <v>5.2465753424657535</v>
      </c>
      <c r="O106" s="45">
        <v>47579</v>
      </c>
      <c r="P106" s="42">
        <v>90.5</v>
      </c>
      <c r="Q106" s="53">
        <v>4.82E-2</v>
      </c>
      <c r="R106" s="44">
        <v>2500000</v>
      </c>
      <c r="S106" s="43">
        <f t="shared" si="23"/>
        <v>2262500</v>
      </c>
      <c r="T106" s="44">
        <v>17760.419999999998</v>
      </c>
      <c r="U106" s="43">
        <f t="shared" si="24"/>
        <v>2280260.42</v>
      </c>
      <c r="V106" s="45">
        <v>45666</v>
      </c>
      <c r="W106" s="46">
        <f t="shared" si="11"/>
        <v>11</v>
      </c>
      <c r="X106" s="46">
        <f t="shared" si="16"/>
        <v>378125</v>
      </c>
      <c r="Y106" s="46">
        <f t="shared" si="17"/>
        <v>2878125</v>
      </c>
      <c r="Z106" s="47" t="str">
        <f t="shared" si="18"/>
        <v>4~5%</v>
      </c>
      <c r="AA106" s="47" t="str">
        <f t="shared" si="19"/>
        <v>5~7</v>
      </c>
      <c r="AB106" s="46">
        <f t="shared" si="20"/>
        <v>11963558.093972603</v>
      </c>
    </row>
    <row r="107" spans="1:28" s="33" customFormat="1">
      <c r="A107" s="56" t="s">
        <v>377</v>
      </c>
      <c r="B107" s="56" t="s">
        <v>233</v>
      </c>
      <c r="C107" s="57" t="s">
        <v>35</v>
      </c>
      <c r="D107" s="36" t="s">
        <v>61</v>
      </c>
      <c r="E107" s="58" t="s">
        <v>378</v>
      </c>
      <c r="F107" s="54" t="s">
        <v>200</v>
      </c>
      <c r="G107" s="56" t="s">
        <v>39</v>
      </c>
      <c r="H107" s="56" t="s">
        <v>236</v>
      </c>
      <c r="I107" s="55" t="s">
        <v>379</v>
      </c>
      <c r="J107" s="56">
        <v>7</v>
      </c>
      <c r="K107" s="59">
        <v>6.3750000000000001E-2</v>
      </c>
      <c r="L107" s="33">
        <v>2</v>
      </c>
      <c r="M107" s="40">
        <v>45546</v>
      </c>
      <c r="N107" s="41">
        <f t="shared" si="13"/>
        <v>5.5753424657534243</v>
      </c>
      <c r="O107" s="45">
        <v>47581</v>
      </c>
      <c r="P107" s="42">
        <v>109.21</v>
      </c>
      <c r="Q107" s="53">
        <v>4.4868999999999999E-2</v>
      </c>
      <c r="R107" s="68">
        <v>4000000</v>
      </c>
      <c r="S107" s="68">
        <f t="shared" si="23"/>
        <v>4368400</v>
      </c>
      <c r="T107" s="68">
        <v>109791.67</v>
      </c>
      <c r="U107" s="68">
        <f t="shared" si="24"/>
        <v>4478191.67</v>
      </c>
      <c r="V107" s="45">
        <f>M107+1</f>
        <v>45547</v>
      </c>
      <c r="W107" s="46">
        <f t="shared" si="11"/>
        <v>12</v>
      </c>
      <c r="X107" s="46">
        <f t="shared" si="16"/>
        <v>1530000</v>
      </c>
      <c r="Y107" s="46">
        <f t="shared" si="17"/>
        <v>5530000</v>
      </c>
      <c r="Z107" s="47" t="str">
        <f t="shared" si="18"/>
        <v>4~5%</v>
      </c>
      <c r="AA107" s="47" t="str">
        <f t="shared" si="19"/>
        <v>5~7</v>
      </c>
      <c r="AB107" s="46">
        <f t="shared" si="20"/>
        <v>24967452.187534243</v>
      </c>
    </row>
    <row r="108" spans="1:28" s="33" customFormat="1">
      <c r="A108" s="56" t="s">
        <v>377</v>
      </c>
      <c r="B108" s="56" t="s">
        <v>233</v>
      </c>
      <c r="C108" s="57" t="s">
        <v>35</v>
      </c>
      <c r="D108" s="36" t="s">
        <v>61</v>
      </c>
      <c r="E108" s="58" t="s">
        <v>378</v>
      </c>
      <c r="F108" s="54" t="s">
        <v>200</v>
      </c>
      <c r="G108" s="56" t="s">
        <v>39</v>
      </c>
      <c r="H108" s="56" t="s">
        <v>236</v>
      </c>
      <c r="I108" s="55" t="s">
        <v>379</v>
      </c>
      <c r="J108" s="56">
        <v>7</v>
      </c>
      <c r="K108" s="59">
        <v>6.3750000000000001E-2</v>
      </c>
      <c r="L108" s="33">
        <v>2</v>
      </c>
      <c r="M108" s="40">
        <v>45546</v>
      </c>
      <c r="N108" s="41">
        <f t="shared" si="13"/>
        <v>5.5753424657534243</v>
      </c>
      <c r="O108" s="45">
        <v>47581</v>
      </c>
      <c r="P108" s="42">
        <v>109.1</v>
      </c>
      <c r="Q108" s="53">
        <v>4.5089999999999998E-2</v>
      </c>
      <c r="R108" s="68">
        <v>298000</v>
      </c>
      <c r="S108" s="68">
        <f t="shared" si="23"/>
        <v>325118</v>
      </c>
      <c r="T108" s="68">
        <v>8126.71</v>
      </c>
      <c r="U108" s="68">
        <f t="shared" si="24"/>
        <v>333244.71000000002</v>
      </c>
      <c r="V108" s="45">
        <f>M108+1</f>
        <v>45547</v>
      </c>
      <c r="W108" s="46">
        <f t="shared" si="11"/>
        <v>12</v>
      </c>
      <c r="X108" s="46">
        <f t="shared" si="16"/>
        <v>113985</v>
      </c>
      <c r="Y108" s="46">
        <f t="shared" si="17"/>
        <v>411985</v>
      </c>
      <c r="Z108" s="47" t="str">
        <f t="shared" si="18"/>
        <v>4~5%</v>
      </c>
      <c r="AA108" s="47" t="str">
        <f t="shared" si="19"/>
        <v>5~7</v>
      </c>
      <c r="AB108" s="46">
        <f t="shared" si="20"/>
        <v>1857953.3831506849</v>
      </c>
    </row>
    <row r="109" spans="1:28" s="33" customFormat="1">
      <c r="A109" s="33" t="s">
        <v>380</v>
      </c>
      <c r="B109" s="33" t="s">
        <v>77</v>
      </c>
      <c r="C109" s="48" t="s">
        <v>67</v>
      </c>
      <c r="D109" s="33" t="s">
        <v>61</v>
      </c>
      <c r="E109" s="37" t="s">
        <v>381</v>
      </c>
      <c r="F109" s="49" t="s">
        <v>382</v>
      </c>
      <c r="G109" s="33" t="s">
        <v>39</v>
      </c>
      <c r="H109" s="33" t="s">
        <v>47</v>
      </c>
      <c r="I109" s="37" t="s">
        <v>383</v>
      </c>
      <c r="J109" s="33">
        <v>6</v>
      </c>
      <c r="K109" s="39">
        <v>4.1500000000000002E-2</v>
      </c>
      <c r="L109" s="33">
        <v>2</v>
      </c>
      <c r="M109" s="40">
        <v>45712</v>
      </c>
      <c r="N109" s="60">
        <f t="shared" si="13"/>
        <v>5.1232876712328768</v>
      </c>
      <c r="O109" s="45">
        <v>47582</v>
      </c>
      <c r="P109" s="42">
        <v>97</v>
      </c>
      <c r="Q109" s="53">
        <v>4.8169999999999998E-2</v>
      </c>
      <c r="R109" s="44">
        <v>2020000</v>
      </c>
      <c r="S109" s="43">
        <f t="shared" si="23"/>
        <v>1959400</v>
      </c>
      <c r="T109" s="44">
        <v>31669.110000000102</v>
      </c>
      <c r="U109" s="43">
        <f t="shared" si="24"/>
        <v>1991069.11</v>
      </c>
      <c r="V109" s="45">
        <v>45713</v>
      </c>
      <c r="W109" s="46">
        <f t="shared" si="11"/>
        <v>11</v>
      </c>
      <c r="X109" s="46">
        <f t="shared" si="16"/>
        <v>461065</v>
      </c>
      <c r="Y109" s="46">
        <f t="shared" si="17"/>
        <v>2481065</v>
      </c>
      <c r="Z109" s="47" t="str">
        <f t="shared" si="18"/>
        <v>4~5%</v>
      </c>
      <c r="AA109" s="47" t="str">
        <f t="shared" si="19"/>
        <v>5~7</v>
      </c>
      <c r="AB109" s="46">
        <f t="shared" si="20"/>
        <v>10200819.823835617</v>
      </c>
    </row>
    <row r="110" spans="1:28" s="33" customFormat="1">
      <c r="A110" s="56" t="s">
        <v>384</v>
      </c>
      <c r="B110" s="56" t="s">
        <v>325</v>
      </c>
      <c r="C110" s="57" t="s">
        <v>35</v>
      </c>
      <c r="D110" s="36" t="s">
        <v>61</v>
      </c>
      <c r="E110" s="58" t="s">
        <v>385</v>
      </c>
      <c r="F110" s="54" t="s">
        <v>386</v>
      </c>
      <c r="G110" s="56" t="s">
        <v>39</v>
      </c>
      <c r="H110" s="56" t="s">
        <v>236</v>
      </c>
      <c r="I110" s="55" t="s">
        <v>326</v>
      </c>
      <c r="J110" s="56">
        <v>7</v>
      </c>
      <c r="K110" s="59">
        <v>3.9669999999999997E-2</v>
      </c>
      <c r="L110" s="33">
        <v>2</v>
      </c>
      <c r="M110" s="40">
        <v>45539</v>
      </c>
      <c r="N110" s="41">
        <f t="shared" si="13"/>
        <v>5.6082191780821917</v>
      </c>
      <c r="O110" s="45">
        <v>47586</v>
      </c>
      <c r="P110" s="42">
        <v>96.9</v>
      </c>
      <c r="Q110" s="53">
        <v>4.5998999999999998E-2</v>
      </c>
      <c r="R110" s="68">
        <v>1000000</v>
      </c>
      <c r="S110" s="68">
        <f t="shared" si="23"/>
        <v>969000</v>
      </c>
      <c r="T110" s="68">
        <v>15647.61</v>
      </c>
      <c r="U110" s="68">
        <f t="shared" si="24"/>
        <v>984647.61</v>
      </c>
      <c r="V110" s="45">
        <f>M110+1</f>
        <v>45540</v>
      </c>
      <c r="W110" s="46">
        <f t="shared" si="11"/>
        <v>12</v>
      </c>
      <c r="X110" s="46">
        <f t="shared" si="16"/>
        <v>238020</v>
      </c>
      <c r="Y110" s="46">
        <f t="shared" si="17"/>
        <v>1238020</v>
      </c>
      <c r="Z110" s="47" t="str">
        <f t="shared" si="18"/>
        <v>4~5%</v>
      </c>
      <c r="AA110" s="47" t="str">
        <f t="shared" si="19"/>
        <v>5~7</v>
      </c>
      <c r="AB110" s="46">
        <f t="shared" si="20"/>
        <v>5522119.6100547947</v>
      </c>
    </row>
    <row r="111" spans="1:28" s="33" customFormat="1">
      <c r="A111" s="57" t="s">
        <v>387</v>
      </c>
      <c r="B111" s="57" t="s">
        <v>388</v>
      </c>
      <c r="C111" s="57" t="s">
        <v>35</v>
      </c>
      <c r="D111" s="33" t="s">
        <v>61</v>
      </c>
      <c r="E111" s="37" t="s">
        <v>389</v>
      </c>
      <c r="F111" s="54" t="s">
        <v>386</v>
      </c>
      <c r="G111" s="33" t="s">
        <v>39</v>
      </c>
      <c r="H111" s="38" t="s">
        <v>390</v>
      </c>
      <c r="I111" s="72" t="s">
        <v>391</v>
      </c>
      <c r="J111" s="33">
        <v>7</v>
      </c>
      <c r="K111" s="73">
        <v>3.9669999999999997E-2</v>
      </c>
      <c r="L111" s="33">
        <v>2</v>
      </c>
      <c r="M111" s="45">
        <v>45484</v>
      </c>
      <c r="N111" s="41">
        <f t="shared" si="13"/>
        <v>5.7589041095890412</v>
      </c>
      <c r="O111" s="45">
        <v>47586</v>
      </c>
      <c r="P111" s="74">
        <v>94.278999999999996</v>
      </c>
      <c r="Q111" s="75">
        <v>5.126E-2</v>
      </c>
      <c r="R111" s="64">
        <v>5000000</v>
      </c>
      <c r="S111" s="43">
        <f t="shared" si="23"/>
        <v>4713950</v>
      </c>
      <c r="T111" s="44">
        <v>49036.53</v>
      </c>
      <c r="U111" s="44">
        <v>4762986.53</v>
      </c>
      <c r="V111" s="45">
        <f t="shared" ref="V111:V117" si="26">M111+2</f>
        <v>45486</v>
      </c>
      <c r="W111" s="46">
        <f t="shared" ref="W111:W126" si="27">_xlfn.CEILING.MATH(N111*L111)</f>
        <v>12</v>
      </c>
      <c r="X111" s="46">
        <f t="shared" si="16"/>
        <v>1190099.9999999998</v>
      </c>
      <c r="Y111" s="46">
        <f t="shared" si="17"/>
        <v>6190100</v>
      </c>
      <c r="Z111" s="47" t="str">
        <f t="shared" si="18"/>
        <v>5~6%</v>
      </c>
      <c r="AA111" s="47" t="str">
        <f t="shared" si="19"/>
        <v>5~7</v>
      </c>
      <c r="AB111" s="46">
        <f t="shared" si="20"/>
        <v>27429582.701534249</v>
      </c>
    </row>
    <row r="112" spans="1:28" s="33" customFormat="1">
      <c r="A112" s="33" t="s">
        <v>392</v>
      </c>
      <c r="B112" s="33" t="s">
        <v>54</v>
      </c>
      <c r="C112" s="48" t="s">
        <v>67</v>
      </c>
      <c r="D112" s="33" t="s">
        <v>61</v>
      </c>
      <c r="E112" s="37" t="s">
        <v>393</v>
      </c>
      <c r="F112" s="49" t="s">
        <v>394</v>
      </c>
      <c r="G112" s="33" t="s">
        <v>39</v>
      </c>
      <c r="H112" s="33" t="s">
        <v>47</v>
      </c>
      <c r="I112" s="37" t="s">
        <v>395</v>
      </c>
      <c r="J112" s="33">
        <v>6</v>
      </c>
      <c r="K112" s="39">
        <v>3.125E-2</v>
      </c>
      <c r="L112" s="33">
        <v>2</v>
      </c>
      <c r="M112" s="40">
        <v>45371</v>
      </c>
      <c r="N112" s="41">
        <f t="shared" si="13"/>
        <v>6.0712328767123287</v>
      </c>
      <c r="O112" s="45">
        <v>47587</v>
      </c>
      <c r="P112" s="42">
        <v>90.285000000000011</v>
      </c>
      <c r="Q112" s="53">
        <v>0.05</v>
      </c>
      <c r="R112" s="44">
        <v>2500000</v>
      </c>
      <c r="S112" s="43">
        <f t="shared" si="23"/>
        <v>2257125.0000000005</v>
      </c>
      <c r="T112" s="44">
        <v>33854.17</v>
      </c>
      <c r="U112" s="43">
        <f t="shared" ref="U112:U117" si="28">S112+T112</f>
        <v>2290979.1700000004</v>
      </c>
      <c r="V112" s="45">
        <f t="shared" si="26"/>
        <v>45373</v>
      </c>
      <c r="W112" s="46">
        <f t="shared" si="27"/>
        <v>13</v>
      </c>
      <c r="X112" s="46">
        <f t="shared" si="16"/>
        <v>507812.5</v>
      </c>
      <c r="Y112" s="46">
        <f t="shared" si="17"/>
        <v>3007812.5</v>
      </c>
      <c r="Z112" s="47" t="str">
        <f t="shared" si="18"/>
        <v>4~5%</v>
      </c>
      <c r="AA112" s="47" t="str">
        <f t="shared" si="19"/>
        <v>5~7</v>
      </c>
      <c r="AB112" s="46">
        <f t="shared" si="20"/>
        <v>13909068.056767125</v>
      </c>
    </row>
    <row r="113" spans="1:28" s="33" customFormat="1">
      <c r="A113" s="33" t="s">
        <v>392</v>
      </c>
      <c r="B113" s="33" t="s">
        <v>77</v>
      </c>
      <c r="C113" s="33" t="s">
        <v>35</v>
      </c>
      <c r="D113" s="36" t="s">
        <v>61</v>
      </c>
      <c r="E113" s="37" t="s">
        <v>396</v>
      </c>
      <c r="F113" s="37" t="s">
        <v>397</v>
      </c>
      <c r="G113" s="33" t="s">
        <v>39</v>
      </c>
      <c r="H113" s="38" t="s">
        <v>40</v>
      </c>
      <c r="I113" s="37" t="s">
        <v>398</v>
      </c>
      <c r="J113" s="33">
        <v>6</v>
      </c>
      <c r="K113" s="39">
        <v>3.125E-2</v>
      </c>
      <c r="L113" s="33">
        <v>2</v>
      </c>
      <c r="M113" s="40">
        <v>45365</v>
      </c>
      <c r="N113" s="41">
        <f t="shared" si="13"/>
        <v>6.087671232876712</v>
      </c>
      <c r="O113" s="45">
        <v>47587</v>
      </c>
      <c r="P113" s="42">
        <v>90.986999999999995</v>
      </c>
      <c r="Q113" s="53">
        <v>4.8399999999999999E-2</v>
      </c>
      <c r="R113" s="44">
        <v>1120000</v>
      </c>
      <c r="S113" s="43">
        <f t="shared" si="23"/>
        <v>1019054.4</v>
      </c>
      <c r="T113" s="44">
        <v>71687.5</v>
      </c>
      <c r="U113" s="43">
        <f t="shared" si="28"/>
        <v>1090741.8999999999</v>
      </c>
      <c r="V113" s="45">
        <f t="shared" si="26"/>
        <v>45367</v>
      </c>
      <c r="W113" s="46">
        <f t="shared" si="27"/>
        <v>13</v>
      </c>
      <c r="X113" s="46">
        <f t="shared" si="16"/>
        <v>227500</v>
      </c>
      <c r="Y113" s="46">
        <f t="shared" si="17"/>
        <v>1347500</v>
      </c>
      <c r="Z113" s="47" t="str">
        <f t="shared" si="18"/>
        <v>4~5%</v>
      </c>
      <c r="AA113" s="47" t="str">
        <f t="shared" si="19"/>
        <v>5~7</v>
      </c>
      <c r="AB113" s="46">
        <f t="shared" si="20"/>
        <v>6640078.0871232869</v>
      </c>
    </row>
    <row r="114" spans="1:28" s="33" customFormat="1">
      <c r="A114" s="33" t="s">
        <v>399</v>
      </c>
      <c r="B114" s="33" t="s">
        <v>34</v>
      </c>
      <c r="C114" s="48" t="s">
        <v>67</v>
      </c>
      <c r="D114" s="33" t="s">
        <v>61</v>
      </c>
      <c r="E114" s="37" t="s">
        <v>400</v>
      </c>
      <c r="F114" s="49" t="s">
        <v>394</v>
      </c>
      <c r="G114" s="33" t="s">
        <v>39</v>
      </c>
      <c r="H114" s="33" t="s">
        <v>47</v>
      </c>
      <c r="I114" s="37" t="s">
        <v>395</v>
      </c>
      <c r="J114" s="33">
        <v>6</v>
      </c>
      <c r="K114" s="39">
        <v>3.125E-2</v>
      </c>
      <c r="L114" s="33">
        <v>2</v>
      </c>
      <c r="M114" s="40">
        <v>44984</v>
      </c>
      <c r="N114" s="41">
        <f t="shared" si="13"/>
        <v>7.1315068493150688</v>
      </c>
      <c r="O114" s="45">
        <v>47587</v>
      </c>
      <c r="P114" s="42">
        <v>89.45</v>
      </c>
      <c r="Q114" s="53">
        <v>4.8899999999999999E-2</v>
      </c>
      <c r="R114" s="44">
        <v>2500000</v>
      </c>
      <c r="S114" s="43">
        <f t="shared" si="23"/>
        <v>2236250</v>
      </c>
      <c r="T114" s="44">
        <v>0</v>
      </c>
      <c r="U114" s="43">
        <f t="shared" si="28"/>
        <v>2236250</v>
      </c>
      <c r="V114" s="45">
        <f t="shared" si="26"/>
        <v>44986</v>
      </c>
      <c r="W114" s="46">
        <f t="shared" si="27"/>
        <v>15</v>
      </c>
      <c r="X114" s="46">
        <f t="shared" si="16"/>
        <v>585937.5</v>
      </c>
      <c r="Y114" s="46">
        <f t="shared" si="17"/>
        <v>3085937.5</v>
      </c>
      <c r="Z114" s="47" t="str">
        <f t="shared" si="18"/>
        <v>4~5%</v>
      </c>
      <c r="AA114" s="47" t="str">
        <f t="shared" si="19"/>
        <v>7~10</v>
      </c>
      <c r="AB114" s="46">
        <f t="shared" si="20"/>
        <v>15947832.191780822</v>
      </c>
    </row>
    <row r="115" spans="1:28" s="33" customFormat="1">
      <c r="A115" s="33" t="s">
        <v>401</v>
      </c>
      <c r="B115" s="33" t="s">
        <v>77</v>
      </c>
      <c r="C115" s="33" t="s">
        <v>35</v>
      </c>
      <c r="D115" s="36" t="s">
        <v>61</v>
      </c>
      <c r="E115" s="37" t="s">
        <v>402</v>
      </c>
      <c r="F115" s="37" t="s">
        <v>403</v>
      </c>
      <c r="G115" s="33" t="s">
        <v>39</v>
      </c>
      <c r="H115" s="38" t="s">
        <v>40</v>
      </c>
      <c r="I115" s="37" t="s">
        <v>404</v>
      </c>
      <c r="J115" s="33">
        <v>4</v>
      </c>
      <c r="K115" s="39">
        <v>2.0500000000000001E-2</v>
      </c>
      <c r="L115" s="33">
        <v>2</v>
      </c>
      <c r="M115" s="40">
        <v>45141</v>
      </c>
      <c r="N115" s="41">
        <f t="shared" si="13"/>
        <v>6.7041095890410958</v>
      </c>
      <c r="O115" s="45">
        <v>47588</v>
      </c>
      <c r="P115" s="42">
        <v>86.460999999999999</v>
      </c>
      <c r="Q115" s="53">
        <v>4.3999999999999997E-2</v>
      </c>
      <c r="R115" s="44">
        <v>3500000</v>
      </c>
      <c r="S115" s="43">
        <f t="shared" si="23"/>
        <v>3026135</v>
      </c>
      <c r="T115" s="44">
        <v>23711.11</v>
      </c>
      <c r="U115" s="43">
        <f t="shared" si="28"/>
        <v>3049846.11</v>
      </c>
      <c r="V115" s="45">
        <f t="shared" si="26"/>
        <v>45143</v>
      </c>
      <c r="W115" s="46">
        <f t="shared" si="27"/>
        <v>14</v>
      </c>
      <c r="X115" s="46">
        <f t="shared" si="16"/>
        <v>502250</v>
      </c>
      <c r="Y115" s="46">
        <f t="shared" si="17"/>
        <v>4002250</v>
      </c>
      <c r="Z115" s="47" t="str">
        <f t="shared" si="18"/>
        <v>4~5%</v>
      </c>
      <c r="AA115" s="47" t="str">
        <f t="shared" si="19"/>
        <v>5~7</v>
      </c>
      <c r="AB115" s="46">
        <f t="shared" si="20"/>
        <v>20446502.551150683</v>
      </c>
    </row>
    <row r="116" spans="1:28" s="33" customFormat="1">
      <c r="A116" s="33" t="s">
        <v>401</v>
      </c>
      <c r="B116" s="33" t="s">
        <v>101</v>
      </c>
      <c r="C116" s="48" t="s">
        <v>67</v>
      </c>
      <c r="D116" s="36" t="s">
        <v>61</v>
      </c>
      <c r="E116" s="37" t="s">
        <v>402</v>
      </c>
      <c r="F116" s="37" t="s">
        <v>403</v>
      </c>
      <c r="G116" s="33" t="s">
        <v>39</v>
      </c>
      <c r="H116" s="38" t="s">
        <v>40</v>
      </c>
      <c r="I116" s="37" t="s">
        <v>404</v>
      </c>
      <c r="J116" s="33">
        <v>4</v>
      </c>
      <c r="K116" s="39">
        <v>2.0500000000000001E-2</v>
      </c>
      <c r="L116" s="33">
        <v>2</v>
      </c>
      <c r="M116" s="40">
        <v>45071</v>
      </c>
      <c r="N116" s="41">
        <f t="shared" si="13"/>
        <v>6.8958904109589039</v>
      </c>
      <c r="O116" s="45">
        <v>47588</v>
      </c>
      <c r="P116" s="42">
        <v>87.32</v>
      </c>
      <c r="Q116" s="53">
        <v>4.1799999999999997E-2</v>
      </c>
      <c r="R116" s="44">
        <v>2000000</v>
      </c>
      <c r="S116" s="43">
        <f t="shared" si="23"/>
        <v>1746400</v>
      </c>
      <c r="T116" s="44">
        <v>4555.5600000000004</v>
      </c>
      <c r="U116" s="43">
        <f t="shared" si="28"/>
        <v>1750955.56</v>
      </c>
      <c r="V116" s="45">
        <f t="shared" si="26"/>
        <v>45073</v>
      </c>
      <c r="W116" s="46">
        <f t="shared" si="27"/>
        <v>14</v>
      </c>
      <c r="X116" s="46">
        <f t="shared" si="16"/>
        <v>287000</v>
      </c>
      <c r="Y116" s="46">
        <f t="shared" si="17"/>
        <v>2287000</v>
      </c>
      <c r="Z116" s="47" t="str">
        <f t="shared" si="18"/>
        <v>4~5%</v>
      </c>
      <c r="AA116" s="47" t="str">
        <f t="shared" si="19"/>
        <v>5~7</v>
      </c>
      <c r="AB116" s="46">
        <f t="shared" si="20"/>
        <v>12074397.656219179</v>
      </c>
    </row>
    <row r="117" spans="1:28" s="33" customFormat="1">
      <c r="A117" s="33" t="s">
        <v>405</v>
      </c>
      <c r="B117" s="33" t="s">
        <v>77</v>
      </c>
      <c r="C117" s="48" t="s">
        <v>43</v>
      </c>
      <c r="D117" s="33" t="s">
        <v>61</v>
      </c>
      <c r="E117" s="37" t="s">
        <v>174</v>
      </c>
      <c r="F117" s="49" t="s">
        <v>175</v>
      </c>
      <c r="G117" s="33" t="s">
        <v>176</v>
      </c>
      <c r="H117" s="33" t="s">
        <v>47</v>
      </c>
      <c r="I117" s="37" t="s">
        <v>406</v>
      </c>
      <c r="J117" s="33">
        <v>3</v>
      </c>
      <c r="K117" s="39">
        <v>0.04</v>
      </c>
      <c r="L117" s="33">
        <v>2</v>
      </c>
      <c r="M117" s="40">
        <v>45035</v>
      </c>
      <c r="N117" s="41">
        <f t="shared" si="13"/>
        <v>6.9945205479452053</v>
      </c>
      <c r="O117" s="45">
        <v>47588</v>
      </c>
      <c r="P117" s="42">
        <v>100</v>
      </c>
      <c r="Q117" s="53">
        <v>0.04</v>
      </c>
      <c r="R117" s="44">
        <v>1000000</v>
      </c>
      <c r="S117" s="43">
        <f t="shared" si="23"/>
        <v>1000000</v>
      </c>
      <c r="T117" s="44">
        <v>14583.33</v>
      </c>
      <c r="U117" s="43">
        <f t="shared" si="28"/>
        <v>1014583.33</v>
      </c>
      <c r="V117" s="45">
        <f t="shared" si="26"/>
        <v>45037</v>
      </c>
      <c r="W117" s="46">
        <f t="shared" si="27"/>
        <v>14</v>
      </c>
      <c r="X117" s="46">
        <f t="shared" si="16"/>
        <v>280000</v>
      </c>
      <c r="Y117" s="46">
        <f t="shared" si="17"/>
        <v>1280000</v>
      </c>
      <c r="Z117" s="47" t="str">
        <f t="shared" si="18"/>
        <v>3~4%</v>
      </c>
      <c r="AA117" s="47" t="str">
        <f t="shared" si="19"/>
        <v>5~7</v>
      </c>
      <c r="AB117" s="46">
        <f t="shared" si="20"/>
        <v>7096523.9492876707</v>
      </c>
    </row>
    <row r="118" spans="1:28" s="33" customFormat="1">
      <c r="A118" s="33" t="s">
        <v>407</v>
      </c>
      <c r="B118" s="33" t="s">
        <v>77</v>
      </c>
      <c r="C118" s="48" t="s">
        <v>43</v>
      </c>
      <c r="D118" s="33" t="s">
        <v>309</v>
      </c>
      <c r="E118" s="37" t="s">
        <v>408</v>
      </c>
      <c r="F118" s="49" t="s">
        <v>409</v>
      </c>
      <c r="G118" s="33" t="s">
        <v>410</v>
      </c>
      <c r="H118" s="33" t="s">
        <v>47</v>
      </c>
      <c r="I118" s="37" t="s">
        <v>411</v>
      </c>
      <c r="J118" s="33">
        <v>5</v>
      </c>
      <c r="K118" s="39">
        <v>1.6E-2</v>
      </c>
      <c r="L118" s="33">
        <v>2</v>
      </c>
      <c r="M118" s="40">
        <v>45672</v>
      </c>
      <c r="N118" s="41">
        <f t="shared" si="13"/>
        <v>5.2630136986301368</v>
      </c>
      <c r="O118" s="45">
        <v>47593</v>
      </c>
      <c r="P118" s="42">
        <v>84.9</v>
      </c>
      <c r="Q118" s="53">
        <v>4.8899999999999999E-2</v>
      </c>
      <c r="R118" s="44">
        <v>4500000</v>
      </c>
      <c r="S118" s="43">
        <v>3820500</v>
      </c>
      <c r="T118" s="44">
        <v>17400</v>
      </c>
      <c r="U118" s="43">
        <v>3837900</v>
      </c>
      <c r="V118" s="45">
        <v>45674</v>
      </c>
      <c r="W118" s="46">
        <f t="shared" si="27"/>
        <v>11</v>
      </c>
      <c r="X118" s="46">
        <f t="shared" si="16"/>
        <v>396000</v>
      </c>
      <c r="Y118" s="46">
        <f t="shared" si="17"/>
        <v>4896000</v>
      </c>
      <c r="Z118" s="47" t="str">
        <f t="shared" si="18"/>
        <v>4~5%</v>
      </c>
      <c r="AA118" s="47" t="str">
        <f t="shared" si="19"/>
        <v>5~7</v>
      </c>
      <c r="AB118" s="46">
        <f t="shared" si="20"/>
        <v>20198920.273972601</v>
      </c>
    </row>
    <row r="119" spans="1:28" s="33" customFormat="1">
      <c r="A119" s="33" t="s">
        <v>412</v>
      </c>
      <c r="B119" s="33" t="s">
        <v>54</v>
      </c>
      <c r="C119" s="33" t="s">
        <v>60</v>
      </c>
      <c r="D119" s="36" t="s">
        <v>61</v>
      </c>
      <c r="E119" s="37" t="s">
        <v>413</v>
      </c>
      <c r="F119" s="37" t="s">
        <v>414</v>
      </c>
      <c r="G119" s="33" t="s">
        <v>415</v>
      </c>
      <c r="H119" s="38" t="s">
        <v>40</v>
      </c>
      <c r="I119" s="37" t="s">
        <v>416</v>
      </c>
      <c r="J119" s="33">
        <v>7</v>
      </c>
      <c r="K119" s="39">
        <v>3.5000000000000003E-2</v>
      </c>
      <c r="L119" s="33">
        <v>2</v>
      </c>
      <c r="M119" s="40">
        <v>45412</v>
      </c>
      <c r="N119" s="41">
        <f t="shared" si="13"/>
        <v>5.978082191780822</v>
      </c>
      <c r="O119" s="45">
        <v>47594</v>
      </c>
      <c r="P119" s="42">
        <v>90.214799999999997</v>
      </c>
      <c r="Q119" s="53">
        <v>5.4379999999999998E-2</v>
      </c>
      <c r="R119" s="44">
        <v>735000</v>
      </c>
      <c r="S119" s="43">
        <f t="shared" ref="S119:S132" si="29">R119*P119/100</f>
        <v>663078.78</v>
      </c>
      <c r="T119" s="44">
        <v>643.13</v>
      </c>
      <c r="U119" s="43">
        <f t="shared" ref="U119:U131" si="30">S119+T119</f>
        <v>663721.91</v>
      </c>
      <c r="V119" s="45">
        <f>M119+2</f>
        <v>45414</v>
      </c>
      <c r="W119" s="46">
        <f t="shared" si="27"/>
        <v>12</v>
      </c>
      <c r="X119" s="46">
        <f t="shared" si="16"/>
        <v>154350.00000000003</v>
      </c>
      <c r="Y119" s="46">
        <f t="shared" si="17"/>
        <v>889350</v>
      </c>
      <c r="Z119" s="47" t="str">
        <f t="shared" si="18"/>
        <v>5~6%</v>
      </c>
      <c r="AA119" s="47" t="str">
        <f t="shared" si="19"/>
        <v>5~7</v>
      </c>
      <c r="AB119" s="46">
        <f t="shared" si="20"/>
        <v>3967784.1304657538</v>
      </c>
    </row>
    <row r="120" spans="1:28" s="33" customFormat="1">
      <c r="A120" s="33" t="s">
        <v>412</v>
      </c>
      <c r="B120" s="33" t="s">
        <v>223</v>
      </c>
      <c r="C120" s="48" t="s">
        <v>43</v>
      </c>
      <c r="D120" s="33" t="s">
        <v>61</v>
      </c>
      <c r="E120" s="37" t="s">
        <v>417</v>
      </c>
      <c r="F120" s="49" t="s">
        <v>418</v>
      </c>
      <c r="G120" s="33" t="s">
        <v>415</v>
      </c>
      <c r="H120" s="33" t="s">
        <v>47</v>
      </c>
      <c r="I120" s="37" t="s">
        <v>419</v>
      </c>
      <c r="J120" s="33">
        <v>7</v>
      </c>
      <c r="K120" s="39">
        <v>3.5000000000000003E-2</v>
      </c>
      <c r="L120" s="33">
        <v>2</v>
      </c>
      <c r="M120" s="40">
        <v>45412</v>
      </c>
      <c r="N120" s="41">
        <f t="shared" si="13"/>
        <v>5.978082191780822</v>
      </c>
      <c r="O120" s="45">
        <v>47594</v>
      </c>
      <c r="P120" s="42">
        <v>90.214749999999995</v>
      </c>
      <c r="Q120" s="53">
        <v>5.4399999999999997E-2</v>
      </c>
      <c r="R120" s="44">
        <v>2180000</v>
      </c>
      <c r="S120" s="43">
        <f t="shared" si="29"/>
        <v>1966681.55</v>
      </c>
      <c r="T120" s="44">
        <v>1907.5</v>
      </c>
      <c r="U120" s="43">
        <f t="shared" si="30"/>
        <v>1968589.05</v>
      </c>
      <c r="V120" s="45">
        <f>M120+2</f>
        <v>45414</v>
      </c>
      <c r="W120" s="46">
        <f t="shared" si="27"/>
        <v>12</v>
      </c>
      <c r="X120" s="46">
        <f t="shared" si="16"/>
        <v>457800</v>
      </c>
      <c r="Y120" s="46">
        <f t="shared" si="17"/>
        <v>2637800</v>
      </c>
      <c r="Z120" s="47" t="str">
        <f t="shared" si="18"/>
        <v>5~6%</v>
      </c>
      <c r="AA120" s="47" t="str">
        <f t="shared" si="19"/>
        <v>5~7</v>
      </c>
      <c r="AB120" s="46">
        <f t="shared" si="20"/>
        <v>11768387.142739726</v>
      </c>
    </row>
    <row r="121" spans="1:28" s="33" customFormat="1">
      <c r="A121" s="33" t="s">
        <v>412</v>
      </c>
      <c r="B121" s="33" t="s">
        <v>77</v>
      </c>
      <c r="C121" s="48" t="s">
        <v>43</v>
      </c>
      <c r="D121" s="33" t="s">
        <v>61</v>
      </c>
      <c r="E121" s="37" t="s">
        <v>420</v>
      </c>
      <c r="F121" s="49" t="s">
        <v>418</v>
      </c>
      <c r="G121" s="33" t="s">
        <v>415</v>
      </c>
      <c r="H121" s="33" t="s">
        <v>47</v>
      </c>
      <c r="I121" s="37" t="s">
        <v>421</v>
      </c>
      <c r="J121" s="33">
        <v>6</v>
      </c>
      <c r="K121" s="39">
        <v>3.5000000000000003E-2</v>
      </c>
      <c r="L121" s="33">
        <v>2</v>
      </c>
      <c r="M121" s="40">
        <v>45412</v>
      </c>
      <c r="N121" s="41">
        <f t="shared" si="13"/>
        <v>5.978082191780822</v>
      </c>
      <c r="O121" s="45">
        <v>47594</v>
      </c>
      <c r="P121" s="42">
        <v>90.214799999999997</v>
      </c>
      <c r="Q121" s="53">
        <v>5.4399999999999997E-2</v>
      </c>
      <c r="R121" s="44">
        <v>365000</v>
      </c>
      <c r="S121" s="43">
        <f t="shared" si="29"/>
        <v>329284.02</v>
      </c>
      <c r="T121" s="44">
        <v>2092.3200000000002</v>
      </c>
      <c r="U121" s="43">
        <f t="shared" si="30"/>
        <v>331376.34000000003</v>
      </c>
      <c r="V121" s="45">
        <f>M121+2</f>
        <v>45414</v>
      </c>
      <c r="W121" s="46">
        <f t="shared" si="27"/>
        <v>12</v>
      </c>
      <c r="X121" s="46">
        <f t="shared" si="16"/>
        <v>76650.000000000015</v>
      </c>
      <c r="Y121" s="46">
        <f t="shared" si="17"/>
        <v>441650</v>
      </c>
      <c r="Z121" s="47" t="str">
        <f t="shared" si="18"/>
        <v>5~6%</v>
      </c>
      <c r="AA121" s="47" t="str">
        <f t="shared" si="19"/>
        <v>5~7</v>
      </c>
      <c r="AB121" s="46">
        <f t="shared" si="20"/>
        <v>1980994.996931507</v>
      </c>
    </row>
    <row r="122" spans="1:28" s="33" customFormat="1">
      <c r="A122" s="33" t="s">
        <v>412</v>
      </c>
      <c r="B122" s="33" t="s">
        <v>119</v>
      </c>
      <c r="C122" s="48" t="s">
        <v>43</v>
      </c>
      <c r="D122" s="33" t="s">
        <v>61</v>
      </c>
      <c r="E122" s="37" t="s">
        <v>417</v>
      </c>
      <c r="F122" s="49" t="s">
        <v>418</v>
      </c>
      <c r="G122" s="33" t="s">
        <v>415</v>
      </c>
      <c r="H122" s="33" t="s">
        <v>47</v>
      </c>
      <c r="I122" s="37" t="s">
        <v>422</v>
      </c>
      <c r="J122" s="33">
        <v>6</v>
      </c>
      <c r="K122" s="39">
        <v>3.5000000000000003E-2</v>
      </c>
      <c r="L122" s="33">
        <v>2</v>
      </c>
      <c r="M122" s="40">
        <v>45408</v>
      </c>
      <c r="N122" s="41">
        <f t="shared" si="13"/>
        <v>5.9890410958904106</v>
      </c>
      <c r="O122" s="45">
        <v>47594</v>
      </c>
      <c r="P122" s="42">
        <v>90.214799999999997</v>
      </c>
      <c r="Q122" s="53">
        <v>5.4399999999999997E-2</v>
      </c>
      <c r="R122" s="44">
        <v>1940000</v>
      </c>
      <c r="S122" s="43">
        <f t="shared" si="29"/>
        <v>1750167.12</v>
      </c>
      <c r="T122" s="44">
        <v>1697.5</v>
      </c>
      <c r="U122" s="43">
        <f t="shared" si="30"/>
        <v>1751864.62</v>
      </c>
      <c r="V122" s="45">
        <f>M122+2</f>
        <v>45410</v>
      </c>
      <c r="W122" s="46">
        <f t="shared" si="27"/>
        <v>12</v>
      </c>
      <c r="X122" s="46">
        <f t="shared" si="16"/>
        <v>407400</v>
      </c>
      <c r="Y122" s="46">
        <f t="shared" si="17"/>
        <v>2347400</v>
      </c>
      <c r="Z122" s="47" t="str">
        <f t="shared" si="18"/>
        <v>5~6%</v>
      </c>
      <c r="AA122" s="47" t="str">
        <f t="shared" si="19"/>
        <v>5~7</v>
      </c>
      <c r="AB122" s="46">
        <f t="shared" si="20"/>
        <v>10491989.203616438</v>
      </c>
    </row>
    <row r="123" spans="1:28" s="33" customFormat="1">
      <c r="A123" s="33" t="s">
        <v>423</v>
      </c>
      <c r="B123" s="33" t="s">
        <v>101</v>
      </c>
      <c r="C123" s="48" t="s">
        <v>43</v>
      </c>
      <c r="D123" s="33" t="s">
        <v>61</v>
      </c>
      <c r="E123" s="37" t="s">
        <v>424</v>
      </c>
      <c r="F123" s="49" t="s">
        <v>425</v>
      </c>
      <c r="G123" s="33" t="s">
        <v>83</v>
      </c>
      <c r="H123" s="33" t="s">
        <v>47</v>
      </c>
      <c r="I123" s="37" t="s">
        <v>426</v>
      </c>
      <c r="J123" s="33">
        <v>5</v>
      </c>
      <c r="K123" s="39">
        <v>4.2999999999999997E-2</v>
      </c>
      <c r="L123" s="33">
        <v>2</v>
      </c>
      <c r="M123" s="40">
        <v>45071</v>
      </c>
      <c r="N123" s="41">
        <f t="shared" si="13"/>
        <v>6.9835616438356167</v>
      </c>
      <c r="O123" s="45">
        <v>47620</v>
      </c>
      <c r="P123" s="42">
        <v>99.1</v>
      </c>
      <c r="Q123" s="53">
        <v>4.4499999999999998E-2</v>
      </c>
      <c r="R123" s="44">
        <v>2000000</v>
      </c>
      <c r="S123" s="43">
        <f t="shared" si="29"/>
        <v>1982000</v>
      </c>
      <c r="T123" s="44">
        <v>1911.11</v>
      </c>
      <c r="U123" s="43">
        <f t="shared" si="30"/>
        <v>1983911.11</v>
      </c>
      <c r="V123" s="45">
        <f>M123+2</f>
        <v>45073</v>
      </c>
      <c r="W123" s="46">
        <f t="shared" si="27"/>
        <v>14</v>
      </c>
      <c r="X123" s="46">
        <f t="shared" si="16"/>
        <v>602000</v>
      </c>
      <c r="Y123" s="46">
        <f t="shared" si="17"/>
        <v>2602000</v>
      </c>
      <c r="Z123" s="47" t="str">
        <f t="shared" si="18"/>
        <v>4~5%</v>
      </c>
      <c r="AA123" s="47" t="str">
        <f t="shared" si="19"/>
        <v>5~7</v>
      </c>
      <c r="AB123" s="46">
        <f t="shared" si="20"/>
        <v>13854765.532575345</v>
      </c>
    </row>
    <row r="124" spans="1:28" s="33" customFormat="1">
      <c r="A124" s="33" t="s">
        <v>427</v>
      </c>
      <c r="B124" s="33" t="s">
        <v>428</v>
      </c>
      <c r="C124" s="48" t="s">
        <v>35</v>
      </c>
      <c r="D124" s="33" t="s">
        <v>338</v>
      </c>
      <c r="E124" s="37" t="s">
        <v>429</v>
      </c>
      <c r="F124" s="54" t="s">
        <v>430</v>
      </c>
      <c r="G124" s="33" t="s">
        <v>39</v>
      </c>
      <c r="H124" s="33" t="s">
        <v>227</v>
      </c>
      <c r="I124" s="55" t="s">
        <v>431</v>
      </c>
      <c r="J124" s="33">
        <v>8</v>
      </c>
      <c r="K124" s="39">
        <v>5.3999999999999999E-2</v>
      </c>
      <c r="L124" s="33">
        <v>2</v>
      </c>
      <c r="M124" s="40">
        <v>45884</v>
      </c>
      <c r="N124" s="41">
        <f t="shared" si="13"/>
        <v>4.7616438356164386</v>
      </c>
      <c r="O124" s="45">
        <v>47622</v>
      </c>
      <c r="P124" s="42">
        <v>102.7</v>
      </c>
      <c r="Q124" s="53">
        <v>4.7559999999999998E-2</v>
      </c>
      <c r="R124" s="44">
        <v>960000</v>
      </c>
      <c r="S124" s="43">
        <f t="shared" si="29"/>
        <v>985920</v>
      </c>
      <c r="T124" s="44">
        <v>12816</v>
      </c>
      <c r="U124" s="43">
        <f t="shared" si="30"/>
        <v>998736</v>
      </c>
      <c r="V124" s="45">
        <v>45887</v>
      </c>
      <c r="W124" s="46">
        <f t="shared" si="27"/>
        <v>10</v>
      </c>
      <c r="X124" s="46">
        <f t="shared" si="16"/>
        <v>259200</v>
      </c>
      <c r="Y124" s="46">
        <f t="shared" si="17"/>
        <v>1219200</v>
      </c>
      <c r="Z124" s="47" t="str">
        <f t="shared" si="18"/>
        <v>4~5%</v>
      </c>
      <c r="AA124" s="47" t="str">
        <f t="shared" si="19"/>
        <v>3~5</v>
      </c>
      <c r="AB124" s="46">
        <f t="shared" si="20"/>
        <v>4755625.117808219</v>
      </c>
    </row>
    <row r="125" spans="1:28" s="33" customFormat="1">
      <c r="A125" s="33" t="s">
        <v>427</v>
      </c>
      <c r="B125" s="33" t="s">
        <v>34</v>
      </c>
      <c r="C125" s="48" t="s">
        <v>35</v>
      </c>
      <c r="D125" s="33" t="s">
        <v>338</v>
      </c>
      <c r="E125" s="37" t="s">
        <v>429</v>
      </c>
      <c r="F125" s="54" t="s">
        <v>430</v>
      </c>
      <c r="G125" s="33" t="s">
        <v>39</v>
      </c>
      <c r="H125" s="33" t="s">
        <v>227</v>
      </c>
      <c r="I125" s="55" t="s">
        <v>431</v>
      </c>
      <c r="J125" s="33">
        <v>8</v>
      </c>
      <c r="K125" s="39">
        <v>5.3999999999999999E-2</v>
      </c>
      <c r="L125" s="33">
        <v>2</v>
      </c>
      <c r="M125" s="40">
        <v>45884</v>
      </c>
      <c r="N125" s="41">
        <f t="shared" si="13"/>
        <v>4.7616438356164386</v>
      </c>
      <c r="O125" s="45">
        <v>47622</v>
      </c>
      <c r="P125" s="42">
        <v>102.7</v>
      </c>
      <c r="Q125" s="53">
        <v>4.7559999999999998E-2</v>
      </c>
      <c r="R125" s="44">
        <v>4460000</v>
      </c>
      <c r="S125" s="43">
        <f t="shared" si="29"/>
        <v>4580420</v>
      </c>
      <c r="T125" s="44">
        <v>60879</v>
      </c>
      <c r="U125" s="43">
        <f t="shared" si="30"/>
        <v>4641299</v>
      </c>
      <c r="V125" s="45">
        <v>45889</v>
      </c>
      <c r="W125" s="46">
        <f t="shared" si="27"/>
        <v>10</v>
      </c>
      <c r="X125" s="46">
        <f t="shared" si="16"/>
        <v>1204200</v>
      </c>
      <c r="Y125" s="46">
        <f t="shared" si="17"/>
        <v>5664200</v>
      </c>
      <c r="Z125" s="47" t="str">
        <f t="shared" si="18"/>
        <v>4~5%</v>
      </c>
      <c r="AA125" s="47" t="str">
        <f t="shared" si="19"/>
        <v>3~5</v>
      </c>
      <c r="AB125" s="46">
        <f t="shared" si="20"/>
        <v>22100212.772602741</v>
      </c>
    </row>
    <row r="126" spans="1:28" s="33" customFormat="1">
      <c r="A126" s="33" t="s">
        <v>427</v>
      </c>
      <c r="B126" s="33" t="s">
        <v>428</v>
      </c>
      <c r="C126" s="48" t="s">
        <v>35</v>
      </c>
      <c r="D126" s="33" t="s">
        <v>338</v>
      </c>
      <c r="E126" s="37" t="s">
        <v>429</v>
      </c>
      <c r="F126" s="54" t="s">
        <v>430</v>
      </c>
      <c r="G126" s="33" t="s">
        <v>39</v>
      </c>
      <c r="H126" s="33" t="s">
        <v>227</v>
      </c>
      <c r="I126" s="55" t="s">
        <v>431</v>
      </c>
      <c r="J126" s="33">
        <v>8</v>
      </c>
      <c r="K126" s="39">
        <v>5.3999999999999999E-2</v>
      </c>
      <c r="L126" s="33">
        <v>2</v>
      </c>
      <c r="M126" s="40">
        <v>45881</v>
      </c>
      <c r="N126" s="41">
        <f t="shared" si="13"/>
        <v>4.7698630136986298</v>
      </c>
      <c r="O126" s="45">
        <v>47622</v>
      </c>
      <c r="P126" s="42">
        <v>102.274</v>
      </c>
      <c r="Q126" s="53">
        <v>4.8599999999999997E-2</v>
      </c>
      <c r="R126" s="44">
        <v>1930000</v>
      </c>
      <c r="S126" s="43">
        <f t="shared" si="29"/>
        <v>1973888.2</v>
      </c>
      <c r="T126" s="44">
        <v>24607.5</v>
      </c>
      <c r="U126" s="43">
        <f t="shared" si="30"/>
        <v>1998495.7</v>
      </c>
      <c r="V126" s="45">
        <v>45883</v>
      </c>
      <c r="W126" s="46">
        <f t="shared" si="27"/>
        <v>10</v>
      </c>
      <c r="X126" s="46">
        <f t="shared" si="16"/>
        <v>521100</v>
      </c>
      <c r="Y126" s="46">
        <f t="shared" si="17"/>
        <v>2451100</v>
      </c>
      <c r="Z126" s="47" t="str">
        <f t="shared" si="18"/>
        <v>4~5%</v>
      </c>
      <c r="AA126" s="47" t="str">
        <f t="shared" si="19"/>
        <v>3~5</v>
      </c>
      <c r="AB126" s="46">
        <f t="shared" si="20"/>
        <v>9532550.7224657517</v>
      </c>
    </row>
    <row r="127" spans="1:28" s="33" customFormat="1">
      <c r="A127" s="33" t="s">
        <v>432</v>
      </c>
      <c r="B127" s="33" t="s">
        <v>77</v>
      </c>
      <c r="C127" s="33" t="s">
        <v>60</v>
      </c>
      <c r="D127" s="36" t="s">
        <v>61</v>
      </c>
      <c r="E127" s="37" t="s">
        <v>433</v>
      </c>
      <c r="F127" s="37" t="s">
        <v>82</v>
      </c>
      <c r="G127" s="33" t="s">
        <v>83</v>
      </c>
      <c r="H127" s="38" t="s">
        <v>40</v>
      </c>
      <c r="I127" s="37" t="s">
        <v>434</v>
      </c>
      <c r="J127" s="33">
        <v>5</v>
      </c>
      <c r="K127" s="39">
        <v>4.65E-2</v>
      </c>
      <c r="L127" s="33">
        <v>2</v>
      </c>
      <c r="M127" s="40">
        <v>45141</v>
      </c>
      <c r="N127" s="41">
        <f t="shared" si="13"/>
        <v>6.7972602739726025</v>
      </c>
      <c r="O127" s="45">
        <v>47622</v>
      </c>
      <c r="P127" s="42">
        <v>100.03</v>
      </c>
      <c r="Q127" s="53">
        <v>4.6399999999999997E-2</v>
      </c>
      <c r="R127" s="44">
        <v>7500000</v>
      </c>
      <c r="S127" s="43">
        <f t="shared" si="29"/>
        <v>7502250</v>
      </c>
      <c r="T127" s="44">
        <v>1277.78</v>
      </c>
      <c r="U127" s="43">
        <f t="shared" si="30"/>
        <v>7503527.7800000003</v>
      </c>
      <c r="V127" s="45">
        <f>M127+2</f>
        <v>45143</v>
      </c>
      <c r="W127" s="46">
        <v>14</v>
      </c>
      <c r="X127" s="46">
        <f t="shared" si="16"/>
        <v>2441250</v>
      </c>
      <c r="Y127" s="46">
        <f t="shared" si="17"/>
        <v>9941250</v>
      </c>
      <c r="Z127" s="47" t="str">
        <f t="shared" si="18"/>
        <v>4~5%</v>
      </c>
      <c r="AA127" s="47" t="str">
        <f t="shared" si="19"/>
        <v>5~7</v>
      </c>
      <c r="AB127" s="46">
        <f t="shared" si="20"/>
        <v>51003431.293643832</v>
      </c>
    </row>
    <row r="128" spans="1:28" s="33" customFormat="1">
      <c r="A128" s="33" t="s">
        <v>432</v>
      </c>
      <c r="B128" s="33" t="s">
        <v>101</v>
      </c>
      <c r="C128" s="33" t="s">
        <v>60</v>
      </c>
      <c r="D128" s="36" t="s">
        <v>61</v>
      </c>
      <c r="E128" s="37" t="s">
        <v>81</v>
      </c>
      <c r="F128" s="37" t="s">
        <v>82</v>
      </c>
      <c r="G128" s="33" t="s">
        <v>83</v>
      </c>
      <c r="H128" s="38" t="s">
        <v>40</v>
      </c>
      <c r="I128" s="37" t="s">
        <v>435</v>
      </c>
      <c r="J128" s="33">
        <v>5</v>
      </c>
      <c r="K128" s="39">
        <v>4.65E-2</v>
      </c>
      <c r="L128" s="33">
        <v>2</v>
      </c>
      <c r="M128" s="40">
        <v>45071</v>
      </c>
      <c r="N128" s="41">
        <f t="shared" si="13"/>
        <v>6.9890410958904106</v>
      </c>
      <c r="O128" s="45">
        <v>47622</v>
      </c>
      <c r="P128" s="42">
        <v>100.28999999999999</v>
      </c>
      <c r="Q128" s="53">
        <v>4.5999999999999999E-2</v>
      </c>
      <c r="R128" s="44">
        <v>3000000</v>
      </c>
      <c r="S128" s="43">
        <f t="shared" si="29"/>
        <v>3008700</v>
      </c>
      <c r="T128" s="44">
        <v>2325</v>
      </c>
      <c r="U128" s="43">
        <f t="shared" si="30"/>
        <v>3011025</v>
      </c>
      <c r="V128" s="45">
        <f>M128+2</f>
        <v>45073</v>
      </c>
      <c r="W128" s="46">
        <f t="shared" ref="W128:W191" si="31">_xlfn.CEILING.MATH(N128*L128)</f>
        <v>14</v>
      </c>
      <c r="X128" s="46">
        <f t="shared" si="16"/>
        <v>976500</v>
      </c>
      <c r="Y128" s="46">
        <f t="shared" si="17"/>
        <v>3976500</v>
      </c>
      <c r="Z128" s="47" t="str">
        <f t="shared" si="18"/>
        <v>4~5%</v>
      </c>
      <c r="AA128" s="47" t="str">
        <f t="shared" si="19"/>
        <v>5~7</v>
      </c>
      <c r="AB128" s="46">
        <f t="shared" si="20"/>
        <v>21044177.465753425</v>
      </c>
    </row>
    <row r="129" spans="1:28" s="33" customFormat="1">
      <c r="A129" s="33" t="s">
        <v>436</v>
      </c>
      <c r="B129" s="33" t="s">
        <v>91</v>
      </c>
      <c r="C129" s="48" t="s">
        <v>43</v>
      </c>
      <c r="D129" s="36" t="s">
        <v>61</v>
      </c>
      <c r="E129" s="37" t="s">
        <v>437</v>
      </c>
      <c r="F129" s="37" t="s">
        <v>438</v>
      </c>
      <c r="G129" s="33" t="s">
        <v>64</v>
      </c>
      <c r="H129" s="33" t="s">
        <v>347</v>
      </c>
      <c r="I129" s="37" t="s">
        <v>439</v>
      </c>
      <c r="J129" s="69">
        <v>4</v>
      </c>
      <c r="K129" s="39">
        <v>2.2749999999999999E-2</v>
      </c>
      <c r="L129" s="33">
        <v>2</v>
      </c>
      <c r="M129" s="45">
        <v>45667</v>
      </c>
      <c r="N129" s="41">
        <f t="shared" si="13"/>
        <v>5.3643835616438356</v>
      </c>
      <c r="O129" s="45">
        <v>47625</v>
      </c>
      <c r="P129" s="42">
        <v>89.37</v>
      </c>
      <c r="Q129" s="53">
        <v>4.6377000000000002E-2</v>
      </c>
      <c r="R129" s="44">
        <v>2500000</v>
      </c>
      <c r="S129" s="46">
        <f t="shared" si="29"/>
        <v>2234250</v>
      </c>
      <c r="T129" s="70">
        <v>8411.4599999999991</v>
      </c>
      <c r="U129" s="46">
        <f t="shared" si="30"/>
        <v>2242661.46</v>
      </c>
      <c r="V129" s="45">
        <v>45670</v>
      </c>
      <c r="W129" s="46">
        <f t="shared" si="31"/>
        <v>11</v>
      </c>
      <c r="X129" s="46">
        <f t="shared" si="16"/>
        <v>312812.5</v>
      </c>
      <c r="Y129" s="46">
        <f t="shared" si="17"/>
        <v>2812812.5</v>
      </c>
      <c r="Z129" s="47" t="str">
        <f t="shared" si="18"/>
        <v>4~5%</v>
      </c>
      <c r="AA129" s="47" t="str">
        <f t="shared" si="19"/>
        <v>5~7</v>
      </c>
      <c r="AB129" s="46">
        <f t="shared" si="20"/>
        <v>12030496.270356163</v>
      </c>
    </row>
    <row r="130" spans="1:28" s="33" customFormat="1">
      <c r="A130" s="33" t="s">
        <v>440</v>
      </c>
      <c r="B130" s="33" t="s">
        <v>54</v>
      </c>
      <c r="C130" s="33" t="s">
        <v>35</v>
      </c>
      <c r="D130" s="33" t="s">
        <v>61</v>
      </c>
      <c r="E130" s="37" t="s">
        <v>441</v>
      </c>
      <c r="F130" s="49" t="s">
        <v>442</v>
      </c>
      <c r="G130" s="33" t="s">
        <v>39</v>
      </c>
      <c r="H130" s="33" t="s">
        <v>47</v>
      </c>
      <c r="I130" s="37" t="s">
        <v>443</v>
      </c>
      <c r="J130" s="33">
        <v>7</v>
      </c>
      <c r="K130" s="39">
        <v>2.3E-2</v>
      </c>
      <c r="L130" s="33">
        <v>2</v>
      </c>
      <c r="M130" s="40">
        <v>45371</v>
      </c>
      <c r="N130" s="41">
        <f t="shared" ref="N130:N178" si="32">(O130-M130)/365</f>
        <v>6.2027397260273975</v>
      </c>
      <c r="O130" s="45">
        <v>47635</v>
      </c>
      <c r="P130" s="42">
        <v>86.478999999999999</v>
      </c>
      <c r="Q130" s="53">
        <v>4.8500000000000001E-2</v>
      </c>
      <c r="R130" s="44">
        <v>2500000</v>
      </c>
      <c r="S130" s="43">
        <f t="shared" si="29"/>
        <v>2161975</v>
      </c>
      <c r="T130" s="44">
        <v>17409.72</v>
      </c>
      <c r="U130" s="43">
        <f t="shared" si="30"/>
        <v>2179384.7200000002</v>
      </c>
      <c r="V130" s="45">
        <f>M130+2</f>
        <v>45373</v>
      </c>
      <c r="W130" s="46">
        <f t="shared" si="31"/>
        <v>13</v>
      </c>
      <c r="X130" s="46">
        <f t="shared" ref="X130:X193" si="33">R130*K130/L130*W130</f>
        <v>373750</v>
      </c>
      <c r="Y130" s="46">
        <f t="shared" ref="Y130:Y193" si="34">R130+X130</f>
        <v>2873750</v>
      </c>
      <c r="Z130" s="47" t="str">
        <f t="shared" ref="Z130:Z193" si="35">IF(Q130&lt;=3%, "1~3%", IF(Q130&lt;=4%, "3~4%", IF(Q130&lt;=5%, "4~5%", "5~6%")))</f>
        <v>4~5%</v>
      </c>
      <c r="AA130" s="47" t="str">
        <f t="shared" ref="AA130:AA193" si="36">IF(N130&lt;=3,"1~3",IF(N130&lt;=5,"3~5",IF(N130&lt;=7,"5~7","7~10")))</f>
        <v>5~7</v>
      </c>
      <c r="AB130" s="46">
        <f t="shared" ref="AB130:AB193" si="37">U130*N130</f>
        <v>13518156.181041097</v>
      </c>
    </row>
    <row r="131" spans="1:28" s="33" customFormat="1">
      <c r="A131" s="33" t="s">
        <v>440</v>
      </c>
      <c r="B131" s="33" t="s">
        <v>223</v>
      </c>
      <c r="C131" s="33" t="s">
        <v>35</v>
      </c>
      <c r="D131" s="36" t="s">
        <v>61</v>
      </c>
      <c r="E131" s="37" t="s">
        <v>444</v>
      </c>
      <c r="F131" s="37" t="s">
        <v>445</v>
      </c>
      <c r="G131" s="33" t="s">
        <v>39</v>
      </c>
      <c r="H131" s="38" t="s">
        <v>40</v>
      </c>
      <c r="I131" s="37" t="s">
        <v>379</v>
      </c>
      <c r="J131" s="33">
        <v>7</v>
      </c>
      <c r="K131" s="39">
        <v>2.3E-2</v>
      </c>
      <c r="L131" s="33">
        <v>2</v>
      </c>
      <c r="M131" s="40">
        <v>45356</v>
      </c>
      <c r="N131" s="41">
        <f t="shared" si="32"/>
        <v>6.2438356164383562</v>
      </c>
      <c r="O131" s="45">
        <v>47635</v>
      </c>
      <c r="P131" s="42">
        <v>86.792000000000002</v>
      </c>
      <c r="Q131" s="53">
        <v>4.8300000000000003E-2</v>
      </c>
      <c r="R131" s="44">
        <v>2000000</v>
      </c>
      <c r="S131" s="43">
        <f t="shared" si="29"/>
        <v>1735840</v>
      </c>
      <c r="T131" s="44">
        <v>12011.11</v>
      </c>
      <c r="U131" s="43">
        <f t="shared" si="30"/>
        <v>1747851.11</v>
      </c>
      <c r="V131" s="45">
        <f>M131+2</f>
        <v>45358</v>
      </c>
      <c r="W131" s="46">
        <f t="shared" si="31"/>
        <v>13</v>
      </c>
      <c r="X131" s="46">
        <f t="shared" si="33"/>
        <v>299000</v>
      </c>
      <c r="Y131" s="46">
        <f t="shared" si="34"/>
        <v>2299000</v>
      </c>
      <c r="Z131" s="47" t="str">
        <f t="shared" si="35"/>
        <v>4~5%</v>
      </c>
      <c r="AA131" s="47" t="str">
        <f t="shared" si="36"/>
        <v>5~7</v>
      </c>
      <c r="AB131" s="46">
        <f t="shared" si="37"/>
        <v>10913295.012849316</v>
      </c>
    </row>
    <row r="132" spans="1:28" s="33" customFormat="1">
      <c r="A132" s="57" t="s">
        <v>446</v>
      </c>
      <c r="B132" s="57" t="s">
        <v>388</v>
      </c>
      <c r="C132" s="57" t="s">
        <v>60</v>
      </c>
      <c r="D132" s="33" t="s">
        <v>61</v>
      </c>
      <c r="E132" s="37" t="s">
        <v>447</v>
      </c>
      <c r="F132" s="54" t="s">
        <v>448</v>
      </c>
      <c r="G132" s="33" t="s">
        <v>216</v>
      </c>
      <c r="H132" s="38" t="s">
        <v>40</v>
      </c>
      <c r="I132" s="72" t="s">
        <v>449</v>
      </c>
      <c r="J132" s="33">
        <v>8</v>
      </c>
      <c r="K132" s="73">
        <v>8.7499999999999994E-2</v>
      </c>
      <c r="L132" s="33">
        <v>2</v>
      </c>
      <c r="M132" s="45">
        <v>45490</v>
      </c>
      <c r="N132" s="41">
        <f t="shared" si="32"/>
        <v>5.9150684931506845</v>
      </c>
      <c r="O132" s="45">
        <v>47649</v>
      </c>
      <c r="P132" s="74">
        <v>118.9</v>
      </c>
      <c r="Q132" s="75">
        <v>5.0119999999999998E-2</v>
      </c>
      <c r="R132" s="64">
        <v>5340000</v>
      </c>
      <c r="S132" s="43">
        <f t="shared" si="29"/>
        <v>6349260</v>
      </c>
      <c r="T132" s="44">
        <v>42831.25</v>
      </c>
      <c r="U132" s="44">
        <v>6392091.25</v>
      </c>
      <c r="V132" s="45">
        <f>M132+2</f>
        <v>45492</v>
      </c>
      <c r="W132" s="46">
        <f t="shared" si="31"/>
        <v>12</v>
      </c>
      <c r="X132" s="46">
        <f t="shared" si="33"/>
        <v>2803499.9999999995</v>
      </c>
      <c r="Y132" s="46">
        <f t="shared" si="34"/>
        <v>8143500</v>
      </c>
      <c r="Z132" s="47" t="str">
        <f t="shared" si="35"/>
        <v>5~6%</v>
      </c>
      <c r="AA132" s="47" t="str">
        <f t="shared" si="36"/>
        <v>5~7</v>
      </c>
      <c r="AB132" s="46">
        <f t="shared" si="37"/>
        <v>37809657.558219172</v>
      </c>
    </row>
    <row r="133" spans="1:28" s="33" customFormat="1">
      <c r="A133" s="56" t="s">
        <v>450</v>
      </c>
      <c r="B133" s="56" t="s">
        <v>54</v>
      </c>
      <c r="C133" s="48" t="s">
        <v>43</v>
      </c>
      <c r="D133" s="36" t="s">
        <v>61</v>
      </c>
      <c r="E133" s="58" t="s">
        <v>451</v>
      </c>
      <c r="F133" s="54" t="s">
        <v>452</v>
      </c>
      <c r="G133" s="56" t="s">
        <v>453</v>
      </c>
      <c r="H133" s="56" t="s">
        <v>236</v>
      </c>
      <c r="I133" s="54" t="s">
        <v>454</v>
      </c>
      <c r="J133" s="56">
        <v>5</v>
      </c>
      <c r="K133" s="59">
        <v>1.4500000000000001E-2</v>
      </c>
      <c r="L133" s="33">
        <v>2</v>
      </c>
      <c r="M133" s="45">
        <v>45656</v>
      </c>
      <c r="N133" s="60">
        <f t="shared" si="32"/>
        <v>5.484931506849315</v>
      </c>
      <c r="O133" s="61">
        <v>47658</v>
      </c>
      <c r="P133" s="62">
        <v>84.5</v>
      </c>
      <c r="Q133" s="63">
        <v>4.6915999999999999E-2</v>
      </c>
      <c r="R133" s="64">
        <v>4500000</v>
      </c>
      <c r="S133" s="43">
        <v>3802500</v>
      </c>
      <c r="T133" s="65">
        <v>1450</v>
      </c>
      <c r="U133" s="43">
        <v>3803950</v>
      </c>
      <c r="V133" s="66">
        <f>M133+3</f>
        <v>45659</v>
      </c>
      <c r="W133" s="46">
        <f t="shared" si="31"/>
        <v>11</v>
      </c>
      <c r="X133" s="46">
        <f t="shared" si="33"/>
        <v>358875</v>
      </c>
      <c r="Y133" s="46">
        <f t="shared" si="34"/>
        <v>4858875</v>
      </c>
      <c r="Z133" s="47" t="str">
        <f t="shared" si="35"/>
        <v>4~5%</v>
      </c>
      <c r="AA133" s="47" t="str">
        <f t="shared" si="36"/>
        <v>5~7</v>
      </c>
      <c r="AB133" s="46">
        <f t="shared" si="37"/>
        <v>20864405.205479451</v>
      </c>
    </row>
    <row r="134" spans="1:28" s="33" customFormat="1">
      <c r="A134" s="33" t="s">
        <v>455</v>
      </c>
      <c r="B134" s="33" t="s">
        <v>34</v>
      </c>
      <c r="C134" s="48" t="s">
        <v>43</v>
      </c>
      <c r="D134" s="33" t="s">
        <v>338</v>
      </c>
      <c r="E134" s="37" t="s">
        <v>456</v>
      </c>
      <c r="F134" s="49" t="s">
        <v>457</v>
      </c>
      <c r="G134" s="33" t="s">
        <v>104</v>
      </c>
      <c r="H134" s="33" t="s">
        <v>227</v>
      </c>
      <c r="I134" s="37" t="s">
        <v>458</v>
      </c>
      <c r="J134" s="33">
        <v>7</v>
      </c>
      <c r="K134" s="39">
        <v>4.6879999999999998E-2</v>
      </c>
      <c r="L134" s="33">
        <v>2</v>
      </c>
      <c r="M134" s="40">
        <v>45945</v>
      </c>
      <c r="N134" s="41">
        <f t="shared" si="32"/>
        <v>4.7315068493150685</v>
      </c>
      <c r="O134" s="45">
        <v>47672</v>
      </c>
      <c r="P134" s="42">
        <v>101.824</v>
      </c>
      <c r="Q134" s="53">
        <v>4.2599999999999999E-2</v>
      </c>
      <c r="R134" s="44">
        <v>1010000</v>
      </c>
      <c r="S134" s="43">
        <f>R134*P134/100</f>
        <v>1028422.4</v>
      </c>
      <c r="T134" s="44">
        <v>13678.54</v>
      </c>
      <c r="U134" s="43">
        <f>S134+T134</f>
        <v>1042100.9400000001</v>
      </c>
      <c r="V134" s="45">
        <v>45946</v>
      </c>
      <c r="W134" s="46">
        <f t="shared" si="31"/>
        <v>10</v>
      </c>
      <c r="X134" s="46">
        <f t="shared" si="33"/>
        <v>236743.99999999997</v>
      </c>
      <c r="Y134" s="46">
        <f t="shared" si="34"/>
        <v>1246744</v>
      </c>
      <c r="Z134" s="47" t="str">
        <f t="shared" si="35"/>
        <v>4~5%</v>
      </c>
      <c r="AA134" s="47" t="str">
        <f t="shared" si="36"/>
        <v>3~5</v>
      </c>
      <c r="AB134" s="46">
        <f t="shared" si="37"/>
        <v>4930707.7352876719</v>
      </c>
    </row>
    <row r="135" spans="1:28" s="33" customFormat="1">
      <c r="A135" s="33" t="s">
        <v>459</v>
      </c>
      <c r="B135" s="33" t="s">
        <v>91</v>
      </c>
      <c r="C135" s="48" t="s">
        <v>43</v>
      </c>
      <c r="D135" s="36" t="s">
        <v>61</v>
      </c>
      <c r="E135" s="37" t="s">
        <v>460</v>
      </c>
      <c r="F135" s="37" t="s">
        <v>461</v>
      </c>
      <c r="G135" s="33" t="s">
        <v>64</v>
      </c>
      <c r="H135" s="33" t="s">
        <v>347</v>
      </c>
      <c r="I135" s="37" t="s">
        <v>462</v>
      </c>
      <c r="J135" s="33">
        <v>7</v>
      </c>
      <c r="K135" s="39">
        <v>3.6999999999999998E-2</v>
      </c>
      <c r="L135" s="69">
        <v>2</v>
      </c>
      <c r="M135" s="40">
        <v>45667</v>
      </c>
      <c r="N135" s="41">
        <f t="shared" si="32"/>
        <v>5.5123287671232877</v>
      </c>
      <c r="O135" s="45">
        <v>47679</v>
      </c>
      <c r="P135" s="42">
        <v>94.77</v>
      </c>
      <c r="Q135" s="53">
        <v>4.7919999999999997E-2</v>
      </c>
      <c r="R135" s="44">
        <v>2300000</v>
      </c>
      <c r="S135" s="43">
        <f>R135*P135/100</f>
        <v>2179710</v>
      </c>
      <c r="T135" s="70">
        <v>42077.22</v>
      </c>
      <c r="U135" s="46">
        <f>S135+T135</f>
        <v>2221787.2200000002</v>
      </c>
      <c r="V135" s="45">
        <v>45670</v>
      </c>
      <c r="W135" s="46">
        <f t="shared" si="31"/>
        <v>12</v>
      </c>
      <c r="X135" s="46">
        <f t="shared" si="33"/>
        <v>510600</v>
      </c>
      <c r="Y135" s="46">
        <f t="shared" si="34"/>
        <v>2810600</v>
      </c>
      <c r="Z135" s="46" t="str">
        <f t="shared" si="35"/>
        <v>4~5%</v>
      </c>
      <c r="AA135" s="57" t="str">
        <f t="shared" si="36"/>
        <v>5~7</v>
      </c>
      <c r="AB135" s="46">
        <f t="shared" si="37"/>
        <v>12247221.607232878</v>
      </c>
    </row>
    <row r="136" spans="1:28" s="33" customFormat="1">
      <c r="A136" s="33" t="s">
        <v>459</v>
      </c>
      <c r="B136" s="33" t="s">
        <v>223</v>
      </c>
      <c r="C136" s="48" t="s">
        <v>43</v>
      </c>
      <c r="D136" s="36" t="s">
        <v>61</v>
      </c>
      <c r="E136" s="37" t="s">
        <v>460</v>
      </c>
      <c r="F136" s="37" t="s">
        <v>461</v>
      </c>
      <c r="G136" s="33" t="s">
        <v>64</v>
      </c>
      <c r="H136" s="33" t="s">
        <v>347</v>
      </c>
      <c r="I136" s="37" t="s">
        <v>462</v>
      </c>
      <c r="J136" s="33">
        <v>7</v>
      </c>
      <c r="K136" s="39">
        <v>3.6999999999999998E-2</v>
      </c>
      <c r="L136" s="69">
        <v>2</v>
      </c>
      <c r="M136" s="40">
        <v>45667</v>
      </c>
      <c r="N136" s="41">
        <f t="shared" si="32"/>
        <v>5.5123287671232877</v>
      </c>
      <c r="O136" s="45">
        <v>47679</v>
      </c>
      <c r="P136" s="42">
        <v>94.5</v>
      </c>
      <c r="Q136" s="53">
        <v>4.8502000000000003E-2</v>
      </c>
      <c r="R136" s="44">
        <v>3000000</v>
      </c>
      <c r="S136" s="43">
        <f>R136*P136/100</f>
        <v>2835000</v>
      </c>
      <c r="T136" s="70">
        <v>54883.33</v>
      </c>
      <c r="U136" s="46">
        <f>S136+T136</f>
        <v>2889883.33</v>
      </c>
      <c r="V136" s="45">
        <v>45670</v>
      </c>
      <c r="W136" s="46">
        <f t="shared" si="31"/>
        <v>12</v>
      </c>
      <c r="X136" s="46">
        <f t="shared" si="33"/>
        <v>666000</v>
      </c>
      <c r="Y136" s="46">
        <f t="shared" si="34"/>
        <v>3666000</v>
      </c>
      <c r="Z136" s="46" t="str">
        <f t="shared" si="35"/>
        <v>4~5%</v>
      </c>
      <c r="AA136" s="57" t="str">
        <f t="shared" si="36"/>
        <v>5~7</v>
      </c>
      <c r="AB136" s="46">
        <f t="shared" si="37"/>
        <v>15929987.013589041</v>
      </c>
    </row>
    <row r="137" spans="1:28" s="33" customFormat="1">
      <c r="A137" s="33" t="s">
        <v>459</v>
      </c>
      <c r="B137" s="33" t="s">
        <v>77</v>
      </c>
      <c r="C137" s="48" t="s">
        <v>43</v>
      </c>
      <c r="D137" s="33" t="s">
        <v>309</v>
      </c>
      <c r="E137" s="37" t="s">
        <v>463</v>
      </c>
      <c r="F137" s="49" t="s">
        <v>461</v>
      </c>
      <c r="G137" s="33" t="s">
        <v>64</v>
      </c>
      <c r="H137" s="33" t="s">
        <v>47</v>
      </c>
      <c r="I137" s="37" t="s">
        <v>462</v>
      </c>
      <c r="J137" s="33">
        <v>7</v>
      </c>
      <c r="K137" s="39">
        <v>3.6999999999999998E-2</v>
      </c>
      <c r="L137" s="33">
        <v>2</v>
      </c>
      <c r="M137" s="40">
        <v>45664</v>
      </c>
      <c r="N137" s="41">
        <f t="shared" si="32"/>
        <v>5.5205479452054798</v>
      </c>
      <c r="O137" s="45">
        <v>47679</v>
      </c>
      <c r="P137" s="42">
        <v>94.55</v>
      </c>
      <c r="Q137" s="53">
        <v>4.8399999999999999E-2</v>
      </c>
      <c r="R137" s="44">
        <v>8000000</v>
      </c>
      <c r="S137" s="43">
        <f>R137*P137/100</f>
        <v>7564000</v>
      </c>
      <c r="T137" s="44">
        <v>142244.44</v>
      </c>
      <c r="U137" s="43">
        <f>S137+T137</f>
        <v>7706244.4400000004</v>
      </c>
      <c r="V137" s="45">
        <v>45665</v>
      </c>
      <c r="W137" s="46">
        <f t="shared" si="31"/>
        <v>12</v>
      </c>
      <c r="X137" s="46">
        <f t="shared" si="33"/>
        <v>1776000</v>
      </c>
      <c r="Y137" s="46">
        <f t="shared" si="34"/>
        <v>9776000</v>
      </c>
      <c r="Z137" s="47" t="str">
        <f t="shared" si="35"/>
        <v>4~5%</v>
      </c>
      <c r="AA137" s="47" t="str">
        <f t="shared" si="36"/>
        <v>5~7</v>
      </c>
      <c r="AB137" s="46">
        <f t="shared" si="37"/>
        <v>42542691.908493154</v>
      </c>
    </row>
    <row r="138" spans="1:28" s="33" customFormat="1">
      <c r="A138" s="56" t="s">
        <v>464</v>
      </c>
      <c r="B138" s="56" t="s">
        <v>54</v>
      </c>
      <c r="C138" s="48" t="s">
        <v>43</v>
      </c>
      <c r="D138" s="36" t="s">
        <v>61</v>
      </c>
      <c r="E138" s="58" t="s">
        <v>465</v>
      </c>
      <c r="F138" s="54" t="s">
        <v>466</v>
      </c>
      <c r="G138" s="56" t="s">
        <v>467</v>
      </c>
      <c r="H138" s="56" t="s">
        <v>236</v>
      </c>
      <c r="I138" s="54" t="s">
        <v>468</v>
      </c>
      <c r="J138" s="56">
        <v>7</v>
      </c>
      <c r="K138" s="59">
        <v>3.6999999999999998E-2</v>
      </c>
      <c r="L138" s="33">
        <v>2</v>
      </c>
      <c r="M138" s="45">
        <v>45656</v>
      </c>
      <c r="N138" s="60">
        <f t="shared" si="32"/>
        <v>5.5424657534246577</v>
      </c>
      <c r="O138" s="61">
        <v>47679</v>
      </c>
      <c r="P138" s="62">
        <v>94.8</v>
      </c>
      <c r="Q138" s="63">
        <v>4.7798E-2</v>
      </c>
      <c r="R138" s="64">
        <v>4000000</v>
      </c>
      <c r="S138" s="43">
        <v>3792000</v>
      </c>
      <c r="T138" s="65">
        <v>68655.56</v>
      </c>
      <c r="U138" s="43">
        <v>3860655.56</v>
      </c>
      <c r="V138" s="66">
        <f>M138+3</f>
        <v>45659</v>
      </c>
      <c r="W138" s="46">
        <f t="shared" si="31"/>
        <v>12</v>
      </c>
      <c r="X138" s="46">
        <f t="shared" si="33"/>
        <v>888000</v>
      </c>
      <c r="Y138" s="46">
        <f t="shared" si="34"/>
        <v>4888000</v>
      </c>
      <c r="Z138" s="47" t="str">
        <f t="shared" si="35"/>
        <v>4~5%</v>
      </c>
      <c r="AA138" s="47" t="str">
        <f t="shared" si="36"/>
        <v>5~7</v>
      </c>
      <c r="AB138" s="46">
        <f t="shared" si="37"/>
        <v>21397551.227068495</v>
      </c>
    </row>
    <row r="139" spans="1:28" s="33" customFormat="1">
      <c r="A139" s="56" t="s">
        <v>464</v>
      </c>
      <c r="B139" s="56" t="s">
        <v>101</v>
      </c>
      <c r="C139" s="48" t="s">
        <v>43</v>
      </c>
      <c r="D139" s="36" t="s">
        <v>61</v>
      </c>
      <c r="E139" s="58" t="s">
        <v>465</v>
      </c>
      <c r="F139" s="54" t="s">
        <v>466</v>
      </c>
      <c r="G139" s="56" t="s">
        <v>467</v>
      </c>
      <c r="H139" s="56" t="s">
        <v>236</v>
      </c>
      <c r="I139" s="54" t="s">
        <v>468</v>
      </c>
      <c r="J139" s="56">
        <v>7</v>
      </c>
      <c r="K139" s="59">
        <v>3.6999999999999998E-2</v>
      </c>
      <c r="L139" s="33">
        <v>2</v>
      </c>
      <c r="M139" s="45">
        <v>45656</v>
      </c>
      <c r="N139" s="60">
        <f t="shared" si="32"/>
        <v>5.5424657534246577</v>
      </c>
      <c r="O139" s="61">
        <v>47679</v>
      </c>
      <c r="P139" s="62">
        <v>94.8</v>
      </c>
      <c r="Q139" s="63">
        <v>4.7798E-2</v>
      </c>
      <c r="R139" s="64">
        <v>1500000</v>
      </c>
      <c r="S139" s="43">
        <f>R139*P139/100</f>
        <v>1422000</v>
      </c>
      <c r="T139" s="65">
        <v>25745.83</v>
      </c>
      <c r="U139" s="43">
        <f>S139+T139</f>
        <v>1447745.83</v>
      </c>
      <c r="V139" s="66">
        <f>M139+3</f>
        <v>45659</v>
      </c>
      <c r="W139" s="46">
        <f t="shared" si="31"/>
        <v>12</v>
      </c>
      <c r="X139" s="46">
        <f t="shared" si="33"/>
        <v>333000</v>
      </c>
      <c r="Y139" s="46">
        <f t="shared" si="34"/>
        <v>1833000</v>
      </c>
      <c r="Z139" s="47" t="str">
        <f t="shared" si="35"/>
        <v>4~5%</v>
      </c>
      <c r="AA139" s="47" t="str">
        <f t="shared" si="36"/>
        <v>5~7</v>
      </c>
      <c r="AB139" s="46">
        <f t="shared" si="37"/>
        <v>8024081.6824383568</v>
      </c>
    </row>
    <row r="140" spans="1:28" s="33" customFormat="1">
      <c r="A140" s="33" t="s">
        <v>469</v>
      </c>
      <c r="B140" s="33" t="s">
        <v>54</v>
      </c>
      <c r="C140" s="33" t="s">
        <v>60</v>
      </c>
      <c r="D140" s="36" t="s">
        <v>61</v>
      </c>
      <c r="E140" s="37" t="s">
        <v>470</v>
      </c>
      <c r="F140" s="37" t="s">
        <v>471</v>
      </c>
      <c r="G140" s="33" t="s">
        <v>346</v>
      </c>
      <c r="H140" s="38" t="s">
        <v>40</v>
      </c>
      <c r="I140" s="37" t="s">
        <v>472</v>
      </c>
      <c r="J140" s="33">
        <v>6</v>
      </c>
      <c r="K140" s="39">
        <v>5.5E-2</v>
      </c>
      <c r="L140" s="33">
        <v>2</v>
      </c>
      <c r="M140" s="40">
        <v>45371</v>
      </c>
      <c r="N140" s="41">
        <f t="shared" si="32"/>
        <v>6.4712328767123291</v>
      </c>
      <c r="O140" s="45">
        <v>47733</v>
      </c>
      <c r="P140" s="42">
        <v>101.79499999999999</v>
      </c>
      <c r="Q140" s="53">
        <v>5.1727000000000002E-2</v>
      </c>
      <c r="R140" s="44">
        <v>4000000</v>
      </c>
      <c r="S140" s="43">
        <f>R140*P140/100</f>
        <v>4071799.9999999995</v>
      </c>
      <c r="T140" s="44">
        <v>7944.44</v>
      </c>
      <c r="U140" s="43">
        <f>S140+T140</f>
        <v>4079744.4399999995</v>
      </c>
      <c r="V140" s="45">
        <f>M140+2</f>
        <v>45373</v>
      </c>
      <c r="W140" s="46">
        <f t="shared" si="31"/>
        <v>13</v>
      </c>
      <c r="X140" s="46">
        <f t="shared" si="33"/>
        <v>1430000</v>
      </c>
      <c r="Y140" s="46">
        <f t="shared" si="34"/>
        <v>5430000</v>
      </c>
      <c r="Z140" s="47" t="str">
        <f t="shared" si="35"/>
        <v>5~6%</v>
      </c>
      <c r="AA140" s="47" t="str">
        <f t="shared" si="36"/>
        <v>5~7</v>
      </c>
      <c r="AB140" s="46">
        <f t="shared" si="37"/>
        <v>26400976.348712325</v>
      </c>
    </row>
    <row r="141" spans="1:28" s="33" customFormat="1">
      <c r="A141" s="33" t="s">
        <v>473</v>
      </c>
      <c r="B141" s="33" t="s">
        <v>54</v>
      </c>
      <c r="C141" s="48" t="s">
        <v>67</v>
      </c>
      <c r="D141" s="33" t="s">
        <v>61</v>
      </c>
      <c r="E141" s="37" t="s">
        <v>474</v>
      </c>
      <c r="F141" s="49" t="s">
        <v>475</v>
      </c>
      <c r="G141" s="33" t="s">
        <v>476</v>
      </c>
      <c r="H141" s="33" t="s">
        <v>47</v>
      </c>
      <c r="I141" s="37" t="s">
        <v>477</v>
      </c>
      <c r="J141" s="33">
        <v>7</v>
      </c>
      <c r="K141" s="39">
        <v>5.2499999999999998E-2</v>
      </c>
      <c r="L141" s="33">
        <v>2</v>
      </c>
      <c r="M141" s="40">
        <v>45384</v>
      </c>
      <c r="N141" s="41">
        <f t="shared" si="32"/>
        <v>6.4383561643835616</v>
      </c>
      <c r="O141" s="45">
        <v>47734</v>
      </c>
      <c r="P141" s="42">
        <v>101.96300000000001</v>
      </c>
      <c r="Q141" s="53">
        <v>4.9000000000000002E-2</v>
      </c>
      <c r="R141" s="44">
        <v>5500000</v>
      </c>
      <c r="S141" s="43">
        <f>R141*P141/100</f>
        <v>5607965</v>
      </c>
      <c r="T141" s="44">
        <v>19250</v>
      </c>
      <c r="U141" s="43">
        <f>S141+T141</f>
        <v>5627215</v>
      </c>
      <c r="V141" s="45">
        <f>M141+2</f>
        <v>45386</v>
      </c>
      <c r="W141" s="46">
        <f t="shared" si="31"/>
        <v>13</v>
      </c>
      <c r="X141" s="46">
        <f t="shared" si="33"/>
        <v>1876875</v>
      </c>
      <c r="Y141" s="46">
        <f t="shared" si="34"/>
        <v>7376875</v>
      </c>
      <c r="Z141" s="47" t="str">
        <f t="shared" si="35"/>
        <v>4~5%</v>
      </c>
      <c r="AA141" s="47" t="str">
        <f t="shared" si="36"/>
        <v>5~7</v>
      </c>
      <c r="AB141" s="46">
        <f t="shared" si="37"/>
        <v>36230014.383561641</v>
      </c>
    </row>
    <row r="142" spans="1:28" s="33" customFormat="1">
      <c r="A142" s="33" t="s">
        <v>478</v>
      </c>
      <c r="B142" s="33" t="s">
        <v>34</v>
      </c>
      <c r="C142" s="48" t="s">
        <v>43</v>
      </c>
      <c r="D142" s="33" t="s">
        <v>338</v>
      </c>
      <c r="E142" s="37" t="s">
        <v>479</v>
      </c>
      <c r="F142" s="49" t="s">
        <v>480</v>
      </c>
      <c r="G142" s="33" t="s">
        <v>216</v>
      </c>
      <c r="H142" s="33" t="s">
        <v>227</v>
      </c>
      <c r="I142" s="37" t="s">
        <v>481</v>
      </c>
      <c r="J142" s="33">
        <v>8</v>
      </c>
      <c r="K142" s="39">
        <v>1.6799999999999999E-2</v>
      </c>
      <c r="L142" s="33">
        <v>2</v>
      </c>
      <c r="M142" s="40" t="s">
        <v>482</v>
      </c>
      <c r="N142" s="41">
        <f t="shared" si="32"/>
        <v>4.9315068493150687</v>
      </c>
      <c r="O142" s="45">
        <v>47786</v>
      </c>
      <c r="P142" s="42">
        <v>88.7</v>
      </c>
      <c r="Q142" s="53">
        <v>4.2450000000000002E-2</v>
      </c>
      <c r="R142" s="44">
        <v>1396000</v>
      </c>
      <c r="S142" s="43">
        <f>R142*P142/100</f>
        <v>1238252</v>
      </c>
      <c r="T142" s="44">
        <v>1693.81</v>
      </c>
      <c r="U142" s="43">
        <f>S142+T142</f>
        <v>1239945.81</v>
      </c>
      <c r="V142" s="45">
        <v>45987</v>
      </c>
      <c r="W142" s="46">
        <f t="shared" si="31"/>
        <v>10</v>
      </c>
      <c r="X142" s="46">
        <f t="shared" si="33"/>
        <v>117264</v>
      </c>
      <c r="Y142" s="46">
        <f t="shared" si="34"/>
        <v>1513264</v>
      </c>
      <c r="Z142" s="47" t="str">
        <f t="shared" si="35"/>
        <v>4~5%</v>
      </c>
      <c r="AA142" s="47" t="str">
        <f t="shared" si="36"/>
        <v>3~5</v>
      </c>
      <c r="AB142" s="46">
        <f t="shared" si="37"/>
        <v>6114801.2547945213</v>
      </c>
    </row>
    <row r="143" spans="1:28" s="33" customFormat="1">
      <c r="A143" s="33" t="s">
        <v>483</v>
      </c>
      <c r="B143" s="33" t="s">
        <v>54</v>
      </c>
      <c r="C143" s="33" t="s">
        <v>210</v>
      </c>
      <c r="D143" s="36" t="s">
        <v>61</v>
      </c>
      <c r="E143" s="37" t="s">
        <v>73</v>
      </c>
      <c r="F143" s="37" t="s">
        <v>211</v>
      </c>
      <c r="G143" s="33" t="s">
        <v>75</v>
      </c>
      <c r="H143" s="38" t="s">
        <v>40</v>
      </c>
      <c r="I143" s="37" t="s">
        <v>179</v>
      </c>
      <c r="J143" s="33">
        <v>1</v>
      </c>
      <c r="K143" s="39">
        <v>8.7500000000000008E-3</v>
      </c>
      <c r="L143" s="33">
        <v>2</v>
      </c>
      <c r="M143" s="40">
        <v>45013</v>
      </c>
      <c r="N143" s="41">
        <f t="shared" si="32"/>
        <v>7.6410958904109592</v>
      </c>
      <c r="O143" s="45">
        <v>47802</v>
      </c>
      <c r="P143" s="42">
        <v>83.85999975</v>
      </c>
      <c r="Q143" s="53">
        <v>3.2668000000000003E-2</v>
      </c>
      <c r="R143" s="44">
        <v>4000000</v>
      </c>
      <c r="S143" s="43">
        <f>R143*P143/100</f>
        <v>3354399.99</v>
      </c>
      <c r="T143" s="44">
        <v>12859.116022099448</v>
      </c>
      <c r="U143" s="43">
        <f>S143+T143</f>
        <v>3367259.1060220995</v>
      </c>
      <c r="V143" s="45">
        <f>M143+2</f>
        <v>45015</v>
      </c>
      <c r="W143" s="46">
        <f t="shared" si="31"/>
        <v>16</v>
      </c>
      <c r="X143" s="46">
        <f t="shared" si="33"/>
        <v>280000</v>
      </c>
      <c r="Y143" s="46">
        <f t="shared" si="34"/>
        <v>4280000</v>
      </c>
      <c r="Z143" s="47" t="str">
        <f t="shared" si="35"/>
        <v>3~4%</v>
      </c>
      <c r="AA143" s="47" t="str">
        <f t="shared" si="36"/>
        <v>7~10</v>
      </c>
      <c r="AB143" s="46">
        <f t="shared" si="37"/>
        <v>25729549.716974344</v>
      </c>
    </row>
    <row r="144" spans="1:28" s="33" customFormat="1">
      <c r="A144" s="56" t="s">
        <v>484</v>
      </c>
      <c r="B144" s="56" t="s">
        <v>54</v>
      </c>
      <c r="C144" s="48" t="s">
        <v>43</v>
      </c>
      <c r="D144" s="36" t="s">
        <v>61</v>
      </c>
      <c r="E144" s="58" t="s">
        <v>485</v>
      </c>
      <c r="F144" s="54" t="s">
        <v>486</v>
      </c>
      <c r="G144" s="56" t="s">
        <v>64</v>
      </c>
      <c r="H144" s="56" t="s">
        <v>236</v>
      </c>
      <c r="I144" s="54" t="s">
        <v>487</v>
      </c>
      <c r="J144" s="56">
        <v>4</v>
      </c>
      <c r="K144" s="59">
        <v>2.2499999999999999E-2</v>
      </c>
      <c r="L144" s="33">
        <v>2</v>
      </c>
      <c r="M144" s="45">
        <v>45631</v>
      </c>
      <c r="N144" s="60">
        <f t="shared" si="32"/>
        <v>5.9726027397260273</v>
      </c>
      <c r="O144" s="61">
        <v>47811</v>
      </c>
      <c r="P144" s="62">
        <v>87</v>
      </c>
      <c r="Q144" s="63">
        <v>4.7775999999999999E-2</v>
      </c>
      <c r="R144" s="64">
        <v>4500000</v>
      </c>
      <c r="S144" s="43">
        <v>4185600</v>
      </c>
      <c r="T144" s="65">
        <v>4500</v>
      </c>
      <c r="U144" s="43">
        <v>4190100</v>
      </c>
      <c r="V144" s="66">
        <f>M144+2</f>
        <v>45633</v>
      </c>
      <c r="W144" s="46">
        <f t="shared" si="31"/>
        <v>12</v>
      </c>
      <c r="X144" s="46">
        <f t="shared" si="33"/>
        <v>607500</v>
      </c>
      <c r="Y144" s="46">
        <f t="shared" si="34"/>
        <v>5107500</v>
      </c>
      <c r="Z144" s="47" t="str">
        <f t="shared" si="35"/>
        <v>4~5%</v>
      </c>
      <c r="AA144" s="47" t="str">
        <f t="shared" si="36"/>
        <v>5~7</v>
      </c>
      <c r="AB144" s="46">
        <f t="shared" si="37"/>
        <v>25025802.739726026</v>
      </c>
    </row>
    <row r="145" spans="1:28" s="33" customFormat="1">
      <c r="A145" s="56" t="s">
        <v>484</v>
      </c>
      <c r="B145" s="56" t="s">
        <v>77</v>
      </c>
      <c r="C145" s="48" t="s">
        <v>43</v>
      </c>
      <c r="D145" s="36" t="s">
        <v>61</v>
      </c>
      <c r="E145" s="58" t="s">
        <v>485</v>
      </c>
      <c r="F145" s="54" t="s">
        <v>486</v>
      </c>
      <c r="G145" s="56" t="s">
        <v>64</v>
      </c>
      <c r="H145" s="56" t="s">
        <v>236</v>
      </c>
      <c r="I145" s="54" t="s">
        <v>487</v>
      </c>
      <c r="J145" s="56">
        <v>4</v>
      </c>
      <c r="K145" s="59">
        <v>2.2499999999999999E-2</v>
      </c>
      <c r="L145" s="33">
        <v>2</v>
      </c>
      <c r="M145" s="45">
        <v>45628</v>
      </c>
      <c r="N145" s="60">
        <f t="shared" si="32"/>
        <v>5.9808219178082194</v>
      </c>
      <c r="O145" s="61">
        <v>47811</v>
      </c>
      <c r="P145" s="62">
        <v>87</v>
      </c>
      <c r="Q145" s="63">
        <v>4.7775999999999999E-2</v>
      </c>
      <c r="R145" s="64">
        <v>3500000</v>
      </c>
      <c r="S145" s="43">
        <v>3045000</v>
      </c>
      <c r="T145" s="65">
        <v>2187.5</v>
      </c>
      <c r="U145" s="43">
        <v>3047187.5</v>
      </c>
      <c r="V145" s="66">
        <f>M145+1</f>
        <v>45629</v>
      </c>
      <c r="W145" s="46">
        <f t="shared" si="31"/>
        <v>12</v>
      </c>
      <c r="X145" s="46">
        <f t="shared" si="33"/>
        <v>472500</v>
      </c>
      <c r="Y145" s="46">
        <f t="shared" si="34"/>
        <v>3972500</v>
      </c>
      <c r="Z145" s="47" t="str">
        <f t="shared" si="35"/>
        <v>4~5%</v>
      </c>
      <c r="AA145" s="47" t="str">
        <f t="shared" si="36"/>
        <v>5~7</v>
      </c>
      <c r="AB145" s="46">
        <f t="shared" si="37"/>
        <v>18224685.787671234</v>
      </c>
    </row>
    <row r="146" spans="1:28" s="33" customFormat="1">
      <c r="A146" s="56" t="s">
        <v>484</v>
      </c>
      <c r="B146" s="56" t="s">
        <v>321</v>
      </c>
      <c r="C146" s="57" t="s">
        <v>60</v>
      </c>
      <c r="D146" s="36" t="s">
        <v>61</v>
      </c>
      <c r="E146" s="58" t="s">
        <v>488</v>
      </c>
      <c r="F146" s="54" t="s">
        <v>489</v>
      </c>
      <c r="G146" s="33" t="s">
        <v>64</v>
      </c>
      <c r="H146" s="56" t="s">
        <v>236</v>
      </c>
      <c r="I146" s="37" t="s">
        <v>490</v>
      </c>
      <c r="J146" s="56">
        <v>6</v>
      </c>
      <c r="K146" s="59">
        <v>2.2499999999999999E-2</v>
      </c>
      <c r="L146" s="33">
        <v>2</v>
      </c>
      <c r="M146" s="40">
        <v>45544</v>
      </c>
      <c r="N146" s="41">
        <f t="shared" si="32"/>
        <v>6.2109589041095887</v>
      </c>
      <c r="O146" s="45">
        <v>47811</v>
      </c>
      <c r="P146" s="42">
        <v>88.49</v>
      </c>
      <c r="Q146" s="53">
        <v>4.3893000000000001E-2</v>
      </c>
      <c r="R146" s="68">
        <v>2750000</v>
      </c>
      <c r="S146" s="68">
        <f>R146*P146/100</f>
        <v>2433475</v>
      </c>
      <c r="T146" s="68">
        <v>18390.63</v>
      </c>
      <c r="U146" s="68">
        <f>S146+T146</f>
        <v>2451865.63</v>
      </c>
      <c r="V146" s="45">
        <f>M146+1</f>
        <v>45545</v>
      </c>
      <c r="W146" s="46">
        <f t="shared" si="31"/>
        <v>13</v>
      </c>
      <c r="X146" s="46">
        <f t="shared" si="33"/>
        <v>402187.5</v>
      </c>
      <c r="Y146" s="46">
        <f t="shared" si="34"/>
        <v>3152187.5</v>
      </c>
      <c r="Z146" s="47" t="str">
        <f t="shared" si="35"/>
        <v>4~5%</v>
      </c>
      <c r="AA146" s="47" t="str">
        <f t="shared" si="36"/>
        <v>5~7</v>
      </c>
      <c r="AB146" s="46">
        <f t="shared" si="37"/>
        <v>15228436.666328765</v>
      </c>
    </row>
    <row r="147" spans="1:28" s="33" customFormat="1">
      <c r="A147" s="33" t="s">
        <v>491</v>
      </c>
      <c r="B147" s="33" t="s">
        <v>223</v>
      </c>
      <c r="C147" s="33" t="s">
        <v>60</v>
      </c>
      <c r="D147" s="36" t="s">
        <v>61</v>
      </c>
      <c r="E147" s="37" t="s">
        <v>492</v>
      </c>
      <c r="F147" s="54" t="s">
        <v>489</v>
      </c>
      <c r="G147" s="33" t="s">
        <v>64</v>
      </c>
      <c r="H147" s="38" t="s">
        <v>40</v>
      </c>
      <c r="I147" s="37" t="s">
        <v>490</v>
      </c>
      <c r="J147" s="33">
        <v>5</v>
      </c>
      <c r="K147" s="39">
        <v>2.2499999999999999E-2</v>
      </c>
      <c r="L147" s="33">
        <v>2</v>
      </c>
      <c r="M147" s="40">
        <v>45324</v>
      </c>
      <c r="N147" s="41">
        <f t="shared" si="32"/>
        <v>6.8136986301369866</v>
      </c>
      <c r="O147" s="45">
        <v>47811</v>
      </c>
      <c r="P147" s="42">
        <v>86.301600000000008</v>
      </c>
      <c r="Q147" s="53">
        <v>4.6190000000000002E-2</v>
      </c>
      <c r="R147" s="44">
        <v>1750000</v>
      </c>
      <c r="S147" s="43">
        <f>R147*P147/100</f>
        <v>1510278</v>
      </c>
      <c r="T147" s="44">
        <v>7875</v>
      </c>
      <c r="U147" s="43">
        <f>S147+T147</f>
        <v>1518153</v>
      </c>
      <c r="V147" s="45">
        <f>M147+2</f>
        <v>45326</v>
      </c>
      <c r="W147" s="46">
        <f t="shared" si="31"/>
        <v>14</v>
      </c>
      <c r="X147" s="46">
        <f t="shared" si="33"/>
        <v>275625</v>
      </c>
      <c r="Y147" s="46">
        <f t="shared" si="34"/>
        <v>2025625</v>
      </c>
      <c r="Z147" s="47" t="str">
        <f t="shared" si="35"/>
        <v>4~5%</v>
      </c>
      <c r="AA147" s="47" t="str">
        <f t="shared" si="36"/>
        <v>5~7</v>
      </c>
      <c r="AB147" s="46">
        <f t="shared" si="37"/>
        <v>10344237.016438358</v>
      </c>
    </row>
    <row r="148" spans="1:28" s="33" customFormat="1">
      <c r="A148" s="33" t="s">
        <v>491</v>
      </c>
      <c r="B148" s="33" t="s">
        <v>34</v>
      </c>
      <c r="C148" s="33" t="s">
        <v>60</v>
      </c>
      <c r="D148" s="36" t="s">
        <v>61</v>
      </c>
      <c r="E148" s="37" t="s">
        <v>492</v>
      </c>
      <c r="F148" s="54" t="s">
        <v>489</v>
      </c>
      <c r="G148" s="33" t="s">
        <v>64</v>
      </c>
      <c r="H148" s="38" t="s">
        <v>40</v>
      </c>
      <c r="I148" s="37" t="s">
        <v>490</v>
      </c>
      <c r="J148" s="33">
        <v>5</v>
      </c>
      <c r="K148" s="39">
        <v>2.2499999999999999E-2</v>
      </c>
      <c r="L148" s="33">
        <v>2</v>
      </c>
      <c r="M148" s="40">
        <v>45002</v>
      </c>
      <c r="N148" s="41">
        <f t="shared" si="32"/>
        <v>7.6958904109589037</v>
      </c>
      <c r="O148" s="45">
        <v>47811</v>
      </c>
      <c r="P148" s="42">
        <v>84.424999999999997</v>
      </c>
      <c r="Q148" s="53">
        <v>4.6860899999999997E-2</v>
      </c>
      <c r="R148" s="44">
        <v>2000000</v>
      </c>
      <c r="S148" s="43">
        <f>R148*P148/100</f>
        <v>1688500</v>
      </c>
      <c r="T148" s="44">
        <v>0</v>
      </c>
      <c r="U148" s="43">
        <f>S148+T148</f>
        <v>1688500</v>
      </c>
      <c r="V148" s="45">
        <f>M148+2</f>
        <v>45004</v>
      </c>
      <c r="W148" s="46">
        <f t="shared" si="31"/>
        <v>16</v>
      </c>
      <c r="X148" s="46">
        <f t="shared" si="33"/>
        <v>360000</v>
      </c>
      <c r="Y148" s="46">
        <f t="shared" si="34"/>
        <v>2360000</v>
      </c>
      <c r="Z148" s="47" t="str">
        <f t="shared" si="35"/>
        <v>4~5%</v>
      </c>
      <c r="AA148" s="47" t="str">
        <f t="shared" si="36"/>
        <v>7~10</v>
      </c>
      <c r="AB148" s="46">
        <f t="shared" si="37"/>
        <v>12994510.958904108</v>
      </c>
    </row>
    <row r="149" spans="1:28" s="33" customFormat="1">
      <c r="A149" s="56" t="s">
        <v>493</v>
      </c>
      <c r="B149" s="56" t="s">
        <v>54</v>
      </c>
      <c r="C149" s="48" t="s">
        <v>43</v>
      </c>
      <c r="D149" s="36" t="s">
        <v>61</v>
      </c>
      <c r="E149" s="58" t="s">
        <v>494</v>
      </c>
      <c r="F149" s="54" t="s">
        <v>495</v>
      </c>
      <c r="G149" s="33" t="s">
        <v>496</v>
      </c>
      <c r="H149" s="56" t="s">
        <v>236</v>
      </c>
      <c r="I149" s="54" t="s">
        <v>497</v>
      </c>
      <c r="J149" s="56">
        <v>6</v>
      </c>
      <c r="K149" s="59">
        <v>2.6499999999999999E-2</v>
      </c>
      <c r="L149" s="33">
        <v>2</v>
      </c>
      <c r="M149" s="45">
        <v>45656</v>
      </c>
      <c r="N149" s="60">
        <f t="shared" si="32"/>
        <v>6.0410958904109586</v>
      </c>
      <c r="O149" s="61">
        <v>47861</v>
      </c>
      <c r="P149" s="62">
        <v>89.1</v>
      </c>
      <c r="Q149" s="63">
        <v>4.7496999999999998E-2</v>
      </c>
      <c r="R149" s="64">
        <v>4500000</v>
      </c>
      <c r="S149" s="43">
        <v>4009500</v>
      </c>
      <c r="T149" s="65">
        <v>55981.25</v>
      </c>
      <c r="U149" s="43">
        <v>4065481.25</v>
      </c>
      <c r="V149" s="66">
        <f>M149+3</f>
        <v>45659</v>
      </c>
      <c r="W149" s="46">
        <f t="shared" si="31"/>
        <v>13</v>
      </c>
      <c r="X149" s="46">
        <f t="shared" si="33"/>
        <v>775125</v>
      </c>
      <c r="Y149" s="46">
        <f t="shared" si="34"/>
        <v>5275125</v>
      </c>
      <c r="Z149" s="47" t="str">
        <f t="shared" si="35"/>
        <v>4~5%</v>
      </c>
      <c r="AA149" s="47" t="str">
        <f t="shared" si="36"/>
        <v>5~7</v>
      </c>
      <c r="AB149" s="46">
        <f t="shared" si="37"/>
        <v>24559962.071917806</v>
      </c>
    </row>
    <row r="150" spans="1:28" s="33" customFormat="1">
      <c r="A150" s="33" t="s">
        <v>498</v>
      </c>
      <c r="B150" s="33" t="s">
        <v>77</v>
      </c>
      <c r="C150" s="48" t="s">
        <v>43</v>
      </c>
      <c r="D150" s="33" t="s">
        <v>61</v>
      </c>
      <c r="E150" s="37" t="s">
        <v>499</v>
      </c>
      <c r="F150" s="49" t="s">
        <v>500</v>
      </c>
      <c r="G150" s="33" t="s">
        <v>496</v>
      </c>
      <c r="H150" s="33" t="s">
        <v>47</v>
      </c>
      <c r="I150" s="37" t="s">
        <v>501</v>
      </c>
      <c r="J150" s="33">
        <v>6</v>
      </c>
      <c r="K150" s="39">
        <v>2.6499999999999999E-2</v>
      </c>
      <c r="L150" s="33">
        <v>2</v>
      </c>
      <c r="M150" s="40">
        <v>45141</v>
      </c>
      <c r="N150" s="41">
        <f t="shared" si="32"/>
        <v>7.4520547945205475</v>
      </c>
      <c r="O150" s="45">
        <v>47861</v>
      </c>
      <c r="P150" s="42">
        <v>87.12</v>
      </c>
      <c r="Q150" s="53">
        <v>4.7199999999999999E-2</v>
      </c>
      <c r="R150" s="44">
        <v>5000000</v>
      </c>
      <c r="S150" s="43">
        <f t="shared" ref="S150:S156" si="38">R150*P150/100</f>
        <v>4356000</v>
      </c>
      <c r="T150" s="44">
        <v>39718.75</v>
      </c>
      <c r="U150" s="43">
        <f t="shared" ref="U150:U156" si="39">S150+T150</f>
        <v>4395718.75</v>
      </c>
      <c r="V150" s="45">
        <f>M150+2</f>
        <v>45143</v>
      </c>
      <c r="W150" s="46">
        <f t="shared" si="31"/>
        <v>15</v>
      </c>
      <c r="X150" s="46">
        <f t="shared" si="33"/>
        <v>993750</v>
      </c>
      <c r="Y150" s="46">
        <f t="shared" si="34"/>
        <v>5993750</v>
      </c>
      <c r="Z150" s="47" t="str">
        <f t="shared" si="35"/>
        <v>4~5%</v>
      </c>
      <c r="AA150" s="47" t="str">
        <f t="shared" si="36"/>
        <v>7~10</v>
      </c>
      <c r="AB150" s="46">
        <f t="shared" si="37"/>
        <v>32757136.986301366</v>
      </c>
    </row>
    <row r="151" spans="1:28" s="33" customFormat="1">
      <c r="A151" s="56" t="s">
        <v>502</v>
      </c>
      <c r="B151" s="56" t="s">
        <v>364</v>
      </c>
      <c r="C151" s="57" t="s">
        <v>35</v>
      </c>
      <c r="D151" s="36" t="s">
        <v>61</v>
      </c>
      <c r="E151" s="58" t="s">
        <v>503</v>
      </c>
      <c r="F151" s="54" t="s">
        <v>226</v>
      </c>
      <c r="G151" s="56" t="s">
        <v>39</v>
      </c>
      <c r="H151" s="56" t="s">
        <v>236</v>
      </c>
      <c r="I151" s="55" t="s">
        <v>228</v>
      </c>
      <c r="J151" s="56">
        <v>6</v>
      </c>
      <c r="K151" s="59">
        <v>8.5000000000000006E-2</v>
      </c>
      <c r="L151" s="33">
        <v>2</v>
      </c>
      <c r="M151" s="40">
        <v>45757</v>
      </c>
      <c r="N151" s="60">
        <f t="shared" si="32"/>
        <v>5.7780821917808218</v>
      </c>
      <c r="O151" s="45">
        <v>47866</v>
      </c>
      <c r="P151" s="42">
        <v>117.239</v>
      </c>
      <c r="Q151" s="53">
        <v>5.0148999999999999E-2</v>
      </c>
      <c r="R151" s="68">
        <v>3250000</v>
      </c>
      <c r="S151" s="68">
        <f t="shared" si="38"/>
        <v>3810267.5</v>
      </c>
      <c r="T151" s="68">
        <v>65993.06</v>
      </c>
      <c r="U151" s="68">
        <f t="shared" si="39"/>
        <v>3876260.56</v>
      </c>
      <c r="V151" s="45">
        <v>45758</v>
      </c>
      <c r="W151" s="46">
        <f t="shared" si="31"/>
        <v>12</v>
      </c>
      <c r="X151" s="46">
        <f t="shared" si="33"/>
        <v>1657500</v>
      </c>
      <c r="Y151" s="46">
        <f t="shared" si="34"/>
        <v>4907500</v>
      </c>
      <c r="Z151" s="47" t="str">
        <f t="shared" si="35"/>
        <v>5~6%</v>
      </c>
      <c r="AA151" s="47" t="str">
        <f t="shared" si="36"/>
        <v>5~7</v>
      </c>
      <c r="AB151" s="46">
        <f t="shared" si="37"/>
        <v>22397352.112438355</v>
      </c>
    </row>
    <row r="152" spans="1:28" s="33" customFormat="1">
      <c r="A152" s="56" t="s">
        <v>504</v>
      </c>
      <c r="B152" s="33" t="s">
        <v>77</v>
      </c>
      <c r="C152" s="33" t="s">
        <v>35</v>
      </c>
      <c r="D152" s="36" t="s">
        <v>61</v>
      </c>
      <c r="E152" s="37" t="s">
        <v>505</v>
      </c>
      <c r="F152" s="37" t="s">
        <v>506</v>
      </c>
      <c r="G152" s="33" t="s">
        <v>39</v>
      </c>
      <c r="H152" s="38" t="s">
        <v>40</v>
      </c>
      <c r="I152" s="55" t="s">
        <v>507</v>
      </c>
      <c r="J152" s="57">
        <v>3</v>
      </c>
      <c r="K152" s="63">
        <v>8.5000000000000006E-2</v>
      </c>
      <c r="L152" s="33">
        <v>2</v>
      </c>
      <c r="M152" s="66">
        <v>45742</v>
      </c>
      <c r="N152" s="60">
        <f t="shared" si="32"/>
        <v>5.8191780821917805</v>
      </c>
      <c r="O152" s="45">
        <v>47866</v>
      </c>
      <c r="P152" s="42">
        <v>118.3</v>
      </c>
      <c r="Q152" s="76">
        <v>4.8500000000000001E-2</v>
      </c>
      <c r="R152" s="44">
        <v>3300000</v>
      </c>
      <c r="S152" s="43">
        <f t="shared" si="38"/>
        <v>3903900</v>
      </c>
      <c r="T152" s="77">
        <v>54542</v>
      </c>
      <c r="U152" s="68">
        <f t="shared" si="39"/>
        <v>3958442</v>
      </c>
      <c r="V152" s="45">
        <v>45744</v>
      </c>
      <c r="W152" s="46">
        <f t="shared" si="31"/>
        <v>12</v>
      </c>
      <c r="X152" s="46">
        <f t="shared" si="33"/>
        <v>1683000</v>
      </c>
      <c r="Y152" s="46">
        <f t="shared" si="34"/>
        <v>4983000</v>
      </c>
      <c r="Z152" s="47" t="str">
        <f t="shared" si="35"/>
        <v>4~5%</v>
      </c>
      <c r="AA152" s="47" t="str">
        <f t="shared" si="36"/>
        <v>5~7</v>
      </c>
      <c r="AB152" s="46">
        <f t="shared" si="37"/>
        <v>23034878.926027395</v>
      </c>
    </row>
    <row r="153" spans="1:28">
      <c r="A153" s="33" t="s">
        <v>504</v>
      </c>
      <c r="B153" s="33" t="s">
        <v>54</v>
      </c>
      <c r="C153" s="48" t="s">
        <v>67</v>
      </c>
      <c r="D153" s="33" t="s">
        <v>61</v>
      </c>
      <c r="E153" s="37" t="s">
        <v>508</v>
      </c>
      <c r="F153" s="49" t="s">
        <v>148</v>
      </c>
      <c r="G153" s="56" t="s">
        <v>39</v>
      </c>
      <c r="H153" s="33" t="s">
        <v>47</v>
      </c>
      <c r="I153" s="55" t="s">
        <v>228</v>
      </c>
      <c r="J153" s="33">
        <v>6</v>
      </c>
      <c r="K153" s="39">
        <v>8.5000000000000006E-2</v>
      </c>
      <c r="L153" s="33">
        <v>2</v>
      </c>
      <c r="M153" s="40">
        <v>45728</v>
      </c>
      <c r="N153" s="60">
        <f t="shared" si="32"/>
        <v>5.8575342465753426</v>
      </c>
      <c r="O153" s="45">
        <v>47866</v>
      </c>
      <c r="P153" s="42">
        <v>118.6</v>
      </c>
      <c r="Q153" s="53">
        <v>4.8099999999999997E-2</v>
      </c>
      <c r="R153" s="44">
        <v>2000000</v>
      </c>
      <c r="S153" s="43">
        <f t="shared" si="38"/>
        <v>2372000</v>
      </c>
      <c r="T153" s="44">
        <f>2398444.44-S153</f>
        <v>26444.439999999944</v>
      </c>
      <c r="U153" s="68">
        <f t="shared" si="39"/>
        <v>2398444.44</v>
      </c>
      <c r="V153" s="45">
        <v>45730</v>
      </c>
      <c r="W153" s="46">
        <f t="shared" si="31"/>
        <v>12</v>
      </c>
      <c r="X153" s="46">
        <f t="shared" si="33"/>
        <v>1020000</v>
      </c>
      <c r="Y153" s="46">
        <f t="shared" si="34"/>
        <v>3020000</v>
      </c>
      <c r="Z153" s="47" t="str">
        <f t="shared" si="35"/>
        <v>4~5%</v>
      </c>
      <c r="AA153" s="47" t="str">
        <f t="shared" si="36"/>
        <v>5~7</v>
      </c>
      <c r="AB153" s="46">
        <f t="shared" si="37"/>
        <v>14048970.445808219</v>
      </c>
    </row>
    <row r="154" spans="1:28">
      <c r="A154" s="33" t="s">
        <v>509</v>
      </c>
      <c r="B154" s="33" t="s">
        <v>54</v>
      </c>
      <c r="C154" s="48" t="s">
        <v>67</v>
      </c>
      <c r="D154" s="33" t="s">
        <v>61</v>
      </c>
      <c r="E154" s="37" t="s">
        <v>508</v>
      </c>
      <c r="F154" s="49" t="s">
        <v>148</v>
      </c>
      <c r="G154" s="33" t="s">
        <v>39</v>
      </c>
      <c r="H154" s="33" t="s">
        <v>47</v>
      </c>
      <c r="I154" s="37" t="s">
        <v>510</v>
      </c>
      <c r="J154" s="33">
        <v>6</v>
      </c>
      <c r="K154" s="39">
        <v>8.5000000000000006E-2</v>
      </c>
      <c r="L154" s="33">
        <v>2</v>
      </c>
      <c r="M154" s="40">
        <v>45705</v>
      </c>
      <c r="N154" s="60">
        <f t="shared" si="32"/>
        <v>5.9205479452054792</v>
      </c>
      <c r="O154" s="45">
        <v>47866</v>
      </c>
      <c r="P154" s="42">
        <v>118</v>
      </c>
      <c r="Q154" s="53">
        <v>4.9503999999999999E-2</v>
      </c>
      <c r="R154" s="44">
        <v>660000</v>
      </c>
      <c r="S154" s="43">
        <f t="shared" si="38"/>
        <v>778800</v>
      </c>
      <c r="T154" s="44">
        <v>4830.83</v>
      </c>
      <c r="U154" s="43">
        <f t="shared" si="39"/>
        <v>783630.83</v>
      </c>
      <c r="V154" s="45">
        <v>45707</v>
      </c>
      <c r="W154" s="46">
        <f t="shared" si="31"/>
        <v>12</v>
      </c>
      <c r="X154" s="46">
        <f t="shared" si="33"/>
        <v>336600.00000000006</v>
      </c>
      <c r="Y154" s="46">
        <f t="shared" si="34"/>
        <v>996600</v>
      </c>
      <c r="Z154" s="47" t="str">
        <f t="shared" si="35"/>
        <v>4~5%</v>
      </c>
      <c r="AA154" s="47" t="str">
        <f t="shared" si="36"/>
        <v>5~7</v>
      </c>
      <c r="AB154" s="46">
        <f t="shared" si="37"/>
        <v>4639523.9003561642</v>
      </c>
    </row>
    <row r="155" spans="1:28">
      <c r="A155" s="33" t="s">
        <v>511</v>
      </c>
      <c r="B155" s="33" t="s">
        <v>54</v>
      </c>
      <c r="C155" s="48" t="s">
        <v>43</v>
      </c>
      <c r="D155" s="33" t="s">
        <v>61</v>
      </c>
      <c r="E155" s="37" t="s">
        <v>512</v>
      </c>
      <c r="F155" s="49" t="s">
        <v>56</v>
      </c>
      <c r="G155" s="33" t="s">
        <v>57</v>
      </c>
      <c r="H155" s="33" t="s">
        <v>47</v>
      </c>
      <c r="I155" s="37" t="s">
        <v>443</v>
      </c>
      <c r="J155" s="33">
        <v>7</v>
      </c>
      <c r="K155" s="39">
        <v>4.7500000000000001E-2</v>
      </c>
      <c r="L155" s="33">
        <v>2</v>
      </c>
      <c r="M155" s="40">
        <v>45384</v>
      </c>
      <c r="N155" s="41">
        <f t="shared" si="32"/>
        <v>6.8493150684931505</v>
      </c>
      <c r="O155" s="45">
        <v>47884</v>
      </c>
      <c r="P155" s="42">
        <v>98.503200000000007</v>
      </c>
      <c r="Q155" s="53">
        <v>4.7500000000000001E-2</v>
      </c>
      <c r="R155" s="44">
        <v>3000000</v>
      </c>
      <c r="S155" s="43">
        <f t="shared" si="38"/>
        <v>2955096</v>
      </c>
      <c r="T155" s="44">
        <v>22562.5</v>
      </c>
      <c r="U155" s="43">
        <f t="shared" si="39"/>
        <v>2977658.5</v>
      </c>
      <c r="V155" s="45">
        <f>M155+2</f>
        <v>45386</v>
      </c>
      <c r="W155" s="46">
        <f t="shared" si="31"/>
        <v>14</v>
      </c>
      <c r="X155" s="46">
        <f t="shared" si="33"/>
        <v>997500</v>
      </c>
      <c r="Y155" s="46">
        <f t="shared" si="34"/>
        <v>3997500</v>
      </c>
      <c r="Z155" s="47" t="str">
        <f t="shared" si="35"/>
        <v>4~5%</v>
      </c>
      <c r="AA155" s="47" t="str">
        <f t="shared" si="36"/>
        <v>5~7</v>
      </c>
      <c r="AB155" s="46">
        <f t="shared" si="37"/>
        <v>20394921.232876711</v>
      </c>
    </row>
    <row r="156" spans="1:28">
      <c r="A156" s="33" t="s">
        <v>513</v>
      </c>
      <c r="B156" s="33" t="s">
        <v>223</v>
      </c>
      <c r="C156" s="48" t="s">
        <v>43</v>
      </c>
      <c r="D156" s="33" t="s">
        <v>61</v>
      </c>
      <c r="E156" s="37" t="s">
        <v>514</v>
      </c>
      <c r="F156" s="49" t="s">
        <v>345</v>
      </c>
      <c r="G156" s="33" t="s">
        <v>346</v>
      </c>
      <c r="H156" s="33" t="s">
        <v>47</v>
      </c>
      <c r="I156" s="37" t="s">
        <v>348</v>
      </c>
      <c r="J156" s="33">
        <v>6</v>
      </c>
      <c r="K156" s="39">
        <v>5.1249999999999997E-2</v>
      </c>
      <c r="L156" s="33">
        <v>2</v>
      </c>
      <c r="M156" s="40">
        <v>45356</v>
      </c>
      <c r="N156" s="41">
        <f t="shared" si="32"/>
        <v>6.9479452054794519</v>
      </c>
      <c r="O156" s="45">
        <v>47892</v>
      </c>
      <c r="P156" s="42">
        <v>99.885999999999996</v>
      </c>
      <c r="Q156" s="53">
        <v>5.1400000000000001E-2</v>
      </c>
      <c r="R156" s="44">
        <v>5000000</v>
      </c>
      <c r="S156" s="43">
        <f t="shared" si="38"/>
        <v>4994300</v>
      </c>
      <c r="T156" s="44">
        <v>15659.72</v>
      </c>
      <c r="U156" s="43">
        <f t="shared" si="39"/>
        <v>5009959.72</v>
      </c>
      <c r="V156" s="45">
        <f>M156+2</f>
        <v>45358</v>
      </c>
      <c r="W156" s="46">
        <f t="shared" si="31"/>
        <v>14</v>
      </c>
      <c r="X156" s="46">
        <f t="shared" si="33"/>
        <v>1793749.9999999998</v>
      </c>
      <c r="Y156" s="46">
        <f t="shared" si="34"/>
        <v>6793750</v>
      </c>
      <c r="Z156" s="47" t="str">
        <f t="shared" si="35"/>
        <v>5~6%</v>
      </c>
      <c r="AA156" s="47" t="str">
        <f t="shared" si="36"/>
        <v>5~7</v>
      </c>
      <c r="AB156" s="46">
        <f t="shared" si="37"/>
        <v>34808925.616219178</v>
      </c>
    </row>
    <row r="157" spans="1:28">
      <c r="A157" s="56" t="s">
        <v>515</v>
      </c>
      <c r="B157" s="56" t="s">
        <v>325</v>
      </c>
      <c r="C157" s="57" t="s">
        <v>60</v>
      </c>
      <c r="D157" s="36" t="s">
        <v>61</v>
      </c>
      <c r="E157" s="58" t="s">
        <v>516</v>
      </c>
      <c r="F157" s="54" t="s">
        <v>517</v>
      </c>
      <c r="G157" s="56" t="s">
        <v>467</v>
      </c>
      <c r="H157" s="56" t="s">
        <v>236</v>
      </c>
      <c r="I157" s="55" t="s">
        <v>518</v>
      </c>
      <c r="J157" s="56">
        <v>6</v>
      </c>
      <c r="K157" s="59">
        <v>5.2999999999999999E-2</v>
      </c>
      <c r="L157" s="33">
        <v>2</v>
      </c>
      <c r="M157" s="40">
        <v>45551</v>
      </c>
      <c r="N157" s="41">
        <f t="shared" si="32"/>
        <v>6.419178082191781</v>
      </c>
      <c r="O157" s="45">
        <v>47894</v>
      </c>
      <c r="P157" s="42">
        <v>105</v>
      </c>
      <c r="Q157" s="53">
        <v>4.3957999999999997E-2</v>
      </c>
      <c r="R157" s="68">
        <v>3000000</v>
      </c>
      <c r="S157" s="68">
        <v>3150000</v>
      </c>
      <c r="T157" s="68">
        <v>14133.33</v>
      </c>
      <c r="U157" s="68">
        <v>3164133.33</v>
      </c>
      <c r="V157" s="45">
        <f>M157+1</f>
        <v>45552</v>
      </c>
      <c r="W157" s="46">
        <f t="shared" si="31"/>
        <v>13</v>
      </c>
      <c r="X157" s="46">
        <f t="shared" si="33"/>
        <v>1033500</v>
      </c>
      <c r="Y157" s="46">
        <f t="shared" si="34"/>
        <v>4033500</v>
      </c>
      <c r="Z157" s="47" t="str">
        <f t="shared" si="35"/>
        <v>4~5%</v>
      </c>
      <c r="AA157" s="47" t="str">
        <f t="shared" si="36"/>
        <v>5~7</v>
      </c>
      <c r="AB157" s="46">
        <f t="shared" si="37"/>
        <v>20311135.321068496</v>
      </c>
    </row>
    <row r="158" spans="1:28">
      <c r="A158" s="56" t="s">
        <v>515</v>
      </c>
      <c r="B158" s="56" t="s">
        <v>364</v>
      </c>
      <c r="C158" s="57" t="s">
        <v>60</v>
      </c>
      <c r="D158" s="36" t="s">
        <v>61</v>
      </c>
      <c r="E158" s="58" t="s">
        <v>516</v>
      </c>
      <c r="F158" s="54" t="s">
        <v>517</v>
      </c>
      <c r="G158" s="56" t="s">
        <v>467</v>
      </c>
      <c r="H158" s="56" t="s">
        <v>236</v>
      </c>
      <c r="I158" s="55" t="s">
        <v>518</v>
      </c>
      <c r="J158" s="56">
        <v>6</v>
      </c>
      <c r="K158" s="59">
        <v>5.2999999999999999E-2</v>
      </c>
      <c r="L158" s="33">
        <v>2</v>
      </c>
      <c r="M158" s="40">
        <v>45551</v>
      </c>
      <c r="N158" s="41">
        <f t="shared" si="32"/>
        <v>6.419178082191781</v>
      </c>
      <c r="O158" s="45">
        <v>47894</v>
      </c>
      <c r="P158" s="42">
        <v>105</v>
      </c>
      <c r="Q158" s="53">
        <v>4.3957999999999997E-2</v>
      </c>
      <c r="R158" s="68">
        <v>5300000</v>
      </c>
      <c r="S158" s="68">
        <f>R158*P158/100</f>
        <v>5565000</v>
      </c>
      <c r="T158" s="68">
        <v>24968.89</v>
      </c>
      <c r="U158" s="68">
        <f>S158+T158</f>
        <v>5589968.8899999997</v>
      </c>
      <c r="V158" s="45">
        <f>M158+1</f>
        <v>45552</v>
      </c>
      <c r="W158" s="46">
        <f t="shared" si="31"/>
        <v>13</v>
      </c>
      <c r="X158" s="46">
        <f t="shared" si="33"/>
        <v>1825850</v>
      </c>
      <c r="Y158" s="46">
        <f t="shared" si="34"/>
        <v>7125850</v>
      </c>
      <c r="Z158" s="47" t="str">
        <f t="shared" si="35"/>
        <v>4~5%</v>
      </c>
      <c r="AA158" s="47" t="str">
        <f t="shared" si="36"/>
        <v>5~7</v>
      </c>
      <c r="AB158" s="46">
        <f t="shared" si="37"/>
        <v>35883005.778821915</v>
      </c>
    </row>
    <row r="159" spans="1:28">
      <c r="A159" s="56" t="s">
        <v>515</v>
      </c>
      <c r="B159" s="56" t="s">
        <v>233</v>
      </c>
      <c r="C159" s="57" t="s">
        <v>60</v>
      </c>
      <c r="D159" s="36" t="s">
        <v>61</v>
      </c>
      <c r="E159" s="58" t="s">
        <v>516</v>
      </c>
      <c r="F159" s="54" t="s">
        <v>517</v>
      </c>
      <c r="G159" s="56" t="s">
        <v>467</v>
      </c>
      <c r="H159" s="56" t="s">
        <v>236</v>
      </c>
      <c r="I159" s="55" t="s">
        <v>519</v>
      </c>
      <c r="J159" s="33">
        <v>6</v>
      </c>
      <c r="K159" s="59">
        <v>5.2999999999999999E-2</v>
      </c>
      <c r="L159" s="33">
        <v>2</v>
      </c>
      <c r="M159" s="45">
        <v>45509</v>
      </c>
      <c r="N159" s="41">
        <f t="shared" si="32"/>
        <v>6.5342465753424657</v>
      </c>
      <c r="O159" s="45">
        <v>47894</v>
      </c>
      <c r="P159" s="42">
        <v>103.8</v>
      </c>
      <c r="Q159" s="53">
        <v>4.6184000000000003E-2</v>
      </c>
      <c r="R159" s="44">
        <v>5000000</v>
      </c>
      <c r="S159" s="43">
        <f>R159*P159/100</f>
        <v>5190000</v>
      </c>
      <c r="T159" s="44">
        <v>155319.44</v>
      </c>
      <c r="U159" s="43">
        <f>S159+T159</f>
        <v>5345319.4400000004</v>
      </c>
      <c r="V159" s="45">
        <v>45510</v>
      </c>
      <c r="W159" s="46">
        <f t="shared" si="31"/>
        <v>14</v>
      </c>
      <c r="X159" s="46">
        <f t="shared" si="33"/>
        <v>1855000</v>
      </c>
      <c r="Y159" s="46">
        <f t="shared" si="34"/>
        <v>6855000</v>
      </c>
      <c r="Z159" s="47" t="str">
        <f t="shared" si="35"/>
        <v>4~5%</v>
      </c>
      <c r="AA159" s="47" t="str">
        <f t="shared" si="36"/>
        <v>5~7</v>
      </c>
      <c r="AB159" s="46">
        <f t="shared" si="37"/>
        <v>34927635.244931512</v>
      </c>
    </row>
    <row r="160" spans="1:28">
      <c r="A160" s="33" t="s">
        <v>520</v>
      </c>
      <c r="B160" s="33" t="s">
        <v>54</v>
      </c>
      <c r="C160" s="33" t="s">
        <v>60</v>
      </c>
      <c r="D160" s="36" t="s">
        <v>61</v>
      </c>
      <c r="E160" s="37" t="s">
        <v>521</v>
      </c>
      <c r="F160" s="37" t="s">
        <v>522</v>
      </c>
      <c r="G160" s="33" t="s">
        <v>83</v>
      </c>
      <c r="H160" s="38" t="s">
        <v>40</v>
      </c>
      <c r="I160" s="37" t="s">
        <v>398</v>
      </c>
      <c r="J160" s="33">
        <v>6</v>
      </c>
      <c r="K160" s="39">
        <v>5.0999999999999997E-2</v>
      </c>
      <c r="L160" s="33">
        <v>2</v>
      </c>
      <c r="M160" s="40">
        <v>45384</v>
      </c>
      <c r="N160" s="41">
        <f t="shared" si="32"/>
        <v>6.8958904109589039</v>
      </c>
      <c r="O160" s="45">
        <v>47901</v>
      </c>
      <c r="P160" s="42">
        <v>101.2688</v>
      </c>
      <c r="Q160" s="53">
        <v>4.8800000000000003E-2</v>
      </c>
      <c r="R160" s="44">
        <v>5000000</v>
      </c>
      <c r="S160" s="43">
        <f>R160*P160/100</f>
        <v>5063440</v>
      </c>
      <c r="T160" s="44">
        <v>28333.33</v>
      </c>
      <c r="U160" s="43">
        <f>S160+T160</f>
        <v>5091773.33</v>
      </c>
      <c r="V160" s="45">
        <f>M160+2</f>
        <v>45386</v>
      </c>
      <c r="W160" s="46">
        <f t="shared" si="31"/>
        <v>14</v>
      </c>
      <c r="X160" s="46">
        <f t="shared" si="33"/>
        <v>1784999.9999999998</v>
      </c>
      <c r="Y160" s="46">
        <f t="shared" si="34"/>
        <v>6785000</v>
      </c>
      <c r="Z160" s="47" t="str">
        <f t="shared" si="35"/>
        <v>4~5%</v>
      </c>
      <c r="AA160" s="47" t="str">
        <f t="shared" si="36"/>
        <v>5~7</v>
      </c>
      <c r="AB160" s="46">
        <f t="shared" si="37"/>
        <v>35112310.881123289</v>
      </c>
    </row>
    <row r="161" spans="1:37">
      <c r="A161" s="56" t="s">
        <v>523</v>
      </c>
      <c r="B161" s="56" t="s">
        <v>54</v>
      </c>
      <c r="C161" s="48" t="s">
        <v>43</v>
      </c>
      <c r="D161" s="36" t="s">
        <v>61</v>
      </c>
      <c r="E161" s="58" t="s">
        <v>524</v>
      </c>
      <c r="F161" s="54" t="s">
        <v>525</v>
      </c>
      <c r="G161" s="56" t="s">
        <v>526</v>
      </c>
      <c r="H161" s="56" t="s">
        <v>236</v>
      </c>
      <c r="I161" s="54" t="s">
        <v>454</v>
      </c>
      <c r="J161" s="56">
        <v>5</v>
      </c>
      <c r="K161" s="59">
        <v>1.375E-2</v>
      </c>
      <c r="L161" s="33">
        <v>2</v>
      </c>
      <c r="M161" s="45">
        <v>45656</v>
      </c>
      <c r="N161" s="60">
        <f t="shared" si="32"/>
        <v>6.2082191780821914</v>
      </c>
      <c r="O161" s="61">
        <v>47922</v>
      </c>
      <c r="P161" s="62">
        <v>82.7</v>
      </c>
      <c r="Q161" s="63">
        <v>4.6136000000000003E-2</v>
      </c>
      <c r="R161" s="64">
        <v>4500000</v>
      </c>
      <c r="S161" s="43">
        <v>3721500</v>
      </c>
      <c r="T161" s="65">
        <v>18390.599999999999</v>
      </c>
      <c r="U161" s="43">
        <v>3739890.6</v>
      </c>
      <c r="V161" s="66">
        <f>M161+3</f>
        <v>45659</v>
      </c>
      <c r="W161" s="46">
        <f t="shared" si="31"/>
        <v>13</v>
      </c>
      <c r="X161" s="46">
        <f t="shared" si="33"/>
        <v>402187.5</v>
      </c>
      <c r="Y161" s="46">
        <f t="shared" si="34"/>
        <v>4902187.5</v>
      </c>
      <c r="Z161" s="47" t="str">
        <f t="shared" si="35"/>
        <v>4~5%</v>
      </c>
      <c r="AA161" s="47" t="str">
        <f t="shared" si="36"/>
        <v>5~7</v>
      </c>
      <c r="AB161" s="46">
        <f t="shared" si="37"/>
        <v>23218060.546849314</v>
      </c>
    </row>
    <row r="162" spans="1:37">
      <c r="A162" s="33" t="s">
        <v>527</v>
      </c>
      <c r="B162" s="33" t="s">
        <v>54</v>
      </c>
      <c r="C162" s="48" t="s">
        <v>43</v>
      </c>
      <c r="D162" s="33" t="s">
        <v>338</v>
      </c>
      <c r="E162" s="37" t="s">
        <v>528</v>
      </c>
      <c r="F162" s="49" t="s">
        <v>480</v>
      </c>
      <c r="G162" s="33" t="s">
        <v>216</v>
      </c>
      <c r="H162" s="38" t="s">
        <v>40</v>
      </c>
      <c r="I162" s="37" t="s">
        <v>529</v>
      </c>
      <c r="J162" s="33">
        <v>8</v>
      </c>
      <c r="K162" s="39">
        <v>2.5499999999999998E-2</v>
      </c>
      <c r="L162" s="33">
        <v>2</v>
      </c>
      <c r="M162" s="40">
        <v>45999</v>
      </c>
      <c r="N162" s="41">
        <f t="shared" si="32"/>
        <v>5.2849315068493148</v>
      </c>
      <c r="O162" s="45">
        <v>47928</v>
      </c>
      <c r="P162" s="42">
        <v>91.6</v>
      </c>
      <c r="Q162" s="53">
        <v>4.3459999999999999E-2</v>
      </c>
      <c r="R162" s="44">
        <v>3000000</v>
      </c>
      <c r="S162" s="43">
        <f t="shared" ref="S162:S171" si="40">R162*P162/100</f>
        <v>2748000</v>
      </c>
      <c r="T162" s="44">
        <v>16575</v>
      </c>
      <c r="U162" s="43">
        <f t="shared" ref="U162:U171" si="41">S162+T162</f>
        <v>2764575</v>
      </c>
      <c r="V162" s="45">
        <f>M162+1</f>
        <v>46000</v>
      </c>
      <c r="W162" s="46">
        <f t="shared" si="31"/>
        <v>11</v>
      </c>
      <c r="X162" s="46">
        <f t="shared" si="33"/>
        <v>420750</v>
      </c>
      <c r="Y162" s="46">
        <f t="shared" si="34"/>
        <v>3420750</v>
      </c>
      <c r="Z162" s="47" t="str">
        <f t="shared" si="35"/>
        <v>4~5%</v>
      </c>
      <c r="AA162" s="47" t="str">
        <f t="shared" si="36"/>
        <v>5~7</v>
      </c>
      <c r="AB162" s="46">
        <f t="shared" si="37"/>
        <v>14610589.520547945</v>
      </c>
    </row>
    <row r="163" spans="1:37">
      <c r="A163" s="56" t="s">
        <v>530</v>
      </c>
      <c r="B163" s="56" t="s">
        <v>321</v>
      </c>
      <c r="C163" s="57" t="s">
        <v>60</v>
      </c>
      <c r="D163" s="36" t="s">
        <v>61</v>
      </c>
      <c r="E163" s="58" t="s">
        <v>528</v>
      </c>
      <c r="F163" s="54" t="s">
        <v>480</v>
      </c>
      <c r="G163" s="56" t="s">
        <v>216</v>
      </c>
      <c r="H163" s="56" t="s">
        <v>236</v>
      </c>
      <c r="I163" s="55" t="s">
        <v>529</v>
      </c>
      <c r="J163" s="56">
        <v>8</v>
      </c>
      <c r="K163" s="59">
        <v>2.5499999999999998E-2</v>
      </c>
      <c r="L163" s="33">
        <v>2</v>
      </c>
      <c r="M163" s="40">
        <v>45541</v>
      </c>
      <c r="N163" s="41">
        <f t="shared" si="32"/>
        <v>6.5397260273972604</v>
      </c>
      <c r="O163" s="45">
        <v>47928</v>
      </c>
      <c r="P163" s="42">
        <v>89.3</v>
      </c>
      <c r="Q163" s="53">
        <v>4.4562999999999998E-2</v>
      </c>
      <c r="R163" s="68">
        <v>3000000</v>
      </c>
      <c r="S163" s="68">
        <f t="shared" si="40"/>
        <v>2679000</v>
      </c>
      <c r="T163" s="68">
        <v>35912.5</v>
      </c>
      <c r="U163" s="68">
        <f t="shared" si="41"/>
        <v>2714912.5</v>
      </c>
      <c r="V163" s="45">
        <f>M163+1</f>
        <v>45542</v>
      </c>
      <c r="W163" s="46">
        <f t="shared" si="31"/>
        <v>14</v>
      </c>
      <c r="X163" s="46">
        <f t="shared" si="33"/>
        <v>535500</v>
      </c>
      <c r="Y163" s="46">
        <f t="shared" si="34"/>
        <v>3535500</v>
      </c>
      <c r="Z163" s="47" t="str">
        <f t="shared" si="35"/>
        <v>4~5%</v>
      </c>
      <c r="AA163" s="47" t="str">
        <f t="shared" si="36"/>
        <v>5~7</v>
      </c>
      <c r="AB163" s="46">
        <f t="shared" si="37"/>
        <v>17754783.938356165</v>
      </c>
    </row>
    <row r="164" spans="1:37">
      <c r="A164" s="56" t="s">
        <v>530</v>
      </c>
      <c r="B164" s="56" t="s">
        <v>325</v>
      </c>
      <c r="C164" s="57" t="s">
        <v>60</v>
      </c>
      <c r="D164" s="36" t="s">
        <v>61</v>
      </c>
      <c r="E164" s="58" t="s">
        <v>528</v>
      </c>
      <c r="F164" s="54" t="s">
        <v>480</v>
      </c>
      <c r="G164" s="56" t="s">
        <v>216</v>
      </c>
      <c r="H164" s="56" t="s">
        <v>236</v>
      </c>
      <c r="I164" s="55" t="s">
        <v>531</v>
      </c>
      <c r="J164" s="56">
        <v>8</v>
      </c>
      <c r="K164" s="59">
        <v>2.5499999999999998E-2</v>
      </c>
      <c r="L164" s="33">
        <v>2</v>
      </c>
      <c r="M164" s="40">
        <v>45539</v>
      </c>
      <c r="N164" s="41">
        <f t="shared" si="32"/>
        <v>6.5452054794520551</v>
      </c>
      <c r="O164" s="45">
        <v>47928</v>
      </c>
      <c r="P164" s="42">
        <v>88.8</v>
      </c>
      <c r="Q164" s="53">
        <v>4.5476999999999997E-2</v>
      </c>
      <c r="R164" s="68">
        <v>2000000</v>
      </c>
      <c r="S164" s="68">
        <f t="shared" si="40"/>
        <v>1776000</v>
      </c>
      <c r="T164" s="68">
        <v>23233.33</v>
      </c>
      <c r="U164" s="68">
        <f t="shared" si="41"/>
        <v>1799233.33</v>
      </c>
      <c r="V164" s="45">
        <f>M164+1</f>
        <v>45540</v>
      </c>
      <c r="W164" s="46">
        <f t="shared" si="31"/>
        <v>14</v>
      </c>
      <c r="X164" s="46">
        <f t="shared" si="33"/>
        <v>357000</v>
      </c>
      <c r="Y164" s="46">
        <f t="shared" si="34"/>
        <v>2357000</v>
      </c>
      <c r="Z164" s="47" t="str">
        <f t="shared" si="35"/>
        <v>4~5%</v>
      </c>
      <c r="AA164" s="47" t="str">
        <f t="shared" si="36"/>
        <v>5~7</v>
      </c>
      <c r="AB164" s="46">
        <f t="shared" si="37"/>
        <v>11776351.850328768</v>
      </c>
    </row>
    <row r="165" spans="1:37">
      <c r="A165" s="33" t="s">
        <v>532</v>
      </c>
      <c r="B165" s="33" t="s">
        <v>119</v>
      </c>
      <c r="C165" s="48" t="s">
        <v>67</v>
      </c>
      <c r="D165" s="33" t="s">
        <v>61</v>
      </c>
      <c r="E165" s="37" t="s">
        <v>533</v>
      </c>
      <c r="F165" s="49" t="s">
        <v>103</v>
      </c>
      <c r="G165" s="33" t="s">
        <v>39</v>
      </c>
      <c r="H165" s="33" t="s">
        <v>47</v>
      </c>
      <c r="I165" s="37" t="s">
        <v>534</v>
      </c>
      <c r="J165" s="33">
        <v>6</v>
      </c>
      <c r="K165" s="39">
        <v>5.0999999999999997E-2</v>
      </c>
      <c r="L165" s="33">
        <v>2</v>
      </c>
      <c r="M165" s="40">
        <v>45436</v>
      </c>
      <c r="N165" s="41">
        <f t="shared" si="32"/>
        <v>6.8273972602739725</v>
      </c>
      <c r="O165" s="45">
        <v>47928</v>
      </c>
      <c r="P165" s="42">
        <v>100.4</v>
      </c>
      <c r="Q165" s="53">
        <v>5.0299999999999997E-2</v>
      </c>
      <c r="R165" s="44">
        <v>2100000</v>
      </c>
      <c r="S165" s="43">
        <f t="shared" si="40"/>
        <v>2108400</v>
      </c>
      <c r="T165" s="44">
        <v>19932.5</v>
      </c>
      <c r="U165" s="43">
        <f t="shared" si="41"/>
        <v>2128332.5</v>
      </c>
      <c r="V165" s="45">
        <f>M165+2</f>
        <v>45438</v>
      </c>
      <c r="W165" s="46">
        <f t="shared" si="31"/>
        <v>14</v>
      </c>
      <c r="X165" s="46">
        <f t="shared" si="33"/>
        <v>749700</v>
      </c>
      <c r="Y165" s="46">
        <f t="shared" si="34"/>
        <v>2849700</v>
      </c>
      <c r="Z165" s="47" t="str">
        <f t="shared" si="35"/>
        <v>5~6%</v>
      </c>
      <c r="AA165" s="47" t="str">
        <f t="shared" si="36"/>
        <v>5~7</v>
      </c>
      <c r="AB165" s="46">
        <f t="shared" si="37"/>
        <v>14530971.479452055</v>
      </c>
    </row>
    <row r="166" spans="1:37">
      <c r="A166" s="33" t="s">
        <v>527</v>
      </c>
      <c r="B166" s="33" t="s">
        <v>54</v>
      </c>
      <c r="C166" s="48" t="s">
        <v>43</v>
      </c>
      <c r="D166" s="33" t="s">
        <v>61</v>
      </c>
      <c r="E166" s="37" t="s">
        <v>161</v>
      </c>
      <c r="F166" s="54" t="s">
        <v>480</v>
      </c>
      <c r="G166" s="56" t="s">
        <v>216</v>
      </c>
      <c r="H166" s="33" t="s">
        <v>47</v>
      </c>
      <c r="I166" s="37" t="s">
        <v>481</v>
      </c>
      <c r="J166" s="33">
        <v>8</v>
      </c>
      <c r="K166" s="39">
        <v>2.5499999999999998E-2</v>
      </c>
      <c r="L166" s="33">
        <v>2</v>
      </c>
      <c r="M166" s="40">
        <v>45384</v>
      </c>
      <c r="N166" s="41">
        <f t="shared" si="32"/>
        <v>6.9698630136986299</v>
      </c>
      <c r="O166" s="45">
        <v>47928</v>
      </c>
      <c r="P166" s="42">
        <v>85.6768</v>
      </c>
      <c r="Q166" s="53">
        <v>5.0099999999999999E-2</v>
      </c>
      <c r="R166" s="44">
        <v>2000000</v>
      </c>
      <c r="S166" s="43">
        <f t="shared" si="40"/>
        <v>1713536</v>
      </c>
      <c r="T166" s="44">
        <v>1558.33</v>
      </c>
      <c r="U166" s="43">
        <f t="shared" si="41"/>
        <v>1715094.33</v>
      </c>
      <c r="V166" s="45">
        <f>M166+2</f>
        <v>45386</v>
      </c>
      <c r="W166" s="46">
        <f t="shared" si="31"/>
        <v>14</v>
      </c>
      <c r="X166" s="46">
        <f t="shared" si="33"/>
        <v>357000</v>
      </c>
      <c r="Y166" s="46">
        <f t="shared" si="34"/>
        <v>2357000</v>
      </c>
      <c r="Z166" s="47" t="str">
        <f t="shared" si="35"/>
        <v>5~6%</v>
      </c>
      <c r="AA166" s="47" t="str">
        <f t="shared" si="36"/>
        <v>5~7</v>
      </c>
      <c r="AB166" s="46">
        <f t="shared" si="37"/>
        <v>11953972.535671232</v>
      </c>
    </row>
    <row r="167" spans="1:37" s="33" customFormat="1">
      <c r="A167" s="33" t="s">
        <v>527</v>
      </c>
      <c r="B167" s="33" t="s">
        <v>223</v>
      </c>
      <c r="C167" s="33" t="s">
        <v>60</v>
      </c>
      <c r="D167" s="36" t="s">
        <v>61</v>
      </c>
      <c r="E167" s="37" t="s">
        <v>535</v>
      </c>
      <c r="F167" s="37" t="s">
        <v>162</v>
      </c>
      <c r="G167" s="33" t="s">
        <v>216</v>
      </c>
      <c r="H167" s="38" t="s">
        <v>40</v>
      </c>
      <c r="I167" s="37" t="s">
        <v>529</v>
      </c>
      <c r="J167" s="33">
        <v>8</v>
      </c>
      <c r="K167" s="39">
        <v>2.5499999999999998E-2</v>
      </c>
      <c r="L167" s="33">
        <v>2</v>
      </c>
      <c r="M167" s="40">
        <v>45356</v>
      </c>
      <c r="N167" s="41">
        <f t="shared" si="32"/>
        <v>7.0465753424657533</v>
      </c>
      <c r="O167" s="45">
        <v>47928</v>
      </c>
      <c r="P167" s="42">
        <v>85.676000000000002</v>
      </c>
      <c r="Q167" s="53">
        <v>4.9799999999999997E-2</v>
      </c>
      <c r="R167" s="44">
        <v>2000000</v>
      </c>
      <c r="S167" s="43">
        <f t="shared" si="40"/>
        <v>1713520</v>
      </c>
      <c r="T167" s="44">
        <v>23233.33</v>
      </c>
      <c r="U167" s="43">
        <f t="shared" si="41"/>
        <v>1736753.33</v>
      </c>
      <c r="V167" s="45">
        <f>M167+2</f>
        <v>45358</v>
      </c>
      <c r="W167" s="46">
        <f t="shared" si="31"/>
        <v>15</v>
      </c>
      <c r="X167" s="46">
        <f t="shared" si="33"/>
        <v>382500</v>
      </c>
      <c r="Y167" s="46">
        <f t="shared" si="34"/>
        <v>2382500</v>
      </c>
      <c r="Z167" s="47" t="str">
        <f t="shared" si="35"/>
        <v>4~5%</v>
      </c>
      <c r="AA167" s="47" t="str">
        <f t="shared" si="36"/>
        <v>7~10</v>
      </c>
      <c r="AB167" s="46">
        <f t="shared" si="37"/>
        <v>12238163.191123288</v>
      </c>
      <c r="AC167" s="78"/>
      <c r="AD167" s="46"/>
      <c r="AE167" s="46"/>
      <c r="AF167" s="46"/>
      <c r="AG167" s="46"/>
    </row>
    <row r="168" spans="1:37" s="33" customFormat="1" ht="26.25">
      <c r="A168" s="33" t="s">
        <v>536</v>
      </c>
      <c r="B168" s="33" t="s">
        <v>54</v>
      </c>
      <c r="C168" s="33" t="s">
        <v>35</v>
      </c>
      <c r="D168" s="36" t="s">
        <v>61</v>
      </c>
      <c r="E168" s="37" t="s">
        <v>537</v>
      </c>
      <c r="F168" s="37" t="s">
        <v>538</v>
      </c>
      <c r="G168" s="33" t="s">
        <v>39</v>
      </c>
      <c r="H168" s="38" t="s">
        <v>40</v>
      </c>
      <c r="I168" s="37" t="s">
        <v>539</v>
      </c>
      <c r="J168" s="33">
        <v>5</v>
      </c>
      <c r="K168" s="39">
        <v>2.0650000000000002E-2</v>
      </c>
      <c r="L168" s="33">
        <v>2</v>
      </c>
      <c r="M168" s="40">
        <v>45384</v>
      </c>
      <c r="N168" s="41">
        <f t="shared" si="32"/>
        <v>7.0054794520547947</v>
      </c>
      <c r="O168" s="45">
        <v>47941</v>
      </c>
      <c r="P168" s="42">
        <v>83.264899999999997</v>
      </c>
      <c r="Q168" s="53">
        <v>4.9200000000000001E-2</v>
      </c>
      <c r="R168" s="44">
        <v>2500000</v>
      </c>
      <c r="S168" s="43">
        <f t="shared" si="40"/>
        <v>2081622.5</v>
      </c>
      <c r="T168" s="44">
        <v>25669.1</v>
      </c>
      <c r="U168" s="43">
        <f t="shared" si="41"/>
        <v>2107291.6</v>
      </c>
      <c r="V168" s="45">
        <f>M168+2</f>
        <v>45386</v>
      </c>
      <c r="W168" s="46">
        <f t="shared" si="31"/>
        <v>15</v>
      </c>
      <c r="X168" s="46">
        <f t="shared" si="33"/>
        <v>387187.50000000006</v>
      </c>
      <c r="Y168" s="46">
        <f t="shared" si="34"/>
        <v>2887187.5</v>
      </c>
      <c r="Z168" s="47" t="str">
        <f t="shared" si="35"/>
        <v>4~5%</v>
      </c>
      <c r="AA168" s="47" t="str">
        <f t="shared" si="36"/>
        <v>7~10</v>
      </c>
      <c r="AB168" s="46">
        <f t="shared" si="37"/>
        <v>14762588.003287673</v>
      </c>
      <c r="AC168" s="47"/>
      <c r="AD168" s="46"/>
      <c r="AE168" s="46"/>
      <c r="AF168" s="46"/>
      <c r="AG168" s="46"/>
      <c r="AH168" s="46"/>
      <c r="AJ168" s="78"/>
      <c r="AK168" s="46"/>
    </row>
    <row r="169" spans="1:37" s="33" customFormat="1" ht="26.25">
      <c r="A169" s="33" t="s">
        <v>536</v>
      </c>
      <c r="B169" s="33" t="s">
        <v>77</v>
      </c>
      <c r="C169" s="33" t="s">
        <v>35</v>
      </c>
      <c r="D169" s="36" t="s">
        <v>61</v>
      </c>
      <c r="E169" s="37" t="s">
        <v>540</v>
      </c>
      <c r="F169" s="37" t="s">
        <v>538</v>
      </c>
      <c r="G169" s="33" t="s">
        <v>39</v>
      </c>
      <c r="H169" s="38" t="s">
        <v>40</v>
      </c>
      <c r="I169" s="37" t="s">
        <v>541</v>
      </c>
      <c r="J169" s="33">
        <v>5</v>
      </c>
      <c r="K169" s="39">
        <v>2.0650000000000002E-2</v>
      </c>
      <c r="L169" s="33">
        <v>2</v>
      </c>
      <c r="M169" s="40">
        <v>45034</v>
      </c>
      <c r="N169" s="41">
        <f t="shared" si="32"/>
        <v>7.9643835616438352</v>
      </c>
      <c r="O169" s="45">
        <v>47941</v>
      </c>
      <c r="P169" s="42">
        <v>85.779749999999993</v>
      </c>
      <c r="Q169" s="53">
        <v>4.1799999999999997E-2</v>
      </c>
      <c r="R169" s="44">
        <v>4000000</v>
      </c>
      <c r="S169" s="43">
        <f t="shared" si="40"/>
        <v>3431190</v>
      </c>
      <c r="T169" s="44">
        <v>3270.83</v>
      </c>
      <c r="U169" s="43">
        <f t="shared" si="41"/>
        <v>3434460.83</v>
      </c>
      <c r="V169" s="45">
        <f>M169+2</f>
        <v>45036</v>
      </c>
      <c r="W169" s="46">
        <f t="shared" si="31"/>
        <v>16</v>
      </c>
      <c r="X169" s="46">
        <f t="shared" si="33"/>
        <v>660800</v>
      </c>
      <c r="Y169" s="46">
        <f t="shared" si="34"/>
        <v>4660800</v>
      </c>
      <c r="Z169" s="47" t="str">
        <f t="shared" si="35"/>
        <v>4~5%</v>
      </c>
      <c r="AA169" s="47" t="str">
        <f t="shared" si="36"/>
        <v>7~10</v>
      </c>
      <c r="AB169" s="46">
        <f t="shared" si="37"/>
        <v>27353363.377561644</v>
      </c>
      <c r="AC169" s="47"/>
      <c r="AD169" s="46"/>
      <c r="AE169" s="46"/>
      <c r="AF169" s="46"/>
      <c r="AG169" s="46"/>
      <c r="AH169" s="46"/>
      <c r="AJ169" s="78"/>
      <c r="AK169" s="46"/>
    </row>
    <row r="170" spans="1:37" s="33" customFormat="1">
      <c r="A170" s="33" t="s">
        <v>542</v>
      </c>
      <c r="B170" s="33" t="s">
        <v>428</v>
      </c>
      <c r="C170" s="48" t="s">
        <v>43</v>
      </c>
      <c r="D170" s="33" t="s">
        <v>338</v>
      </c>
      <c r="E170" s="37" t="s">
        <v>543</v>
      </c>
      <c r="F170" s="54" t="s">
        <v>544</v>
      </c>
      <c r="G170" s="33" t="s">
        <v>216</v>
      </c>
      <c r="H170" s="33" t="s">
        <v>227</v>
      </c>
      <c r="I170" s="55" t="s">
        <v>545</v>
      </c>
      <c r="J170" s="33">
        <v>9</v>
      </c>
      <c r="K170" s="39">
        <v>3.5000000000000003E-2</v>
      </c>
      <c r="L170" s="33">
        <v>2</v>
      </c>
      <c r="M170" s="40">
        <v>45909</v>
      </c>
      <c r="N170" s="41">
        <f t="shared" si="32"/>
        <v>5.6</v>
      </c>
      <c r="O170" s="45">
        <v>47953</v>
      </c>
      <c r="P170" s="42">
        <v>95.93</v>
      </c>
      <c r="Q170" s="53">
        <v>5.3249999999999999E-2</v>
      </c>
      <c r="R170" s="44">
        <v>4000000</v>
      </c>
      <c r="S170" s="43">
        <f t="shared" si="40"/>
        <v>3837200</v>
      </c>
      <c r="T170" s="44">
        <v>56388.89</v>
      </c>
      <c r="U170" s="43">
        <f t="shared" si="41"/>
        <v>3893588.89</v>
      </c>
      <c r="V170" s="45">
        <v>45910</v>
      </c>
      <c r="W170" s="46">
        <f t="shared" si="31"/>
        <v>12</v>
      </c>
      <c r="X170" s="46">
        <f t="shared" si="33"/>
        <v>840000</v>
      </c>
      <c r="Y170" s="46">
        <f t="shared" si="34"/>
        <v>4840000</v>
      </c>
      <c r="Z170" s="47" t="str">
        <f t="shared" si="35"/>
        <v>5~6%</v>
      </c>
      <c r="AA170" s="47" t="str">
        <f t="shared" si="36"/>
        <v>5~7</v>
      </c>
      <c r="AB170" s="46">
        <f t="shared" si="37"/>
        <v>21804097.783999998</v>
      </c>
      <c r="AC170" s="47"/>
      <c r="AD170" s="46"/>
      <c r="AE170" s="46"/>
      <c r="AF170" s="46"/>
      <c r="AG170" s="46"/>
      <c r="AH170" s="46"/>
      <c r="AJ170" s="78"/>
      <c r="AK170" s="46"/>
    </row>
    <row r="171" spans="1:37" s="33" customFormat="1">
      <c r="A171" s="17" t="s">
        <v>546</v>
      </c>
      <c r="B171" s="17" t="s">
        <v>34</v>
      </c>
      <c r="C171" s="34" t="s">
        <v>43</v>
      </c>
      <c r="D171" s="17" t="s">
        <v>36</v>
      </c>
      <c r="E171" s="19" t="s">
        <v>44</v>
      </c>
      <c r="F171" s="35" t="s">
        <v>45</v>
      </c>
      <c r="G171" s="17" t="s">
        <v>46</v>
      </c>
      <c r="H171" s="17" t="s">
        <v>47</v>
      </c>
      <c r="I171" s="19" t="s">
        <v>48</v>
      </c>
      <c r="J171" s="17">
        <v>4</v>
      </c>
      <c r="K171" s="21">
        <v>2.2499999999999999E-2</v>
      </c>
      <c r="L171" s="17">
        <v>2</v>
      </c>
      <c r="M171" s="22">
        <v>44350</v>
      </c>
      <c r="N171" s="23">
        <f t="shared" si="32"/>
        <v>9.8931506849315074</v>
      </c>
      <c r="O171" s="30">
        <v>47961</v>
      </c>
      <c r="P171" s="25">
        <v>100.77000000000001</v>
      </c>
      <c r="Q171" s="71">
        <v>2.1610999999999998E-2</v>
      </c>
      <c r="R171" s="29">
        <v>1500000</v>
      </c>
      <c r="S171" s="28">
        <f t="shared" si="40"/>
        <v>1511550.0000000002</v>
      </c>
      <c r="T171" s="29">
        <v>0</v>
      </c>
      <c r="U171" s="28">
        <f t="shared" si="41"/>
        <v>1511550.0000000002</v>
      </c>
      <c r="V171" s="30">
        <f>M171+2</f>
        <v>44352</v>
      </c>
      <c r="W171" s="31">
        <f t="shared" si="31"/>
        <v>20</v>
      </c>
      <c r="X171" s="31">
        <f t="shared" si="33"/>
        <v>337500</v>
      </c>
      <c r="Y171" s="31">
        <f t="shared" si="34"/>
        <v>1837500</v>
      </c>
      <c r="Z171" s="32" t="str">
        <f t="shared" si="35"/>
        <v>1~3%</v>
      </c>
      <c r="AA171" s="32" t="str">
        <f t="shared" si="36"/>
        <v>7~10</v>
      </c>
      <c r="AB171" s="31">
        <f t="shared" si="37"/>
        <v>14953991.917808222</v>
      </c>
      <c r="AC171" s="47"/>
      <c r="AD171" s="46"/>
      <c r="AE171" s="46"/>
      <c r="AF171" s="46"/>
      <c r="AG171" s="46"/>
      <c r="AH171" s="46"/>
      <c r="AJ171" s="78"/>
      <c r="AK171" s="46"/>
    </row>
    <row r="172" spans="1:37">
      <c r="A172" s="56" t="s">
        <v>547</v>
      </c>
      <c r="B172" s="56" t="s">
        <v>325</v>
      </c>
      <c r="C172" s="57" t="s">
        <v>60</v>
      </c>
      <c r="D172" s="36" t="s">
        <v>61</v>
      </c>
      <c r="E172" s="58" t="s">
        <v>548</v>
      </c>
      <c r="F172" s="54" t="s">
        <v>549</v>
      </c>
      <c r="G172" s="56" t="s">
        <v>550</v>
      </c>
      <c r="H172" s="56" t="s">
        <v>236</v>
      </c>
      <c r="I172" s="55" t="s">
        <v>551</v>
      </c>
      <c r="J172" s="56">
        <v>6</v>
      </c>
      <c r="K172" s="59">
        <v>2.5000000000000001E-2</v>
      </c>
      <c r="L172" s="33">
        <v>2</v>
      </c>
      <c r="M172" s="40">
        <v>45551</v>
      </c>
      <c r="N172" s="41">
        <f t="shared" si="32"/>
        <v>6.6383561643835618</v>
      </c>
      <c r="O172" s="45">
        <v>47974</v>
      </c>
      <c r="P172" s="42">
        <v>88.93</v>
      </c>
      <c r="Q172" s="53">
        <v>4.4441000000000001E-2</v>
      </c>
      <c r="R172" s="68">
        <v>4000000</v>
      </c>
      <c r="S172" s="68">
        <v>3557200</v>
      </c>
      <c r="T172" s="68">
        <v>36666.67</v>
      </c>
      <c r="U172" s="68">
        <v>3593866.67</v>
      </c>
      <c r="V172" s="45">
        <f>M172+1</f>
        <v>45552</v>
      </c>
      <c r="W172" s="46">
        <f t="shared" si="31"/>
        <v>14</v>
      </c>
      <c r="X172" s="46">
        <f t="shared" si="33"/>
        <v>700000</v>
      </c>
      <c r="Y172" s="46">
        <f t="shared" si="34"/>
        <v>4700000</v>
      </c>
      <c r="Z172" s="47" t="str">
        <f t="shared" si="35"/>
        <v>4~5%</v>
      </c>
      <c r="AA172" s="47" t="str">
        <f t="shared" si="36"/>
        <v>5~7</v>
      </c>
      <c r="AB172" s="46">
        <f t="shared" si="37"/>
        <v>23857366.962767124</v>
      </c>
      <c r="AC172" s="78"/>
      <c r="AD172" s="46"/>
      <c r="AE172" s="46"/>
      <c r="AF172" s="46"/>
      <c r="AG172" s="46"/>
    </row>
    <row r="173" spans="1:37">
      <c r="A173" s="56" t="s">
        <v>552</v>
      </c>
      <c r="B173" s="56" t="s">
        <v>364</v>
      </c>
      <c r="C173" s="57" t="s">
        <v>60</v>
      </c>
      <c r="D173" s="36" t="s">
        <v>61</v>
      </c>
      <c r="E173" s="58" t="s">
        <v>553</v>
      </c>
      <c r="F173" s="54" t="s">
        <v>554</v>
      </c>
      <c r="G173" s="56" t="s">
        <v>467</v>
      </c>
      <c r="H173" s="56" t="s">
        <v>236</v>
      </c>
      <c r="I173" s="55" t="s">
        <v>555</v>
      </c>
      <c r="J173" s="33">
        <v>7</v>
      </c>
      <c r="K173" s="59">
        <v>5.45E-2</v>
      </c>
      <c r="L173" s="33">
        <v>2</v>
      </c>
      <c r="M173" s="45">
        <v>45533</v>
      </c>
      <c r="N173" s="41">
        <f t="shared" si="32"/>
        <v>6.7589041095890412</v>
      </c>
      <c r="O173" s="45">
        <v>48000</v>
      </c>
      <c r="P173" s="42">
        <v>105.2</v>
      </c>
      <c r="Q173" s="53">
        <v>4.5400000000000003E-2</v>
      </c>
      <c r="R173" s="44">
        <v>6700000</v>
      </c>
      <c r="S173" s="43">
        <v>7048400</v>
      </c>
      <c r="T173" s="44">
        <v>112587.92</v>
      </c>
      <c r="U173" s="43">
        <v>7160987.9199999999</v>
      </c>
      <c r="V173" s="45">
        <v>45534</v>
      </c>
      <c r="W173" s="46">
        <f t="shared" si="31"/>
        <v>14</v>
      </c>
      <c r="X173" s="46">
        <f t="shared" si="33"/>
        <v>2556050</v>
      </c>
      <c r="Y173" s="46">
        <f t="shared" si="34"/>
        <v>9256050</v>
      </c>
      <c r="Z173" s="47" t="str">
        <f t="shared" si="35"/>
        <v>4~5%</v>
      </c>
      <c r="AA173" s="47" t="str">
        <f t="shared" si="36"/>
        <v>5~7</v>
      </c>
      <c r="AB173" s="46">
        <f t="shared" si="37"/>
        <v>48400430.681205481</v>
      </c>
      <c r="AC173" s="78"/>
      <c r="AD173" s="46"/>
      <c r="AE173" s="46"/>
      <c r="AF173" s="46"/>
      <c r="AG173" s="46"/>
    </row>
    <row r="174" spans="1:37">
      <c r="A174" s="56" t="s">
        <v>556</v>
      </c>
      <c r="B174" s="56" t="s">
        <v>233</v>
      </c>
      <c r="C174" s="57" t="s">
        <v>60</v>
      </c>
      <c r="D174" s="36" t="s">
        <v>61</v>
      </c>
      <c r="E174" s="58" t="s">
        <v>557</v>
      </c>
      <c r="F174" s="54" t="s">
        <v>558</v>
      </c>
      <c r="G174" s="56" t="s">
        <v>559</v>
      </c>
      <c r="H174" s="56" t="s">
        <v>236</v>
      </c>
      <c r="I174" s="55" t="s">
        <v>560</v>
      </c>
      <c r="J174" s="56">
        <v>8</v>
      </c>
      <c r="K174" s="59">
        <v>2.6499999999999999E-2</v>
      </c>
      <c r="L174" s="33">
        <v>2</v>
      </c>
      <c r="M174" s="40">
        <v>45561</v>
      </c>
      <c r="N174" s="41">
        <f t="shared" si="32"/>
        <v>6.7260273972602738</v>
      </c>
      <c r="O174" s="45">
        <v>48016</v>
      </c>
      <c r="P174" s="42">
        <v>89</v>
      </c>
      <c r="Q174" s="53">
        <v>4.5683000000000001E-2</v>
      </c>
      <c r="R174" s="68">
        <v>1100000</v>
      </c>
      <c r="S174" s="68">
        <v>979000</v>
      </c>
      <c r="T174" s="68">
        <v>8097.22</v>
      </c>
      <c r="U174" s="68">
        <f t="shared" ref="U174:U182" si="42">S174+T174</f>
        <v>987097.22</v>
      </c>
      <c r="V174" s="45">
        <f>M174+1</f>
        <v>45562</v>
      </c>
      <c r="W174" s="46">
        <f t="shared" si="31"/>
        <v>14</v>
      </c>
      <c r="X174" s="46">
        <f t="shared" si="33"/>
        <v>204050</v>
      </c>
      <c r="Y174" s="46">
        <f t="shared" si="34"/>
        <v>1304050</v>
      </c>
      <c r="Z174" s="47" t="str">
        <f t="shared" si="35"/>
        <v>4~5%</v>
      </c>
      <c r="AA174" s="47" t="str">
        <f t="shared" si="36"/>
        <v>5~7</v>
      </c>
      <c r="AB174" s="46">
        <f t="shared" si="37"/>
        <v>6639242.9454794517</v>
      </c>
      <c r="AC174" s="78"/>
      <c r="AD174" s="46"/>
      <c r="AE174" s="46"/>
      <c r="AF174" s="46"/>
      <c r="AG174" s="46"/>
    </row>
    <row r="175" spans="1:37">
      <c r="A175" s="56" t="s">
        <v>561</v>
      </c>
      <c r="B175" s="56" t="s">
        <v>325</v>
      </c>
      <c r="C175" s="57" t="s">
        <v>60</v>
      </c>
      <c r="D175" s="36" t="s">
        <v>61</v>
      </c>
      <c r="E175" s="58" t="s">
        <v>562</v>
      </c>
      <c r="F175" s="54" t="s">
        <v>563</v>
      </c>
      <c r="G175" s="33" t="s">
        <v>64</v>
      </c>
      <c r="H175" s="56" t="s">
        <v>236</v>
      </c>
      <c r="I175" s="55" t="s">
        <v>564</v>
      </c>
      <c r="J175" s="56">
        <v>6</v>
      </c>
      <c r="K175" s="73">
        <v>2.6939999999999999E-2</v>
      </c>
      <c r="L175" s="33">
        <v>2</v>
      </c>
      <c r="M175" s="40">
        <v>45538</v>
      </c>
      <c r="N175" s="41">
        <f t="shared" si="32"/>
        <v>6.7890410958904113</v>
      </c>
      <c r="O175" s="45">
        <v>48016</v>
      </c>
      <c r="P175" s="42">
        <v>89.53</v>
      </c>
      <c r="Q175" s="53">
        <v>4.5017000000000001E-2</v>
      </c>
      <c r="R175" s="68">
        <v>5500000</v>
      </c>
      <c r="S175" s="44">
        <f>R175*P175/100</f>
        <v>4924150</v>
      </c>
      <c r="T175" s="44">
        <v>32103.5</v>
      </c>
      <c r="U175" s="44">
        <f t="shared" si="42"/>
        <v>4956253.5</v>
      </c>
      <c r="V175" s="45">
        <f>M175+1</f>
        <v>45539</v>
      </c>
      <c r="W175" s="46">
        <f t="shared" si="31"/>
        <v>14</v>
      </c>
      <c r="X175" s="46">
        <f t="shared" si="33"/>
        <v>1037190</v>
      </c>
      <c r="Y175" s="46">
        <f t="shared" si="34"/>
        <v>6537190</v>
      </c>
      <c r="Z175" s="47" t="str">
        <f t="shared" si="35"/>
        <v>4~5%</v>
      </c>
      <c r="AA175" s="47" t="str">
        <f t="shared" si="36"/>
        <v>5~7</v>
      </c>
      <c r="AB175" s="46">
        <f t="shared" si="37"/>
        <v>33648208.693150684</v>
      </c>
    </row>
    <row r="176" spans="1:37">
      <c r="A176" s="56" t="s">
        <v>565</v>
      </c>
      <c r="B176" s="56" t="s">
        <v>364</v>
      </c>
      <c r="C176" s="57" t="s">
        <v>35</v>
      </c>
      <c r="D176" s="36" t="s">
        <v>61</v>
      </c>
      <c r="E176" s="58" t="s">
        <v>566</v>
      </c>
      <c r="F176" s="54" t="s">
        <v>200</v>
      </c>
      <c r="G176" s="56" t="s">
        <v>39</v>
      </c>
      <c r="H176" s="56" t="s">
        <v>236</v>
      </c>
      <c r="I176" s="55" t="s">
        <v>567</v>
      </c>
      <c r="J176" s="56">
        <v>7</v>
      </c>
      <c r="K176" s="59">
        <v>5.3999999999999999E-2</v>
      </c>
      <c r="L176" s="33">
        <v>2</v>
      </c>
      <c r="M176" s="40">
        <v>45721</v>
      </c>
      <c r="N176" s="60">
        <f t="shared" si="32"/>
        <v>6.3068493150684928</v>
      </c>
      <c r="O176" s="45">
        <v>48023</v>
      </c>
      <c r="P176" s="42">
        <v>102.6</v>
      </c>
      <c r="Q176" s="53">
        <v>4.9099999999999998E-2</v>
      </c>
      <c r="R176" s="68">
        <v>5600000</v>
      </c>
      <c r="S176" s="68">
        <f>R176*P176/100</f>
        <v>5745600</v>
      </c>
      <c r="T176" s="68">
        <v>60480</v>
      </c>
      <c r="U176" s="68">
        <f t="shared" si="42"/>
        <v>5806080</v>
      </c>
      <c r="V176" s="45">
        <v>45722</v>
      </c>
      <c r="W176" s="46">
        <f t="shared" si="31"/>
        <v>13</v>
      </c>
      <c r="X176" s="46">
        <f t="shared" si="33"/>
        <v>1965600</v>
      </c>
      <c r="Y176" s="46">
        <f t="shared" si="34"/>
        <v>7565600</v>
      </c>
      <c r="Z176" s="47" t="str">
        <f t="shared" si="35"/>
        <v>4~5%</v>
      </c>
      <c r="AA176" s="47" t="str">
        <f t="shared" si="36"/>
        <v>5~7</v>
      </c>
      <c r="AB176" s="46">
        <f t="shared" si="37"/>
        <v>36618071.671232872</v>
      </c>
      <c r="AC176" s="47"/>
      <c r="AD176" s="46"/>
      <c r="AE176" s="46"/>
      <c r="AF176" s="46"/>
      <c r="AG176" s="46"/>
    </row>
    <row r="177" spans="1:33">
      <c r="A177" s="56" t="s">
        <v>568</v>
      </c>
      <c r="B177" s="56" t="s">
        <v>321</v>
      </c>
      <c r="C177" s="57" t="s">
        <v>35</v>
      </c>
      <c r="D177" s="36" t="s">
        <v>61</v>
      </c>
      <c r="E177" s="58" t="s">
        <v>569</v>
      </c>
      <c r="F177" s="54" t="s">
        <v>538</v>
      </c>
      <c r="G177" s="56" t="s">
        <v>39</v>
      </c>
      <c r="H177" s="56" t="s">
        <v>236</v>
      </c>
      <c r="I177" s="55" t="s">
        <v>570</v>
      </c>
      <c r="J177" s="56">
        <v>6</v>
      </c>
      <c r="K177" s="59">
        <v>5.1360000000000003E-2</v>
      </c>
      <c r="L177" s="33">
        <v>2</v>
      </c>
      <c r="M177" s="40">
        <v>45541</v>
      </c>
      <c r="N177" s="41">
        <f t="shared" si="32"/>
        <v>6.8219178082191778</v>
      </c>
      <c r="O177" s="45">
        <v>48031</v>
      </c>
      <c r="P177" s="42">
        <v>104</v>
      </c>
      <c r="Q177" s="53">
        <v>4.4477000000000003E-2</v>
      </c>
      <c r="R177" s="68">
        <v>5000000</v>
      </c>
      <c r="S177" s="68">
        <f>R177*P177/100</f>
        <v>5200000</v>
      </c>
      <c r="T177" s="68">
        <v>48506.67</v>
      </c>
      <c r="U177" s="68">
        <f t="shared" si="42"/>
        <v>5248506.67</v>
      </c>
      <c r="V177" s="45">
        <f>M177+1</f>
        <v>45542</v>
      </c>
      <c r="W177" s="46">
        <f t="shared" si="31"/>
        <v>14</v>
      </c>
      <c r="X177" s="46">
        <f t="shared" si="33"/>
        <v>1797600</v>
      </c>
      <c r="Y177" s="46">
        <f t="shared" si="34"/>
        <v>6797600</v>
      </c>
      <c r="Z177" s="47" t="str">
        <f t="shared" si="35"/>
        <v>4~5%</v>
      </c>
      <c r="AA177" s="47" t="str">
        <f t="shared" si="36"/>
        <v>5~7</v>
      </c>
      <c r="AB177" s="46">
        <f t="shared" si="37"/>
        <v>35804881.118630134</v>
      </c>
      <c r="AC177" s="47"/>
      <c r="AD177" s="46"/>
      <c r="AE177" s="46"/>
      <c r="AF177" s="46"/>
      <c r="AG177" s="46"/>
    </row>
    <row r="178" spans="1:33">
      <c r="A178" s="56" t="s">
        <v>568</v>
      </c>
      <c r="B178" s="56" t="s">
        <v>325</v>
      </c>
      <c r="C178" s="57" t="s">
        <v>35</v>
      </c>
      <c r="D178" s="36" t="s">
        <v>61</v>
      </c>
      <c r="E178" s="58" t="s">
        <v>569</v>
      </c>
      <c r="F178" s="54" t="s">
        <v>538</v>
      </c>
      <c r="G178" s="56" t="s">
        <v>216</v>
      </c>
      <c r="H178" s="56" t="s">
        <v>236</v>
      </c>
      <c r="I178" s="55" t="s">
        <v>570</v>
      </c>
      <c r="J178" s="56">
        <v>6</v>
      </c>
      <c r="K178" s="73">
        <v>5.1360000000000003E-2</v>
      </c>
      <c r="L178" s="33">
        <v>2</v>
      </c>
      <c r="M178" s="40">
        <v>45538</v>
      </c>
      <c r="N178" s="41">
        <f t="shared" si="32"/>
        <v>6.8301369863013699</v>
      </c>
      <c r="O178" s="45">
        <v>48031</v>
      </c>
      <c r="P178" s="42">
        <v>103.1</v>
      </c>
      <c r="Q178" s="53">
        <v>4.6006400000000003E-2</v>
      </c>
      <c r="R178" s="68">
        <v>4500000</v>
      </c>
      <c r="S178" s="44">
        <f>R178*P178/100</f>
        <v>4639500</v>
      </c>
      <c r="T178" s="44">
        <v>39804</v>
      </c>
      <c r="U178" s="44">
        <f t="shared" si="42"/>
        <v>4679304</v>
      </c>
      <c r="V178" s="45">
        <f>M178+1</f>
        <v>45539</v>
      </c>
      <c r="W178" s="46">
        <f t="shared" si="31"/>
        <v>14</v>
      </c>
      <c r="X178" s="46">
        <f t="shared" si="33"/>
        <v>1617840</v>
      </c>
      <c r="Y178" s="46">
        <f t="shared" si="34"/>
        <v>6117840</v>
      </c>
      <c r="Z178" s="47" t="str">
        <f t="shared" si="35"/>
        <v>4~5%</v>
      </c>
      <c r="AA178" s="47" t="str">
        <f t="shared" si="36"/>
        <v>5~7</v>
      </c>
      <c r="AB178" s="46">
        <f t="shared" si="37"/>
        <v>31960287.320547946</v>
      </c>
      <c r="AC178" s="47"/>
      <c r="AD178" s="46"/>
      <c r="AE178" s="46"/>
      <c r="AF178" s="46"/>
      <c r="AG178" s="46"/>
    </row>
    <row r="179" spans="1:33">
      <c r="A179" s="57" t="s">
        <v>571</v>
      </c>
      <c r="B179" s="57" t="s">
        <v>54</v>
      </c>
      <c r="C179" s="57" t="s">
        <v>35</v>
      </c>
      <c r="D179" s="33" t="s">
        <v>61</v>
      </c>
      <c r="E179" s="37" t="s">
        <v>569</v>
      </c>
      <c r="F179" s="54" t="s">
        <v>538</v>
      </c>
      <c r="G179" s="33" t="s">
        <v>39</v>
      </c>
      <c r="H179" s="38" t="s">
        <v>40</v>
      </c>
      <c r="I179" s="72" t="s">
        <v>570</v>
      </c>
      <c r="J179" s="33">
        <v>6</v>
      </c>
      <c r="K179" s="73">
        <v>5.1360000000000003E-2</v>
      </c>
      <c r="L179" s="33">
        <v>2</v>
      </c>
      <c r="M179" s="45">
        <v>45534</v>
      </c>
      <c r="N179" s="41">
        <v>6.84</v>
      </c>
      <c r="O179" s="66">
        <v>48031</v>
      </c>
      <c r="P179" s="74">
        <v>103.3</v>
      </c>
      <c r="Q179" s="53">
        <v>4.5600000000000002E-2</v>
      </c>
      <c r="R179" s="44">
        <v>690000</v>
      </c>
      <c r="S179" s="43">
        <v>712770</v>
      </c>
      <c r="T179" s="44">
        <v>6004.84</v>
      </c>
      <c r="U179" s="44">
        <f t="shared" si="42"/>
        <v>718774.84</v>
      </c>
      <c r="V179" s="45">
        <v>45538</v>
      </c>
      <c r="W179" s="46">
        <f t="shared" si="31"/>
        <v>14</v>
      </c>
      <c r="X179" s="46">
        <f t="shared" si="33"/>
        <v>248068.80000000002</v>
      </c>
      <c r="Y179" s="46">
        <f t="shared" si="34"/>
        <v>938068.8</v>
      </c>
      <c r="Z179" s="47" t="str">
        <f t="shared" si="35"/>
        <v>4~5%</v>
      </c>
      <c r="AA179" s="47" t="str">
        <f t="shared" si="36"/>
        <v>5~7</v>
      </c>
      <c r="AB179" s="46">
        <f t="shared" si="37"/>
        <v>4916419.9055999992</v>
      </c>
      <c r="AC179" s="47"/>
      <c r="AD179" s="46"/>
      <c r="AE179" s="46"/>
      <c r="AF179" s="46"/>
      <c r="AG179" s="46"/>
    </row>
    <row r="180" spans="1:33">
      <c r="A180" s="57" t="s">
        <v>571</v>
      </c>
      <c r="B180" s="57" t="s">
        <v>54</v>
      </c>
      <c r="C180" s="57" t="s">
        <v>35</v>
      </c>
      <c r="D180" s="33" t="s">
        <v>61</v>
      </c>
      <c r="E180" s="37" t="s">
        <v>569</v>
      </c>
      <c r="F180" s="54" t="s">
        <v>538</v>
      </c>
      <c r="G180" s="33" t="s">
        <v>39</v>
      </c>
      <c r="H180" s="38" t="s">
        <v>40</v>
      </c>
      <c r="I180" s="72" t="s">
        <v>539</v>
      </c>
      <c r="J180" s="33">
        <v>6</v>
      </c>
      <c r="K180" s="73">
        <v>5.1360000000000003E-2</v>
      </c>
      <c r="L180" s="33">
        <v>2</v>
      </c>
      <c r="M180" s="66">
        <v>45476</v>
      </c>
      <c r="N180" s="41">
        <f t="shared" ref="N180:N226" si="43">(O180-M180)/365</f>
        <v>7</v>
      </c>
      <c r="O180" s="66">
        <v>48031</v>
      </c>
      <c r="P180" s="74">
        <v>99.6</v>
      </c>
      <c r="Q180" s="75">
        <v>5.1999999999999998E-2</v>
      </c>
      <c r="R180" s="44">
        <v>2470000</v>
      </c>
      <c r="S180" s="43">
        <f>R180*P180/100</f>
        <v>2460120</v>
      </c>
      <c r="T180" s="44">
        <v>1057.1600000000001</v>
      </c>
      <c r="U180" s="43">
        <f t="shared" si="42"/>
        <v>2461177.16</v>
      </c>
      <c r="V180" s="66">
        <f>M180+2</f>
        <v>45478</v>
      </c>
      <c r="W180" s="46">
        <f t="shared" si="31"/>
        <v>14</v>
      </c>
      <c r="X180" s="46">
        <f t="shared" si="33"/>
        <v>888014.40000000014</v>
      </c>
      <c r="Y180" s="46">
        <f t="shared" si="34"/>
        <v>3358014.4000000004</v>
      </c>
      <c r="Z180" s="47" t="str">
        <f t="shared" si="35"/>
        <v>5~6%</v>
      </c>
      <c r="AA180" s="47" t="str">
        <f t="shared" si="36"/>
        <v>5~7</v>
      </c>
      <c r="AB180" s="46">
        <f t="shared" si="37"/>
        <v>17228240.120000001</v>
      </c>
      <c r="AC180" s="47"/>
      <c r="AD180" s="46"/>
      <c r="AE180" s="46"/>
      <c r="AF180" s="46"/>
      <c r="AG180" s="46"/>
    </row>
    <row r="181" spans="1:33">
      <c r="A181" s="56" t="s">
        <v>572</v>
      </c>
      <c r="B181" s="56" t="s">
        <v>364</v>
      </c>
      <c r="C181" s="57" t="s">
        <v>35</v>
      </c>
      <c r="D181" s="36" t="s">
        <v>61</v>
      </c>
      <c r="E181" s="58" t="s">
        <v>573</v>
      </c>
      <c r="F181" s="54" t="s">
        <v>574</v>
      </c>
      <c r="G181" s="33" t="s">
        <v>39</v>
      </c>
      <c r="H181" s="56" t="s">
        <v>236</v>
      </c>
      <c r="I181" s="55" t="s">
        <v>324</v>
      </c>
      <c r="J181" s="56">
        <v>7</v>
      </c>
      <c r="K181" s="59">
        <v>5.0500000000000003E-2</v>
      </c>
      <c r="L181" s="33">
        <v>2</v>
      </c>
      <c r="M181" s="40">
        <v>45551</v>
      </c>
      <c r="N181" s="41">
        <f t="shared" si="43"/>
        <v>6.816438356164384</v>
      </c>
      <c r="O181" s="45">
        <v>48039</v>
      </c>
      <c r="P181" s="42">
        <v>104.2</v>
      </c>
      <c r="Q181" s="53">
        <v>4.3305000000000003E-2</v>
      </c>
      <c r="R181" s="68">
        <v>3000000</v>
      </c>
      <c r="S181" s="68">
        <f>R181*P181/100</f>
        <v>3126000</v>
      </c>
      <c r="T181" s="68">
        <v>28195.83</v>
      </c>
      <c r="U181" s="68">
        <f t="shared" si="42"/>
        <v>3154195.83</v>
      </c>
      <c r="V181" s="45">
        <f>M181+1</f>
        <v>45552</v>
      </c>
      <c r="W181" s="46">
        <f t="shared" si="31"/>
        <v>14</v>
      </c>
      <c r="X181" s="46">
        <f t="shared" si="33"/>
        <v>1060500</v>
      </c>
      <c r="Y181" s="46">
        <f t="shared" si="34"/>
        <v>4060500</v>
      </c>
      <c r="Z181" s="47" t="str">
        <f t="shared" si="35"/>
        <v>4~5%</v>
      </c>
      <c r="AA181" s="47" t="str">
        <f t="shared" si="36"/>
        <v>5~7</v>
      </c>
      <c r="AB181" s="46">
        <f t="shared" si="37"/>
        <v>21500381.438465755</v>
      </c>
      <c r="AC181" s="47"/>
      <c r="AD181" s="46"/>
      <c r="AE181" s="46"/>
      <c r="AF181" s="46"/>
      <c r="AG181" s="46"/>
    </row>
    <row r="182" spans="1:33">
      <c r="A182" s="33" t="s">
        <v>575</v>
      </c>
      <c r="B182" s="33" t="s">
        <v>54</v>
      </c>
      <c r="C182" s="48" t="s">
        <v>67</v>
      </c>
      <c r="D182" s="33" t="s">
        <v>338</v>
      </c>
      <c r="E182" s="37" t="s">
        <v>576</v>
      </c>
      <c r="F182" s="49" t="s">
        <v>301</v>
      </c>
      <c r="G182" s="33" t="s">
        <v>39</v>
      </c>
      <c r="H182" s="33" t="s">
        <v>227</v>
      </c>
      <c r="I182" s="37" t="s">
        <v>577</v>
      </c>
      <c r="J182" s="33">
        <v>5</v>
      </c>
      <c r="K182" s="39">
        <v>5.4390000000000001E-2</v>
      </c>
      <c r="L182" s="33">
        <v>2</v>
      </c>
      <c r="M182" s="40">
        <v>45793</v>
      </c>
      <c r="N182" s="41">
        <f t="shared" si="43"/>
        <v>6.1671232876712327</v>
      </c>
      <c r="O182" s="45" t="s">
        <v>578</v>
      </c>
      <c r="P182" s="42">
        <v>102.99</v>
      </c>
      <c r="Q182" s="53">
        <v>4.87E-2</v>
      </c>
      <c r="R182" s="44">
        <v>4800000</v>
      </c>
      <c r="S182" s="43">
        <f>R182*P182/100</f>
        <v>4943520</v>
      </c>
      <c r="T182" s="44">
        <v>89924.800000000003</v>
      </c>
      <c r="U182" s="43">
        <f t="shared" si="42"/>
        <v>5033444.8</v>
      </c>
      <c r="V182" s="45">
        <v>45796</v>
      </c>
      <c r="W182" s="46">
        <f t="shared" si="31"/>
        <v>13</v>
      </c>
      <c r="X182" s="46">
        <f t="shared" si="33"/>
        <v>1696968</v>
      </c>
      <c r="Y182" s="46">
        <f t="shared" si="34"/>
        <v>6496968</v>
      </c>
      <c r="Z182" s="47" t="str">
        <f t="shared" si="35"/>
        <v>4~5%</v>
      </c>
      <c r="AA182" s="47" t="str">
        <f t="shared" si="36"/>
        <v>5~7</v>
      </c>
      <c r="AB182" s="46">
        <f t="shared" si="37"/>
        <v>31041874.64328767</v>
      </c>
    </row>
    <row r="183" spans="1:33">
      <c r="A183" s="56" t="s">
        <v>579</v>
      </c>
      <c r="B183" s="56" t="s">
        <v>321</v>
      </c>
      <c r="C183" s="57" t="s">
        <v>35</v>
      </c>
      <c r="D183" s="36" t="s">
        <v>61</v>
      </c>
      <c r="E183" s="58" t="s">
        <v>580</v>
      </c>
      <c r="F183" s="54" t="s">
        <v>301</v>
      </c>
      <c r="G183" s="56" t="s">
        <v>39</v>
      </c>
      <c r="H183" s="56" t="s">
        <v>236</v>
      </c>
      <c r="I183" s="55" t="s">
        <v>581</v>
      </c>
      <c r="J183" s="56">
        <v>6</v>
      </c>
      <c r="K183" s="59">
        <v>5.4390000000000001E-2</v>
      </c>
      <c r="L183" s="33">
        <v>2</v>
      </c>
      <c r="M183" s="40">
        <v>45545</v>
      </c>
      <c r="N183" s="41">
        <f t="shared" si="43"/>
        <v>6.8465753424657532</v>
      </c>
      <c r="O183" s="45">
        <v>48044</v>
      </c>
      <c r="P183" s="42">
        <v>105</v>
      </c>
      <c r="Q183" s="53">
        <v>4.5787000000000001E-2</v>
      </c>
      <c r="R183" s="68">
        <v>2000000</v>
      </c>
      <c r="S183" s="68">
        <v>2100000</v>
      </c>
      <c r="T183" s="68">
        <v>16921.330000000002</v>
      </c>
      <c r="U183" s="68">
        <v>2116921.33</v>
      </c>
      <c r="V183" s="45">
        <f>M183+1</f>
        <v>45546</v>
      </c>
      <c r="W183" s="46">
        <f t="shared" si="31"/>
        <v>14</v>
      </c>
      <c r="X183" s="46">
        <f t="shared" si="33"/>
        <v>761460</v>
      </c>
      <c r="Y183" s="46">
        <f t="shared" si="34"/>
        <v>2761460</v>
      </c>
      <c r="Z183" s="47" t="str">
        <f t="shared" si="35"/>
        <v>4~5%</v>
      </c>
      <c r="AA183" s="47" t="str">
        <f t="shared" si="36"/>
        <v>5~7</v>
      </c>
      <c r="AB183" s="46">
        <f t="shared" si="37"/>
        <v>14493661.379917808</v>
      </c>
    </row>
    <row r="184" spans="1:33">
      <c r="A184" s="56" t="s">
        <v>579</v>
      </c>
      <c r="B184" s="56" t="s">
        <v>321</v>
      </c>
      <c r="C184" s="57" t="s">
        <v>35</v>
      </c>
      <c r="D184" s="36" t="s">
        <v>61</v>
      </c>
      <c r="E184" s="58" t="s">
        <v>580</v>
      </c>
      <c r="F184" s="54" t="s">
        <v>301</v>
      </c>
      <c r="G184" s="56" t="s">
        <v>39</v>
      </c>
      <c r="H184" s="56" t="s">
        <v>236</v>
      </c>
      <c r="I184" s="55" t="s">
        <v>581</v>
      </c>
      <c r="J184" s="56">
        <v>6</v>
      </c>
      <c r="K184" s="59">
        <v>5.4390000000000001E-2</v>
      </c>
      <c r="L184" s="33">
        <v>2</v>
      </c>
      <c r="M184" s="40">
        <v>45544</v>
      </c>
      <c r="N184" s="41">
        <f t="shared" si="43"/>
        <v>6.8493150684931505</v>
      </c>
      <c r="O184" s="45">
        <v>48044</v>
      </c>
      <c r="P184" s="42">
        <v>104.7</v>
      </c>
      <c r="Q184" s="53">
        <v>4.6290999999999999E-2</v>
      </c>
      <c r="R184" s="68">
        <v>5000000</v>
      </c>
      <c r="S184" s="68">
        <f t="shared" ref="S184:S195" si="44">R184*P184/100</f>
        <v>5235000</v>
      </c>
      <c r="T184" s="68">
        <v>41547.919999999998</v>
      </c>
      <c r="U184" s="68">
        <f t="shared" ref="U184:U195" si="45">S184+T184</f>
        <v>5276547.92</v>
      </c>
      <c r="V184" s="45">
        <f>M184+1</f>
        <v>45545</v>
      </c>
      <c r="W184" s="46">
        <f t="shared" si="31"/>
        <v>14</v>
      </c>
      <c r="X184" s="46">
        <f t="shared" si="33"/>
        <v>1903650</v>
      </c>
      <c r="Y184" s="46">
        <f t="shared" si="34"/>
        <v>6903650</v>
      </c>
      <c r="Z184" s="47" t="str">
        <f t="shared" si="35"/>
        <v>4~5%</v>
      </c>
      <c r="AA184" s="47" t="str">
        <f t="shared" si="36"/>
        <v>5~7</v>
      </c>
      <c r="AB184" s="46">
        <f t="shared" si="37"/>
        <v>36140739.17808219</v>
      </c>
    </row>
    <row r="185" spans="1:33">
      <c r="A185" s="56" t="s">
        <v>579</v>
      </c>
      <c r="B185" s="56" t="s">
        <v>325</v>
      </c>
      <c r="C185" s="57" t="s">
        <v>35</v>
      </c>
      <c r="D185" s="36" t="s">
        <v>61</v>
      </c>
      <c r="E185" s="58" t="s">
        <v>580</v>
      </c>
      <c r="F185" s="54" t="s">
        <v>301</v>
      </c>
      <c r="G185" s="56" t="s">
        <v>582</v>
      </c>
      <c r="H185" s="56" t="s">
        <v>236</v>
      </c>
      <c r="I185" s="55" t="s">
        <v>581</v>
      </c>
      <c r="J185" s="56">
        <v>6</v>
      </c>
      <c r="K185" s="73">
        <v>5.4390000000000001E-2</v>
      </c>
      <c r="L185" s="33">
        <v>2</v>
      </c>
      <c r="M185" s="40">
        <v>45538</v>
      </c>
      <c r="N185" s="41">
        <f t="shared" si="43"/>
        <v>6.8657534246575347</v>
      </c>
      <c r="O185" s="45">
        <v>48044</v>
      </c>
      <c r="P185" s="42">
        <v>103.7</v>
      </c>
      <c r="Q185" s="53">
        <v>4.7980000000000002E-2</v>
      </c>
      <c r="R185" s="68">
        <v>5000000</v>
      </c>
      <c r="S185" s="44">
        <f t="shared" si="44"/>
        <v>5185000</v>
      </c>
      <c r="T185" s="44">
        <v>37015.42</v>
      </c>
      <c r="U185" s="44">
        <f t="shared" si="45"/>
        <v>5222015.42</v>
      </c>
      <c r="V185" s="45">
        <f>M185+1</f>
        <v>45539</v>
      </c>
      <c r="W185" s="46">
        <f t="shared" si="31"/>
        <v>14</v>
      </c>
      <c r="X185" s="46">
        <f t="shared" si="33"/>
        <v>1903650</v>
      </c>
      <c r="Y185" s="46">
        <f t="shared" si="34"/>
        <v>6903650</v>
      </c>
      <c r="Z185" s="47" t="str">
        <f t="shared" si="35"/>
        <v>4~5%</v>
      </c>
      <c r="AA185" s="47" t="str">
        <f t="shared" si="36"/>
        <v>5~7</v>
      </c>
      <c r="AB185" s="46">
        <f t="shared" si="37"/>
        <v>35853070.253479451</v>
      </c>
    </row>
    <row r="186" spans="1:33">
      <c r="A186" s="33" t="s">
        <v>583</v>
      </c>
      <c r="B186" s="33" t="s">
        <v>54</v>
      </c>
      <c r="C186" s="33" t="s">
        <v>35</v>
      </c>
      <c r="D186" s="36" t="s">
        <v>61</v>
      </c>
      <c r="E186" s="37" t="s">
        <v>584</v>
      </c>
      <c r="F186" s="37" t="s">
        <v>585</v>
      </c>
      <c r="G186" s="33" t="s">
        <v>39</v>
      </c>
      <c r="H186" s="38" t="s">
        <v>40</v>
      </c>
      <c r="I186" s="37" t="s">
        <v>586</v>
      </c>
      <c r="J186" s="33">
        <v>1</v>
      </c>
      <c r="K186" s="39">
        <v>1.6250000000000001E-2</v>
      </c>
      <c r="L186" s="33">
        <v>2</v>
      </c>
      <c r="M186" s="40">
        <v>45015</v>
      </c>
      <c r="N186" s="41">
        <f t="shared" si="43"/>
        <v>8.3479452054794514</v>
      </c>
      <c r="O186" s="45">
        <v>48062</v>
      </c>
      <c r="P186" s="42">
        <v>83.77</v>
      </c>
      <c r="Q186" s="53">
        <v>3.9087999999999998E-2</v>
      </c>
      <c r="R186" s="44">
        <v>2000000</v>
      </c>
      <c r="S186" s="43">
        <f t="shared" si="44"/>
        <v>1675400</v>
      </c>
      <c r="T186" s="44">
        <v>5236.1099999999997</v>
      </c>
      <c r="U186" s="43">
        <f t="shared" si="45"/>
        <v>1680636.11</v>
      </c>
      <c r="V186" s="45">
        <f>M186+2</f>
        <v>45017</v>
      </c>
      <c r="W186" s="46">
        <f t="shared" si="31"/>
        <v>17</v>
      </c>
      <c r="X186" s="46">
        <f t="shared" si="33"/>
        <v>276250</v>
      </c>
      <c r="Y186" s="46">
        <f t="shared" si="34"/>
        <v>2276250</v>
      </c>
      <c r="Z186" s="47" t="str">
        <f t="shared" si="35"/>
        <v>3~4%</v>
      </c>
      <c r="AA186" s="47" t="str">
        <f t="shared" si="36"/>
        <v>7~10</v>
      </c>
      <c r="AB186" s="46">
        <f t="shared" si="37"/>
        <v>14029858.156630136</v>
      </c>
    </row>
    <row r="187" spans="1:33">
      <c r="A187" s="33" t="s">
        <v>583</v>
      </c>
      <c r="B187" s="33" t="s">
        <v>54</v>
      </c>
      <c r="C187" s="33" t="s">
        <v>35</v>
      </c>
      <c r="D187" s="33" t="s">
        <v>61</v>
      </c>
      <c r="E187" s="37" t="s">
        <v>584</v>
      </c>
      <c r="F187" s="49" t="s">
        <v>587</v>
      </c>
      <c r="G187" s="33" t="s">
        <v>39</v>
      </c>
      <c r="H187" s="33" t="s">
        <v>47</v>
      </c>
      <c r="I187" s="37" t="s">
        <v>588</v>
      </c>
      <c r="J187" s="33">
        <v>1</v>
      </c>
      <c r="K187" s="39">
        <v>1.6250000000000001E-2</v>
      </c>
      <c r="L187" s="33">
        <v>2</v>
      </c>
      <c r="M187" s="40">
        <v>45014</v>
      </c>
      <c r="N187" s="41">
        <f t="shared" si="43"/>
        <v>8.3506849315068497</v>
      </c>
      <c r="O187" s="45">
        <v>48062</v>
      </c>
      <c r="P187" s="42">
        <v>83.93</v>
      </c>
      <c r="Q187" s="53">
        <v>3.8834E-2</v>
      </c>
      <c r="R187" s="44">
        <v>250000</v>
      </c>
      <c r="S187" s="43">
        <f t="shared" si="44"/>
        <v>209825</v>
      </c>
      <c r="T187" s="44">
        <v>643.23</v>
      </c>
      <c r="U187" s="43">
        <f t="shared" si="45"/>
        <v>210468.23</v>
      </c>
      <c r="V187" s="45">
        <f>M187+2</f>
        <v>45016</v>
      </c>
      <c r="W187" s="46">
        <f t="shared" si="31"/>
        <v>17</v>
      </c>
      <c r="X187" s="46">
        <f t="shared" si="33"/>
        <v>34531.25</v>
      </c>
      <c r="Y187" s="46">
        <f t="shared" si="34"/>
        <v>284531.25</v>
      </c>
      <c r="Z187" s="47" t="str">
        <f t="shared" si="35"/>
        <v>3~4%</v>
      </c>
      <c r="AA187" s="47" t="str">
        <f t="shared" si="36"/>
        <v>7~10</v>
      </c>
      <c r="AB187" s="46">
        <f t="shared" si="37"/>
        <v>1757553.8768219179</v>
      </c>
    </row>
    <row r="188" spans="1:33">
      <c r="A188" s="33" t="s">
        <v>583</v>
      </c>
      <c r="B188" s="33" t="s">
        <v>34</v>
      </c>
      <c r="C188" s="33" t="s">
        <v>35</v>
      </c>
      <c r="D188" s="36" t="s">
        <v>61</v>
      </c>
      <c r="E188" s="37" t="s">
        <v>589</v>
      </c>
      <c r="F188" s="37" t="s">
        <v>585</v>
      </c>
      <c r="G188" s="33" t="s">
        <v>39</v>
      </c>
      <c r="H188" s="38" t="s">
        <v>40</v>
      </c>
      <c r="I188" s="37" t="s">
        <v>586</v>
      </c>
      <c r="J188" s="33">
        <v>1</v>
      </c>
      <c r="K188" s="39">
        <v>1.6250000000000001E-2</v>
      </c>
      <c r="L188" s="33">
        <v>2</v>
      </c>
      <c r="M188" s="40">
        <v>45014</v>
      </c>
      <c r="N188" s="41">
        <f t="shared" si="43"/>
        <v>8.3506849315068497</v>
      </c>
      <c r="O188" s="45">
        <v>48062</v>
      </c>
      <c r="P188" s="42">
        <v>83.93</v>
      </c>
      <c r="Q188" s="53">
        <v>3.9E-2</v>
      </c>
      <c r="R188" s="44">
        <v>1750000</v>
      </c>
      <c r="S188" s="43">
        <f t="shared" si="44"/>
        <v>1468775</v>
      </c>
      <c r="T188" s="44">
        <v>0</v>
      </c>
      <c r="U188" s="43">
        <f t="shared" si="45"/>
        <v>1468775</v>
      </c>
      <c r="V188" s="45">
        <f>M188+2</f>
        <v>45016</v>
      </c>
      <c r="W188" s="46">
        <f t="shared" si="31"/>
        <v>17</v>
      </c>
      <c r="X188" s="46">
        <f t="shared" si="33"/>
        <v>241718.75</v>
      </c>
      <c r="Y188" s="46">
        <f t="shared" si="34"/>
        <v>1991718.75</v>
      </c>
      <c r="Z188" s="47" t="str">
        <f t="shared" si="35"/>
        <v>3~4%</v>
      </c>
      <c r="AA188" s="47" t="str">
        <f t="shared" si="36"/>
        <v>7~10</v>
      </c>
      <c r="AB188" s="46">
        <f t="shared" si="37"/>
        <v>12265277.260273973</v>
      </c>
    </row>
    <row r="189" spans="1:33">
      <c r="A189" s="33" t="s">
        <v>583</v>
      </c>
      <c r="B189" s="33" t="s">
        <v>77</v>
      </c>
      <c r="C189" s="33" t="s">
        <v>35</v>
      </c>
      <c r="D189" s="33" t="s">
        <v>61</v>
      </c>
      <c r="E189" s="37" t="s">
        <v>589</v>
      </c>
      <c r="F189" s="49" t="s">
        <v>587</v>
      </c>
      <c r="G189" s="33" t="s">
        <v>39</v>
      </c>
      <c r="H189" s="33" t="s">
        <v>47</v>
      </c>
      <c r="I189" s="37" t="s">
        <v>588</v>
      </c>
      <c r="J189" s="33">
        <v>1</v>
      </c>
      <c r="K189" s="39">
        <v>1.6250000000000001E-2</v>
      </c>
      <c r="L189" s="33">
        <v>2</v>
      </c>
      <c r="M189" s="40">
        <v>45002</v>
      </c>
      <c r="N189" s="41">
        <f t="shared" si="43"/>
        <v>8.3835616438356162</v>
      </c>
      <c r="O189" s="45">
        <v>48062</v>
      </c>
      <c r="P189" s="42">
        <v>82.59</v>
      </c>
      <c r="Q189" s="53">
        <v>4.1000000000000002E-2</v>
      </c>
      <c r="R189" s="44">
        <v>2000000</v>
      </c>
      <c r="S189" s="43">
        <f t="shared" si="44"/>
        <v>1651800</v>
      </c>
      <c r="T189" s="44">
        <v>22826.09</v>
      </c>
      <c r="U189" s="43">
        <f t="shared" si="45"/>
        <v>1674626.09</v>
      </c>
      <c r="V189" s="45">
        <f>M189+2</f>
        <v>45004</v>
      </c>
      <c r="W189" s="46">
        <f t="shared" si="31"/>
        <v>17</v>
      </c>
      <c r="X189" s="46">
        <f t="shared" si="33"/>
        <v>276250</v>
      </c>
      <c r="Y189" s="46">
        <f t="shared" si="34"/>
        <v>2276250</v>
      </c>
      <c r="Z189" s="47" t="str">
        <f t="shared" si="35"/>
        <v>4~5%</v>
      </c>
      <c r="AA189" s="47" t="str">
        <f t="shared" si="36"/>
        <v>7~10</v>
      </c>
      <c r="AB189" s="46">
        <f t="shared" si="37"/>
        <v>14039331.055890411</v>
      </c>
    </row>
    <row r="190" spans="1:33">
      <c r="A190" s="33" t="s">
        <v>590</v>
      </c>
      <c r="B190" s="33" t="s">
        <v>54</v>
      </c>
      <c r="C190" s="48" t="s">
        <v>43</v>
      </c>
      <c r="D190" s="33" t="s">
        <v>61</v>
      </c>
      <c r="E190" s="37" t="s">
        <v>112</v>
      </c>
      <c r="F190" s="49" t="s">
        <v>113</v>
      </c>
      <c r="G190" s="33" t="s">
        <v>114</v>
      </c>
      <c r="H190" s="33" t="s">
        <v>47</v>
      </c>
      <c r="I190" s="37" t="s">
        <v>76</v>
      </c>
      <c r="J190" s="33">
        <v>1</v>
      </c>
      <c r="K190" s="39">
        <v>1.7000000000000001E-2</v>
      </c>
      <c r="L190" s="33">
        <v>2</v>
      </c>
      <c r="M190" s="40">
        <v>45015</v>
      </c>
      <c r="N190" s="41">
        <f t="shared" si="43"/>
        <v>8.3561643835616444</v>
      </c>
      <c r="O190" s="45">
        <v>48065</v>
      </c>
      <c r="P190" s="42">
        <v>83.77</v>
      </c>
      <c r="Q190" s="53">
        <v>3.9891000000000003E-2</v>
      </c>
      <c r="R190" s="44">
        <v>6750000</v>
      </c>
      <c r="S190" s="43">
        <f t="shared" si="44"/>
        <v>5654475</v>
      </c>
      <c r="T190" s="44">
        <v>17531.250000000004</v>
      </c>
      <c r="U190" s="43">
        <f t="shared" si="45"/>
        <v>5672006.25</v>
      </c>
      <c r="V190" s="45">
        <f>M190+2</f>
        <v>45017</v>
      </c>
      <c r="W190" s="46">
        <f t="shared" si="31"/>
        <v>17</v>
      </c>
      <c r="X190" s="46">
        <f t="shared" si="33"/>
        <v>975375.00000000012</v>
      </c>
      <c r="Y190" s="46">
        <f t="shared" si="34"/>
        <v>7725375</v>
      </c>
      <c r="Z190" s="47" t="str">
        <f t="shared" si="35"/>
        <v>3~4%</v>
      </c>
      <c r="AA190" s="47" t="str">
        <f t="shared" si="36"/>
        <v>7~10</v>
      </c>
      <c r="AB190" s="46">
        <f t="shared" si="37"/>
        <v>47396216.609589048</v>
      </c>
    </row>
    <row r="191" spans="1:33">
      <c r="A191" s="56" t="s">
        <v>591</v>
      </c>
      <c r="B191" s="56" t="s">
        <v>325</v>
      </c>
      <c r="C191" s="57" t="s">
        <v>60</v>
      </c>
      <c r="D191" s="36" t="s">
        <v>61</v>
      </c>
      <c r="E191" s="58" t="s">
        <v>592</v>
      </c>
      <c r="F191" s="54" t="s">
        <v>593</v>
      </c>
      <c r="G191" s="56" t="s">
        <v>594</v>
      </c>
      <c r="H191" s="56" t="s">
        <v>236</v>
      </c>
      <c r="I191" s="55" t="s">
        <v>595</v>
      </c>
      <c r="J191" s="56">
        <v>5</v>
      </c>
      <c r="K191" s="59">
        <v>1.8749999999999999E-2</v>
      </c>
      <c r="L191" s="33">
        <v>2</v>
      </c>
      <c r="M191" s="45">
        <v>45593</v>
      </c>
      <c r="N191" s="60">
        <f t="shared" si="43"/>
        <v>6.882191780821918</v>
      </c>
      <c r="O191" s="61">
        <v>48105</v>
      </c>
      <c r="P191" s="62">
        <v>84.14</v>
      </c>
      <c r="Q191" s="63">
        <v>4.5908999999999998E-2</v>
      </c>
      <c r="R191" s="64">
        <v>300000</v>
      </c>
      <c r="S191" s="43">
        <f t="shared" si="44"/>
        <v>252420</v>
      </c>
      <c r="T191" s="65">
        <v>703.13</v>
      </c>
      <c r="U191" s="67">
        <f t="shared" si="45"/>
        <v>253123.13</v>
      </c>
      <c r="V191" s="45">
        <f>M191+1</f>
        <v>45594</v>
      </c>
      <c r="W191" s="46">
        <f t="shared" si="31"/>
        <v>14</v>
      </c>
      <c r="X191" s="46">
        <f t="shared" si="33"/>
        <v>39375</v>
      </c>
      <c r="Y191" s="46">
        <f t="shared" si="34"/>
        <v>339375</v>
      </c>
      <c r="Z191" s="47" t="str">
        <f t="shared" si="35"/>
        <v>4~5%</v>
      </c>
      <c r="AA191" s="47" t="str">
        <f t="shared" si="36"/>
        <v>5~7</v>
      </c>
      <c r="AB191" s="46">
        <f t="shared" si="37"/>
        <v>1742041.9248219179</v>
      </c>
    </row>
    <row r="192" spans="1:33">
      <c r="A192" s="33" t="s">
        <v>596</v>
      </c>
      <c r="B192" s="33" t="s">
        <v>77</v>
      </c>
      <c r="C192" s="33" t="s">
        <v>60</v>
      </c>
      <c r="D192" s="36" t="s">
        <v>61</v>
      </c>
      <c r="E192" s="37" t="s">
        <v>597</v>
      </c>
      <c r="F192" s="37" t="s">
        <v>598</v>
      </c>
      <c r="G192" s="33" t="s">
        <v>176</v>
      </c>
      <c r="H192" s="38" t="s">
        <v>40</v>
      </c>
      <c r="I192" s="37" t="s">
        <v>154</v>
      </c>
      <c r="J192" s="33">
        <v>6</v>
      </c>
      <c r="K192" s="39">
        <v>1.8749999999999999E-2</v>
      </c>
      <c r="L192" s="33">
        <v>2</v>
      </c>
      <c r="M192" s="40">
        <v>45141</v>
      </c>
      <c r="N192" s="41">
        <f t="shared" si="43"/>
        <v>8.1232876712328768</v>
      </c>
      <c r="O192" s="45">
        <v>48106</v>
      </c>
      <c r="P192" s="42">
        <v>82.23</v>
      </c>
      <c r="Q192" s="53">
        <v>4.5100000000000001E-2</v>
      </c>
      <c r="R192" s="44">
        <v>6000000</v>
      </c>
      <c r="S192" s="43">
        <f t="shared" si="44"/>
        <v>4933800</v>
      </c>
      <c r="T192" s="44">
        <v>3441.67</v>
      </c>
      <c r="U192" s="43">
        <f t="shared" si="45"/>
        <v>4937241.67</v>
      </c>
      <c r="V192" s="45">
        <f>M192+2</f>
        <v>45143</v>
      </c>
      <c r="W192" s="46">
        <f t="shared" ref="W192:W223" si="46">_xlfn.CEILING.MATH(N192*L192)</f>
        <v>17</v>
      </c>
      <c r="X192" s="46">
        <f t="shared" si="33"/>
        <v>956250</v>
      </c>
      <c r="Y192" s="46">
        <f t="shared" si="34"/>
        <v>6956250</v>
      </c>
      <c r="Z192" s="47" t="str">
        <f t="shared" si="35"/>
        <v>4~5%</v>
      </c>
      <c r="AA192" s="47" t="str">
        <f t="shared" si="36"/>
        <v>7~10</v>
      </c>
      <c r="AB192" s="46">
        <f t="shared" si="37"/>
        <v>40106634.387808219</v>
      </c>
    </row>
    <row r="193" spans="1:28 16381:16384">
      <c r="A193" s="33" t="s">
        <v>596</v>
      </c>
      <c r="B193" s="33" t="s">
        <v>101</v>
      </c>
      <c r="C193" s="48" t="s">
        <v>43</v>
      </c>
      <c r="D193" s="33" t="s">
        <v>61</v>
      </c>
      <c r="E193" s="37" t="s">
        <v>597</v>
      </c>
      <c r="F193" s="49" t="s">
        <v>599</v>
      </c>
      <c r="G193" s="33" t="s">
        <v>176</v>
      </c>
      <c r="H193" s="33" t="s">
        <v>47</v>
      </c>
      <c r="I193" s="37" t="s">
        <v>149</v>
      </c>
      <c r="J193" s="33">
        <v>6</v>
      </c>
      <c r="K193" s="39">
        <v>1.8749999999999999E-2</v>
      </c>
      <c r="L193" s="33">
        <v>2</v>
      </c>
      <c r="M193" s="40">
        <v>45071</v>
      </c>
      <c r="N193" s="41">
        <f t="shared" si="43"/>
        <v>8.3150684931506849</v>
      </c>
      <c r="O193" s="45">
        <v>48106</v>
      </c>
      <c r="P193" s="42">
        <v>81.97</v>
      </c>
      <c r="Q193" s="53">
        <v>4.4999999999999998E-2</v>
      </c>
      <c r="R193" s="44">
        <v>2900000</v>
      </c>
      <c r="S193" s="43">
        <f t="shared" si="44"/>
        <v>2377130</v>
      </c>
      <c r="T193" s="44">
        <v>10572.92</v>
      </c>
      <c r="U193" s="43">
        <f t="shared" si="45"/>
        <v>2387702.92</v>
      </c>
      <c r="V193" s="45">
        <f>M193+2</f>
        <v>45073</v>
      </c>
      <c r="W193" s="46">
        <f t="shared" si="46"/>
        <v>17</v>
      </c>
      <c r="X193" s="46">
        <f t="shared" si="33"/>
        <v>462187.5</v>
      </c>
      <c r="Y193" s="46">
        <f t="shared" si="34"/>
        <v>3362187.5</v>
      </c>
      <c r="Z193" s="47" t="str">
        <f t="shared" si="35"/>
        <v>4~5%</v>
      </c>
      <c r="AA193" s="47" t="str">
        <f t="shared" si="36"/>
        <v>7~10</v>
      </c>
      <c r="AB193" s="46">
        <f t="shared" si="37"/>
        <v>19853913.321095891</v>
      </c>
    </row>
    <row r="194" spans="1:28 16381:16384">
      <c r="A194" s="56" t="s">
        <v>600</v>
      </c>
      <c r="B194" s="33" t="s">
        <v>77</v>
      </c>
      <c r="C194" s="33" t="s">
        <v>35</v>
      </c>
      <c r="D194" s="36" t="s">
        <v>61</v>
      </c>
      <c r="E194" s="37" t="s">
        <v>601</v>
      </c>
      <c r="F194" s="49" t="s">
        <v>255</v>
      </c>
      <c r="G194" s="33" t="s">
        <v>39</v>
      </c>
      <c r="H194" s="38" t="s">
        <v>40</v>
      </c>
      <c r="I194" s="55" t="s">
        <v>326</v>
      </c>
      <c r="J194" s="57">
        <v>3</v>
      </c>
      <c r="K194" s="63">
        <v>4.8500000000000001E-2</v>
      </c>
      <c r="L194" s="33">
        <v>2</v>
      </c>
      <c r="M194" s="66">
        <v>45742</v>
      </c>
      <c r="N194" s="60">
        <f t="shared" si="43"/>
        <v>6.580821917808219</v>
      </c>
      <c r="O194" s="45">
        <v>48144</v>
      </c>
      <c r="P194" s="42">
        <v>100</v>
      </c>
      <c r="Q194" s="76">
        <v>4.8500000000000001E-2</v>
      </c>
      <c r="R194" s="44">
        <v>3900000</v>
      </c>
      <c r="S194" s="43">
        <f t="shared" si="44"/>
        <v>3900000</v>
      </c>
      <c r="T194" s="77">
        <v>81440</v>
      </c>
      <c r="U194" s="68">
        <f t="shared" si="45"/>
        <v>3981440</v>
      </c>
      <c r="V194" s="45">
        <v>45744</v>
      </c>
      <c r="W194" s="46">
        <f t="shared" si="46"/>
        <v>14</v>
      </c>
      <c r="X194" s="46">
        <f t="shared" ref="X194:X250" si="47">R194*K194/L194*W194</f>
        <v>1324050</v>
      </c>
      <c r="Y194" s="46">
        <f t="shared" ref="Y194:Y250" si="48">R194+X194</f>
        <v>5224050</v>
      </c>
      <c r="Z194" s="47" t="str">
        <f t="shared" ref="Z194:Z250" si="49">IF(Q194&lt;=3%, "1~3%", IF(Q194&lt;=4%, "3~4%", IF(Q194&lt;=5%, "4~5%", "5~6%")))</f>
        <v>4~5%</v>
      </c>
      <c r="AA194" s="47" t="str">
        <f t="shared" ref="AA194:AA250" si="50">IF(N194&lt;=3,"1~3",IF(N194&lt;=5,"3~5",IF(N194&lt;=7,"5~7","7~10")))</f>
        <v>5~7</v>
      </c>
      <c r="AB194" s="46">
        <f t="shared" ref="AB194:AB250" si="51">U194*N194</f>
        <v>26201147.616438355</v>
      </c>
    </row>
    <row r="195" spans="1:28 16381:16384">
      <c r="A195" s="33" t="s">
        <v>602</v>
      </c>
      <c r="B195" s="33" t="s">
        <v>54</v>
      </c>
      <c r="C195" s="33" t="s">
        <v>35</v>
      </c>
      <c r="D195" s="36" t="s">
        <v>61</v>
      </c>
      <c r="E195" s="37" t="s">
        <v>603</v>
      </c>
      <c r="F195" s="37" t="s">
        <v>604</v>
      </c>
      <c r="G195" s="33" t="s">
        <v>39</v>
      </c>
      <c r="H195" s="38" t="s">
        <v>40</v>
      </c>
      <c r="I195" s="37" t="s">
        <v>605</v>
      </c>
      <c r="J195" s="33">
        <v>8</v>
      </c>
      <c r="K195" s="39">
        <v>6.4890000000000003E-2</v>
      </c>
      <c r="L195" s="33">
        <v>2</v>
      </c>
      <c r="M195" s="40">
        <v>45384</v>
      </c>
      <c r="N195" s="41">
        <f t="shared" si="43"/>
        <v>7.580821917808219</v>
      </c>
      <c r="O195" s="45">
        <v>48151</v>
      </c>
      <c r="P195" s="42">
        <v>108.21899999999999</v>
      </c>
      <c r="Q195" s="53">
        <v>5.1499999999999997E-2</v>
      </c>
      <c r="R195" s="44">
        <v>3500000</v>
      </c>
      <c r="S195" s="43">
        <f t="shared" si="44"/>
        <v>3787665</v>
      </c>
      <c r="T195" s="44">
        <v>95893</v>
      </c>
      <c r="U195" s="43">
        <f t="shared" si="45"/>
        <v>3883558</v>
      </c>
      <c r="V195" s="45">
        <f>M195+2</f>
        <v>45386</v>
      </c>
      <c r="W195" s="46">
        <f t="shared" si="46"/>
        <v>16</v>
      </c>
      <c r="X195" s="46">
        <f t="shared" si="47"/>
        <v>1816920</v>
      </c>
      <c r="Y195" s="46">
        <f t="shared" si="48"/>
        <v>5316920</v>
      </c>
      <c r="Z195" s="47" t="str">
        <f t="shared" si="49"/>
        <v>5~6%</v>
      </c>
      <c r="AA195" s="47" t="str">
        <f t="shared" si="50"/>
        <v>7~10</v>
      </c>
      <c r="AB195" s="46">
        <f t="shared" si="51"/>
        <v>29440561.605479453</v>
      </c>
    </row>
    <row r="196" spans="1:28 16381:16384">
      <c r="A196" s="56" t="s">
        <v>606</v>
      </c>
      <c r="B196" s="56" t="s">
        <v>77</v>
      </c>
      <c r="C196" s="48" t="s">
        <v>43</v>
      </c>
      <c r="D196" s="36" t="s">
        <v>309</v>
      </c>
      <c r="E196" s="58" t="s">
        <v>607</v>
      </c>
      <c r="F196" s="54" t="s">
        <v>608</v>
      </c>
      <c r="G196" s="56" t="s">
        <v>346</v>
      </c>
      <c r="H196" s="56" t="s">
        <v>236</v>
      </c>
      <c r="I196" s="54" t="s">
        <v>609</v>
      </c>
      <c r="J196" s="56">
        <v>7</v>
      </c>
      <c r="K196" s="59">
        <v>4.7500000000000001E-2</v>
      </c>
      <c r="L196" s="33">
        <v>2</v>
      </c>
      <c r="M196" s="45">
        <v>45643</v>
      </c>
      <c r="N196" s="60">
        <f t="shared" si="43"/>
        <v>6.8767123287671232</v>
      </c>
      <c r="O196" s="61">
        <v>48153</v>
      </c>
      <c r="P196" s="62">
        <v>99</v>
      </c>
      <c r="Q196" s="63">
        <v>4.922E-2</v>
      </c>
      <c r="R196" s="64">
        <v>1100000</v>
      </c>
      <c r="S196" s="43">
        <f>P196*R196/100</f>
        <v>1089000</v>
      </c>
      <c r="T196" s="65">
        <v>6821.53</v>
      </c>
      <c r="U196" s="43">
        <f>SUBTOTAL(9,S196:T196)</f>
        <v>1095821.53</v>
      </c>
      <c r="V196" s="66">
        <f>M196+1</f>
        <v>45644</v>
      </c>
      <c r="W196" s="46">
        <f t="shared" si="46"/>
        <v>14</v>
      </c>
      <c r="X196" s="46">
        <f t="shared" si="47"/>
        <v>365750</v>
      </c>
      <c r="Y196" s="46">
        <f t="shared" si="48"/>
        <v>1465750</v>
      </c>
      <c r="Z196" s="47" t="str">
        <f t="shared" si="49"/>
        <v>4~5%</v>
      </c>
      <c r="AA196" s="47" t="str">
        <f t="shared" si="50"/>
        <v>5~7</v>
      </c>
      <c r="AB196" s="46">
        <f t="shared" si="51"/>
        <v>7535649.4254794521</v>
      </c>
    </row>
    <row r="197" spans="1:28 16381:16384">
      <c r="A197" s="56" t="s">
        <v>610</v>
      </c>
      <c r="B197" s="56" t="s">
        <v>325</v>
      </c>
      <c r="C197" s="57" t="s">
        <v>60</v>
      </c>
      <c r="D197" s="36" t="s">
        <v>61</v>
      </c>
      <c r="E197" s="58" t="s">
        <v>611</v>
      </c>
      <c r="F197" s="54" t="s">
        <v>318</v>
      </c>
      <c r="G197" s="56" t="s">
        <v>216</v>
      </c>
      <c r="H197" s="56" t="s">
        <v>236</v>
      </c>
      <c r="I197" s="55" t="s">
        <v>612</v>
      </c>
      <c r="J197" s="56">
        <v>6</v>
      </c>
      <c r="K197" s="73">
        <v>7.3749999999999996E-2</v>
      </c>
      <c r="L197" s="33">
        <v>2</v>
      </c>
      <c r="M197" s="40">
        <v>45538</v>
      </c>
      <c r="N197" s="41">
        <f t="shared" si="43"/>
        <v>7.2465753424657535</v>
      </c>
      <c r="O197" s="45">
        <v>48183</v>
      </c>
      <c r="P197" s="42">
        <v>117.6</v>
      </c>
      <c r="Q197" s="53">
        <v>4.4986169999999999E-2</v>
      </c>
      <c r="R197" s="68">
        <v>5000000</v>
      </c>
      <c r="S197" s="44">
        <f>R197*P197/100</f>
        <v>5880000</v>
      </c>
      <c r="T197" s="44">
        <v>95260.42</v>
      </c>
      <c r="U197" s="44">
        <f>S197+T197</f>
        <v>5975260.4199999999</v>
      </c>
      <c r="V197" s="45">
        <f>M197+1</f>
        <v>45539</v>
      </c>
      <c r="W197" s="46">
        <f t="shared" si="46"/>
        <v>15</v>
      </c>
      <c r="X197" s="46">
        <f t="shared" si="47"/>
        <v>2765625</v>
      </c>
      <c r="Y197" s="46">
        <f t="shared" si="48"/>
        <v>7765625</v>
      </c>
      <c r="Z197" s="47" t="str">
        <f t="shared" si="49"/>
        <v>4~5%</v>
      </c>
      <c r="AA197" s="47" t="str">
        <f t="shared" si="50"/>
        <v>7~10</v>
      </c>
      <c r="AB197" s="46">
        <f t="shared" si="51"/>
        <v>43300174.824383564</v>
      </c>
    </row>
    <row r="198" spans="1:28 16381:16384">
      <c r="A198" s="56" t="s">
        <v>613</v>
      </c>
      <c r="B198" s="56" t="s">
        <v>54</v>
      </c>
      <c r="C198" s="48" t="s">
        <v>43</v>
      </c>
      <c r="D198" s="36" t="s">
        <v>61</v>
      </c>
      <c r="E198" s="58" t="s">
        <v>614</v>
      </c>
      <c r="F198" s="54" t="s">
        <v>615</v>
      </c>
      <c r="G198" s="33" t="s">
        <v>83</v>
      </c>
      <c r="H198" s="56" t="s">
        <v>236</v>
      </c>
      <c r="I198" s="54" t="s">
        <v>616</v>
      </c>
      <c r="J198" s="56">
        <v>3</v>
      </c>
      <c r="K198" s="59">
        <v>2.0760000000000001E-2</v>
      </c>
      <c r="L198" s="33">
        <v>2</v>
      </c>
      <c r="M198" s="45">
        <v>45679</v>
      </c>
      <c r="N198" s="60">
        <f t="shared" si="43"/>
        <v>6.8931506849315065</v>
      </c>
      <c r="O198" s="61">
        <v>48195</v>
      </c>
      <c r="P198" s="62">
        <v>84.45</v>
      </c>
      <c r="Q198" s="53">
        <v>4.7487000000000001E-2</v>
      </c>
      <c r="R198" s="44">
        <v>1600000</v>
      </c>
      <c r="S198" s="43">
        <v>1351200</v>
      </c>
      <c r="T198" s="44">
        <v>3690.67</v>
      </c>
      <c r="U198" s="43">
        <v>1354890.67</v>
      </c>
      <c r="V198" s="66">
        <f>M198+1</f>
        <v>45680</v>
      </c>
      <c r="W198" s="46">
        <f t="shared" si="46"/>
        <v>14</v>
      </c>
      <c r="X198" s="46">
        <f t="shared" si="47"/>
        <v>232512</v>
      </c>
      <c r="Y198" s="46">
        <f t="shared" si="48"/>
        <v>1832512</v>
      </c>
      <c r="Z198" s="47" t="str">
        <f t="shared" si="49"/>
        <v>4~5%</v>
      </c>
      <c r="AA198" s="47" t="str">
        <f t="shared" si="50"/>
        <v>5~7</v>
      </c>
      <c r="AB198" s="46">
        <f t="shared" si="51"/>
        <v>9339465.5499178078</v>
      </c>
    </row>
    <row r="199" spans="1:28 16381:16384">
      <c r="A199" s="56" t="s">
        <v>613</v>
      </c>
      <c r="B199" s="56" t="s">
        <v>77</v>
      </c>
      <c r="C199" s="48" t="s">
        <v>43</v>
      </c>
      <c r="D199" s="36" t="s">
        <v>61</v>
      </c>
      <c r="E199" s="58" t="s">
        <v>614</v>
      </c>
      <c r="F199" s="54" t="s">
        <v>615</v>
      </c>
      <c r="G199" s="33" t="s">
        <v>83</v>
      </c>
      <c r="H199" s="56" t="s">
        <v>236</v>
      </c>
      <c r="I199" s="54" t="s">
        <v>616</v>
      </c>
      <c r="J199" s="56">
        <v>3</v>
      </c>
      <c r="K199" s="59">
        <v>2.0760000000000001E-2</v>
      </c>
      <c r="L199" s="33">
        <v>2</v>
      </c>
      <c r="M199" s="45">
        <v>45642</v>
      </c>
      <c r="N199" s="60">
        <f t="shared" si="43"/>
        <v>6.9945205479452053</v>
      </c>
      <c r="O199" s="61">
        <v>48195</v>
      </c>
      <c r="P199" s="62">
        <v>85</v>
      </c>
      <c r="Q199" s="63">
        <v>4.6109999999999998E-2</v>
      </c>
      <c r="R199" s="64">
        <v>3660000</v>
      </c>
      <c r="S199" s="43">
        <f>R199*P199/100</f>
        <v>3111000</v>
      </c>
      <c r="T199" s="65">
        <v>844.24</v>
      </c>
      <c r="U199" s="43">
        <f>S199+T199</f>
        <v>3111844.24</v>
      </c>
      <c r="V199" s="66">
        <f>M199+1</f>
        <v>45643</v>
      </c>
      <c r="W199" s="46">
        <f t="shared" si="46"/>
        <v>14</v>
      </c>
      <c r="X199" s="46">
        <f t="shared" si="47"/>
        <v>531871.20000000007</v>
      </c>
      <c r="Y199" s="46">
        <f t="shared" si="48"/>
        <v>4191871.2</v>
      </c>
      <c r="Z199" s="47" t="str">
        <f t="shared" si="49"/>
        <v>4~5%</v>
      </c>
      <c r="AA199" s="47" t="str">
        <f t="shared" si="50"/>
        <v>5~7</v>
      </c>
      <c r="AB199" s="46">
        <f t="shared" si="51"/>
        <v>21765858.478684932</v>
      </c>
    </row>
    <row r="200" spans="1:28 16381:16384" ht="26.25">
      <c r="A200" s="33" t="s">
        <v>617</v>
      </c>
      <c r="B200" s="33" t="s">
        <v>54</v>
      </c>
      <c r="C200" s="33" t="s">
        <v>35</v>
      </c>
      <c r="D200" s="33" t="s">
        <v>61</v>
      </c>
      <c r="E200" s="37" t="s">
        <v>618</v>
      </c>
      <c r="F200" s="49" t="s">
        <v>619</v>
      </c>
      <c r="G200" s="33" t="s">
        <v>104</v>
      </c>
      <c r="H200" s="33" t="s">
        <v>47</v>
      </c>
      <c r="I200" s="37" t="s">
        <v>620</v>
      </c>
      <c r="J200" s="33">
        <v>8</v>
      </c>
      <c r="K200" s="39">
        <v>2.5000000000000001E-2</v>
      </c>
      <c r="L200" s="33">
        <v>2</v>
      </c>
      <c r="M200" s="40">
        <v>45384</v>
      </c>
      <c r="N200" s="41">
        <f t="shared" si="43"/>
        <v>7.7041095890410958</v>
      </c>
      <c r="O200" s="45">
        <v>48196</v>
      </c>
      <c r="P200" s="42">
        <v>83.899000000000001</v>
      </c>
      <c r="Q200" s="53">
        <v>5.0500000000000003E-2</v>
      </c>
      <c r="R200" s="44">
        <v>5500000</v>
      </c>
      <c r="S200" s="43">
        <f>R200*P200/100</f>
        <v>4614445</v>
      </c>
      <c r="T200" s="44">
        <v>41250</v>
      </c>
      <c r="U200" s="43">
        <f>S200+T200</f>
        <v>4655695</v>
      </c>
      <c r="V200" s="45">
        <f>M200+2</f>
        <v>45386</v>
      </c>
      <c r="W200" s="46">
        <f t="shared" si="46"/>
        <v>16</v>
      </c>
      <c r="X200" s="46">
        <f t="shared" si="47"/>
        <v>1100000</v>
      </c>
      <c r="Y200" s="46">
        <f t="shared" si="48"/>
        <v>6600000</v>
      </c>
      <c r="Z200" s="47" t="str">
        <f t="shared" si="49"/>
        <v>5~6%</v>
      </c>
      <c r="AA200" s="47" t="str">
        <f t="shared" si="50"/>
        <v>7~10</v>
      </c>
      <c r="AB200" s="46">
        <f t="shared" si="51"/>
        <v>35867984.493150681</v>
      </c>
    </row>
    <row r="201" spans="1:28 16381:16384">
      <c r="A201" s="56" t="s">
        <v>621</v>
      </c>
      <c r="B201" s="56" t="s">
        <v>325</v>
      </c>
      <c r="C201" s="57" t="s">
        <v>60</v>
      </c>
      <c r="D201" s="36" t="s">
        <v>61</v>
      </c>
      <c r="E201" s="58" t="s">
        <v>622</v>
      </c>
      <c r="F201" s="54" t="s">
        <v>623</v>
      </c>
      <c r="G201" s="56" t="s">
        <v>624</v>
      </c>
      <c r="H201" s="56" t="s">
        <v>236</v>
      </c>
      <c r="I201" s="55" t="s">
        <v>625</v>
      </c>
      <c r="J201" s="56">
        <v>2</v>
      </c>
      <c r="K201" s="59">
        <v>2.5000000000000001E-2</v>
      </c>
      <c r="L201" s="33">
        <v>2</v>
      </c>
      <c r="M201" s="40">
        <v>45551</v>
      </c>
      <c r="N201" s="41">
        <f t="shared" si="43"/>
        <v>7.3150684931506849</v>
      </c>
      <c r="O201" s="45">
        <v>48221</v>
      </c>
      <c r="P201" s="42">
        <v>88.75</v>
      </c>
      <c r="Q201" s="53">
        <v>4.3104000000000003E-2</v>
      </c>
      <c r="R201" s="68">
        <v>4000000</v>
      </c>
      <c r="S201" s="68">
        <v>3550000</v>
      </c>
      <c r="T201" s="68">
        <v>19166.669999999998</v>
      </c>
      <c r="U201" s="68">
        <v>3569166.67</v>
      </c>
      <c r="V201" s="45">
        <f>M201+1</f>
        <v>45552</v>
      </c>
      <c r="W201" s="46">
        <f t="shared" si="46"/>
        <v>15</v>
      </c>
      <c r="X201" s="46">
        <f t="shared" si="47"/>
        <v>750000</v>
      </c>
      <c r="Y201" s="46">
        <f t="shared" si="48"/>
        <v>4750000</v>
      </c>
      <c r="Z201" s="47" t="str">
        <f t="shared" si="49"/>
        <v>4~5%</v>
      </c>
      <c r="AA201" s="47" t="str">
        <f t="shared" si="50"/>
        <v>7~10</v>
      </c>
      <c r="AB201" s="46">
        <f t="shared" si="51"/>
        <v>26108698.654520549</v>
      </c>
    </row>
    <row r="202" spans="1:28 16381:16384">
      <c r="A202" s="33" t="s">
        <v>626</v>
      </c>
      <c r="B202" s="33" t="s">
        <v>34</v>
      </c>
      <c r="C202" s="48" t="s">
        <v>67</v>
      </c>
      <c r="D202" s="33" t="s">
        <v>61</v>
      </c>
      <c r="E202" s="37" t="s">
        <v>627</v>
      </c>
      <c r="F202" s="49" t="s">
        <v>628</v>
      </c>
      <c r="G202" s="33" t="s">
        <v>39</v>
      </c>
      <c r="H202" s="33" t="s">
        <v>47</v>
      </c>
      <c r="I202" s="37" t="s">
        <v>629</v>
      </c>
      <c r="J202" s="33">
        <v>4</v>
      </c>
      <c r="K202" s="39">
        <v>2.4E-2</v>
      </c>
      <c r="L202" s="33">
        <v>2</v>
      </c>
      <c r="M202" s="40">
        <v>45268</v>
      </c>
      <c r="N202" s="41">
        <f t="shared" si="43"/>
        <v>8.0986301369863014</v>
      </c>
      <c r="O202" s="45">
        <v>48224</v>
      </c>
      <c r="P202" s="42">
        <v>82.386800000000008</v>
      </c>
      <c r="Q202" s="53">
        <v>5.0849999999999999E-2</v>
      </c>
      <c r="R202" s="44">
        <v>1800000</v>
      </c>
      <c r="S202" s="43">
        <f>R202*P202/100</f>
        <v>1482962.4</v>
      </c>
      <c r="T202" s="44">
        <v>0</v>
      </c>
      <c r="U202" s="43">
        <f>S202+T202</f>
        <v>1482962.4</v>
      </c>
      <c r="V202" s="45">
        <f>M202+2</f>
        <v>45270</v>
      </c>
      <c r="W202" s="46">
        <f t="shared" si="46"/>
        <v>17</v>
      </c>
      <c r="X202" s="46">
        <f t="shared" si="47"/>
        <v>367200</v>
      </c>
      <c r="Y202" s="46">
        <f t="shared" si="48"/>
        <v>2167200</v>
      </c>
      <c r="Z202" s="47" t="str">
        <f t="shared" si="49"/>
        <v>5~6%</v>
      </c>
      <c r="AA202" s="47" t="str">
        <f t="shared" si="50"/>
        <v>7~10</v>
      </c>
      <c r="AB202" s="46">
        <f t="shared" si="51"/>
        <v>12009963.984657533</v>
      </c>
    </row>
    <row r="203" spans="1:28 16381:16384">
      <c r="A203" s="33" t="s">
        <v>626</v>
      </c>
      <c r="B203" s="33" t="s">
        <v>54</v>
      </c>
      <c r="C203" s="33" t="s">
        <v>35</v>
      </c>
      <c r="D203" s="36" t="s">
        <v>61</v>
      </c>
      <c r="E203" s="37" t="s">
        <v>627</v>
      </c>
      <c r="F203" s="37" t="s">
        <v>630</v>
      </c>
      <c r="G203" s="33" t="s">
        <v>39</v>
      </c>
      <c r="H203" s="38" t="s">
        <v>40</v>
      </c>
      <c r="I203" s="37" t="s">
        <v>404</v>
      </c>
      <c r="J203" s="33">
        <v>4</v>
      </c>
      <c r="K203" s="39">
        <v>2.4E-2</v>
      </c>
      <c r="L203" s="33">
        <v>2</v>
      </c>
      <c r="M203" s="40">
        <v>45268</v>
      </c>
      <c r="N203" s="41">
        <f t="shared" si="43"/>
        <v>8.0986301369863014</v>
      </c>
      <c r="O203" s="45">
        <v>48224</v>
      </c>
      <c r="P203" s="42">
        <v>82.386800000000008</v>
      </c>
      <c r="Q203" s="53">
        <v>5.0849999999999999E-2</v>
      </c>
      <c r="R203" s="44">
        <v>5600000</v>
      </c>
      <c r="S203" s="43">
        <f>R203*P203/100</f>
        <v>4613660.8000000007</v>
      </c>
      <c r="T203" s="44">
        <v>56373.33</v>
      </c>
      <c r="U203" s="43">
        <f>S203+T203</f>
        <v>4670034.1300000008</v>
      </c>
      <c r="V203" s="45">
        <f>M203+2</f>
        <v>45270</v>
      </c>
      <c r="W203" s="46">
        <f t="shared" si="46"/>
        <v>17</v>
      </c>
      <c r="X203" s="46">
        <f t="shared" si="47"/>
        <v>1142400</v>
      </c>
      <c r="Y203" s="46">
        <f t="shared" si="48"/>
        <v>6742400</v>
      </c>
      <c r="Z203" s="47" t="str">
        <f t="shared" si="49"/>
        <v>5~6%</v>
      </c>
      <c r="AA203" s="47" t="str">
        <f t="shared" si="50"/>
        <v>7~10</v>
      </c>
      <c r="AB203" s="46">
        <f t="shared" si="51"/>
        <v>37820879.14597261</v>
      </c>
    </row>
    <row r="204" spans="1:28 16381:16384">
      <c r="A204" s="56" t="s">
        <v>631</v>
      </c>
      <c r="B204" s="56" t="s">
        <v>101</v>
      </c>
      <c r="C204" s="48" t="s">
        <v>43</v>
      </c>
      <c r="D204" s="36" t="s">
        <v>61</v>
      </c>
      <c r="E204" s="58" t="s">
        <v>632</v>
      </c>
      <c r="F204" s="54" t="s">
        <v>633</v>
      </c>
      <c r="G204" s="56" t="s">
        <v>634</v>
      </c>
      <c r="H204" s="56" t="s">
        <v>275</v>
      </c>
      <c r="I204" s="54" t="s">
        <v>635</v>
      </c>
      <c r="J204" s="56">
        <v>6</v>
      </c>
      <c r="K204" s="59">
        <v>4.9500000000000002E-2</v>
      </c>
      <c r="L204" s="33">
        <v>2</v>
      </c>
      <c r="M204" s="45">
        <v>45602</v>
      </c>
      <c r="N204" s="60">
        <f t="shared" si="43"/>
        <v>7.1945205479452055</v>
      </c>
      <c r="O204" s="61">
        <v>48228</v>
      </c>
      <c r="P204" s="62">
        <v>100.879</v>
      </c>
      <c r="Q204" s="63">
        <v>4.8030000000000003E-2</v>
      </c>
      <c r="R204" s="64">
        <v>4880000</v>
      </c>
      <c r="S204" s="43">
        <f>R204*P204/100</f>
        <v>4922895.2</v>
      </c>
      <c r="T204" s="65">
        <v>68442</v>
      </c>
      <c r="U204" s="43">
        <f>S204+T204</f>
        <v>4991337.2</v>
      </c>
      <c r="V204" s="66">
        <v>45603</v>
      </c>
      <c r="W204" s="46">
        <f t="shared" si="46"/>
        <v>15</v>
      </c>
      <c r="X204" s="46">
        <f t="shared" si="47"/>
        <v>1811700</v>
      </c>
      <c r="Y204" s="46">
        <f t="shared" si="48"/>
        <v>6691700</v>
      </c>
      <c r="Z204" s="47" t="str">
        <f t="shared" si="49"/>
        <v>4~5%</v>
      </c>
      <c r="AA204" s="47" t="str">
        <f t="shared" si="50"/>
        <v>7~10</v>
      </c>
      <c r="AB204" s="46">
        <f t="shared" si="51"/>
        <v>35910278.047123291</v>
      </c>
    </row>
    <row r="205" spans="1:28 16381:16384">
      <c r="A205" s="56" t="s">
        <v>631</v>
      </c>
      <c r="B205" s="56" t="s">
        <v>364</v>
      </c>
      <c r="C205" s="57" t="s">
        <v>60</v>
      </c>
      <c r="D205" s="36" t="s">
        <v>61</v>
      </c>
      <c r="E205" s="58" t="s">
        <v>636</v>
      </c>
      <c r="F205" s="54" t="s">
        <v>351</v>
      </c>
      <c r="G205" s="56" t="s">
        <v>634</v>
      </c>
      <c r="H205" s="56" t="s">
        <v>236</v>
      </c>
      <c r="I205" s="55" t="s">
        <v>637</v>
      </c>
      <c r="J205" s="33">
        <v>6</v>
      </c>
      <c r="K205" s="59">
        <v>4.9500000000000002E-2</v>
      </c>
      <c r="L205" s="33">
        <v>2</v>
      </c>
      <c r="M205" s="45">
        <v>45533</v>
      </c>
      <c r="N205" s="41">
        <f t="shared" si="43"/>
        <v>7.3835616438356162</v>
      </c>
      <c r="O205" s="45">
        <v>48228</v>
      </c>
      <c r="P205" s="42">
        <v>103.3</v>
      </c>
      <c r="Q205" s="53">
        <v>4.4200000000000003E-2</v>
      </c>
      <c r="R205" s="44">
        <v>6500000</v>
      </c>
      <c r="S205" s="43">
        <v>6714500</v>
      </c>
      <c r="T205" s="44">
        <v>31281.25</v>
      </c>
      <c r="U205" s="43">
        <v>6745781.25</v>
      </c>
      <c r="V205" s="45">
        <v>45534</v>
      </c>
      <c r="W205" s="46">
        <f t="shared" si="46"/>
        <v>15</v>
      </c>
      <c r="X205" s="46">
        <f t="shared" si="47"/>
        <v>2413125</v>
      </c>
      <c r="Y205" s="46">
        <f t="shared" si="48"/>
        <v>8913125</v>
      </c>
      <c r="Z205" s="47" t="str">
        <f t="shared" si="49"/>
        <v>4~5%</v>
      </c>
      <c r="AA205" s="47" t="str">
        <f t="shared" si="50"/>
        <v>7~10</v>
      </c>
      <c r="AB205" s="46">
        <f t="shared" si="51"/>
        <v>49807891.69520548</v>
      </c>
    </row>
    <row r="206" spans="1:28 16381:16384">
      <c r="A206" s="56" t="s">
        <v>638</v>
      </c>
      <c r="B206" s="56" t="s">
        <v>321</v>
      </c>
      <c r="C206" s="57" t="s">
        <v>60</v>
      </c>
      <c r="D206" s="36" t="s">
        <v>61</v>
      </c>
      <c r="E206" s="58" t="s">
        <v>639</v>
      </c>
      <c r="F206" s="54" t="s">
        <v>640</v>
      </c>
      <c r="G206" s="56" t="s">
        <v>467</v>
      </c>
      <c r="H206" s="56" t="s">
        <v>275</v>
      </c>
      <c r="I206" s="55" t="s">
        <v>641</v>
      </c>
      <c r="J206" s="33">
        <v>7</v>
      </c>
      <c r="K206" s="59">
        <v>2.6499999999999999E-2</v>
      </c>
      <c r="L206" s="33">
        <v>2</v>
      </c>
      <c r="M206" s="45">
        <v>45533</v>
      </c>
      <c r="N206" s="41">
        <f t="shared" si="43"/>
        <v>7.3835616438356162</v>
      </c>
      <c r="O206" s="45">
        <v>48228</v>
      </c>
      <c r="P206" s="42">
        <v>88.65</v>
      </c>
      <c r="Q206" s="53">
        <v>4.4699999999999997E-2</v>
      </c>
      <c r="R206" s="44">
        <v>700000</v>
      </c>
      <c r="S206" s="43">
        <v>620550</v>
      </c>
      <c r="T206" s="44">
        <v>2318.75</v>
      </c>
      <c r="U206" s="43">
        <v>622868.75</v>
      </c>
      <c r="V206" s="45">
        <v>45534</v>
      </c>
      <c r="W206" s="46">
        <f t="shared" si="46"/>
        <v>15</v>
      </c>
      <c r="X206" s="46">
        <f t="shared" si="47"/>
        <v>139125</v>
      </c>
      <c r="Y206" s="46">
        <f t="shared" si="48"/>
        <v>839125</v>
      </c>
      <c r="Z206" s="47" t="str">
        <f t="shared" si="49"/>
        <v>4~5%</v>
      </c>
      <c r="AA206" s="47" t="str">
        <f t="shared" si="50"/>
        <v>7~10</v>
      </c>
      <c r="AB206" s="46">
        <f t="shared" si="51"/>
        <v>4598989.8116438352</v>
      </c>
    </row>
    <row r="207" spans="1:28 16381:16384">
      <c r="A207" s="56" t="s">
        <v>631</v>
      </c>
      <c r="B207" s="56" t="s">
        <v>233</v>
      </c>
      <c r="C207" s="57" t="s">
        <v>60</v>
      </c>
      <c r="D207" s="36" t="s">
        <v>61</v>
      </c>
      <c r="E207" s="58" t="s">
        <v>636</v>
      </c>
      <c r="F207" s="54" t="s">
        <v>351</v>
      </c>
      <c r="G207" s="56" t="s">
        <v>634</v>
      </c>
      <c r="H207" s="56" t="s">
        <v>236</v>
      </c>
      <c r="I207" s="55" t="s">
        <v>581</v>
      </c>
      <c r="J207" s="33">
        <v>6</v>
      </c>
      <c r="K207" s="59">
        <v>4.9500000000000002E-2</v>
      </c>
      <c r="L207" s="57">
        <v>2</v>
      </c>
      <c r="M207" s="45">
        <v>45510</v>
      </c>
      <c r="N207" s="41">
        <f t="shared" si="43"/>
        <v>7.4465753424657537</v>
      </c>
      <c r="O207" s="45">
        <v>48228</v>
      </c>
      <c r="P207" s="42">
        <v>102</v>
      </c>
      <c r="Q207" s="53">
        <v>4.6289999999999998E-2</v>
      </c>
      <c r="R207" s="44">
        <v>5000000</v>
      </c>
      <c r="S207" s="43">
        <f t="shared" ref="S207:S250" si="52">R207*P207/100</f>
        <v>5100000</v>
      </c>
      <c r="T207" s="44">
        <v>8250</v>
      </c>
      <c r="U207" s="43">
        <f t="shared" ref="U207:U220" si="53">S207+T207</f>
        <v>5108250</v>
      </c>
      <c r="V207" s="45">
        <v>45511</v>
      </c>
      <c r="W207" s="46">
        <f t="shared" si="46"/>
        <v>15</v>
      </c>
      <c r="X207" s="46">
        <f t="shared" si="47"/>
        <v>1856250</v>
      </c>
      <c r="Y207" s="46">
        <f t="shared" si="48"/>
        <v>6856250</v>
      </c>
      <c r="Z207" s="47" t="str">
        <f t="shared" si="49"/>
        <v>4~5%</v>
      </c>
      <c r="AA207" s="47" t="str">
        <f t="shared" si="50"/>
        <v>7~10</v>
      </c>
      <c r="AB207" s="46">
        <f t="shared" si="51"/>
        <v>38038968.493150689</v>
      </c>
    </row>
    <row r="208" spans="1:28 16381:16384">
      <c r="A208" s="56" t="s">
        <v>642</v>
      </c>
      <c r="B208" s="33" t="s">
        <v>77</v>
      </c>
      <c r="C208" s="33" t="s">
        <v>60</v>
      </c>
      <c r="D208" s="36" t="s">
        <v>61</v>
      </c>
      <c r="E208" s="37" t="s">
        <v>643</v>
      </c>
      <c r="F208" s="37" t="s">
        <v>128</v>
      </c>
      <c r="G208" s="33" t="s">
        <v>57</v>
      </c>
      <c r="H208" s="38" t="s">
        <v>40</v>
      </c>
      <c r="I208" s="55" t="s">
        <v>567</v>
      </c>
      <c r="J208" s="57">
        <v>3</v>
      </c>
      <c r="K208" s="63">
        <v>0.05</v>
      </c>
      <c r="L208" s="33">
        <v>2</v>
      </c>
      <c r="M208" s="66">
        <v>45742</v>
      </c>
      <c r="N208" s="60">
        <f t="shared" si="43"/>
        <v>6.882191780821918</v>
      </c>
      <c r="O208" s="45">
        <v>48254</v>
      </c>
      <c r="P208" s="42">
        <v>101.1</v>
      </c>
      <c r="Q208" s="76">
        <v>4.8099999999999997E-2</v>
      </c>
      <c r="R208" s="44">
        <v>3900000</v>
      </c>
      <c r="S208" s="43">
        <f t="shared" si="52"/>
        <v>3942900</v>
      </c>
      <c r="T208" s="77">
        <v>26000</v>
      </c>
      <c r="U208" s="68">
        <f t="shared" si="53"/>
        <v>3968900</v>
      </c>
      <c r="V208" s="45">
        <v>45744</v>
      </c>
      <c r="W208" s="46">
        <f t="shared" si="46"/>
        <v>14</v>
      </c>
      <c r="X208" s="46">
        <f t="shared" si="47"/>
        <v>1365000</v>
      </c>
      <c r="Y208" s="46">
        <f t="shared" si="48"/>
        <v>5265000</v>
      </c>
      <c r="Z208" s="47" t="str">
        <f t="shared" si="49"/>
        <v>4~5%</v>
      </c>
      <c r="AA208" s="47" t="str">
        <f t="shared" si="50"/>
        <v>5~7</v>
      </c>
      <c r="AB208" s="46">
        <f t="shared" si="51"/>
        <v>27314730.95890411</v>
      </c>
      <c r="XFA208" s="33"/>
      <c r="XFB208" s="33"/>
      <c r="XFC208" s="33"/>
      <c r="XFD208" s="33"/>
    </row>
    <row r="209" spans="1:28 16383:16384">
      <c r="A209" s="56" t="s">
        <v>644</v>
      </c>
      <c r="B209" s="56" t="s">
        <v>77</v>
      </c>
      <c r="C209" s="48" t="s">
        <v>67</v>
      </c>
      <c r="D209" s="36" t="s">
        <v>61</v>
      </c>
      <c r="E209" s="37" t="s">
        <v>645</v>
      </c>
      <c r="F209" s="49" t="s">
        <v>475</v>
      </c>
      <c r="G209" s="33" t="s">
        <v>646</v>
      </c>
      <c r="H209" s="56" t="s">
        <v>236</v>
      </c>
      <c r="I209" s="55" t="s">
        <v>647</v>
      </c>
      <c r="J209" s="56">
        <v>3</v>
      </c>
      <c r="K209" s="59">
        <v>5.1249999999999997E-2</v>
      </c>
      <c r="L209" s="33">
        <v>2</v>
      </c>
      <c r="M209" s="40">
        <v>45726</v>
      </c>
      <c r="N209" s="60">
        <f t="shared" si="43"/>
        <v>6.956164383561644</v>
      </c>
      <c r="O209" s="45">
        <v>48265</v>
      </c>
      <c r="P209" s="42">
        <v>101.6</v>
      </c>
      <c r="Q209" s="53">
        <v>4.8500000000000001E-2</v>
      </c>
      <c r="R209" s="68">
        <v>3900000</v>
      </c>
      <c r="S209" s="68">
        <f t="shared" si="52"/>
        <v>3962400</v>
      </c>
      <c r="T209" s="77">
        <f>3974059.38-S209</f>
        <v>11659.379999999888</v>
      </c>
      <c r="U209" s="68">
        <f t="shared" si="53"/>
        <v>3974059.38</v>
      </c>
      <c r="V209" s="45">
        <v>45727</v>
      </c>
      <c r="W209" s="46">
        <f t="shared" si="46"/>
        <v>14</v>
      </c>
      <c r="X209" s="46">
        <f t="shared" si="47"/>
        <v>1399125</v>
      </c>
      <c r="Y209" s="46">
        <f t="shared" si="48"/>
        <v>5299125</v>
      </c>
      <c r="Z209" s="47" t="str">
        <f t="shared" si="49"/>
        <v>4~5%</v>
      </c>
      <c r="AA209" s="47" t="str">
        <f t="shared" si="50"/>
        <v>5~7</v>
      </c>
      <c r="AB209" s="46">
        <f t="shared" si="51"/>
        <v>27644210.317315068</v>
      </c>
      <c r="XFC209" s="33"/>
      <c r="XFD209" s="33"/>
    </row>
    <row r="210" spans="1:28 16383:16384">
      <c r="A210" s="56" t="s">
        <v>644</v>
      </c>
      <c r="B210" s="56" t="s">
        <v>233</v>
      </c>
      <c r="C210" s="48" t="s">
        <v>67</v>
      </c>
      <c r="D210" s="36" t="s">
        <v>61</v>
      </c>
      <c r="E210" s="37" t="s">
        <v>645</v>
      </c>
      <c r="F210" s="49" t="s">
        <v>475</v>
      </c>
      <c r="G210" s="33" t="s">
        <v>646</v>
      </c>
      <c r="H210" s="56" t="s">
        <v>236</v>
      </c>
      <c r="I210" s="55" t="s">
        <v>647</v>
      </c>
      <c r="J210" s="56">
        <v>3</v>
      </c>
      <c r="K210" s="59">
        <v>5.1249999999999997E-2</v>
      </c>
      <c r="L210" s="33">
        <v>2</v>
      </c>
      <c r="M210" s="40">
        <v>45726</v>
      </c>
      <c r="N210" s="60">
        <f t="shared" si="43"/>
        <v>6.956164383561644</v>
      </c>
      <c r="O210" s="45">
        <v>48265</v>
      </c>
      <c r="P210" s="42">
        <v>101.6</v>
      </c>
      <c r="Q210" s="53">
        <v>4.8500000000000001E-2</v>
      </c>
      <c r="R210" s="68">
        <v>8000000</v>
      </c>
      <c r="S210" s="68">
        <f t="shared" si="52"/>
        <v>8128000</v>
      </c>
      <c r="T210" s="68">
        <f>8151916.67-S210</f>
        <v>23916.669999999925</v>
      </c>
      <c r="U210" s="68">
        <f t="shared" si="53"/>
        <v>8151916.6699999999</v>
      </c>
      <c r="V210" s="45">
        <v>45727</v>
      </c>
      <c r="W210" s="46">
        <f t="shared" si="46"/>
        <v>14</v>
      </c>
      <c r="X210" s="46">
        <f t="shared" si="47"/>
        <v>2870000</v>
      </c>
      <c r="Y210" s="46">
        <f t="shared" si="48"/>
        <v>10870000</v>
      </c>
      <c r="Z210" s="47" t="str">
        <f t="shared" si="49"/>
        <v>4~5%</v>
      </c>
      <c r="AA210" s="47" t="str">
        <f t="shared" si="50"/>
        <v>5~7</v>
      </c>
      <c r="AB210" s="46">
        <f t="shared" si="51"/>
        <v>56706072.397616439</v>
      </c>
      <c r="XFC210" s="33"/>
      <c r="XFD210" s="33"/>
    </row>
    <row r="211" spans="1:28 16383:16384">
      <c r="A211" s="33" t="s">
        <v>648</v>
      </c>
      <c r="B211" s="33" t="s">
        <v>77</v>
      </c>
      <c r="C211" s="33" t="s">
        <v>35</v>
      </c>
      <c r="D211" s="33" t="s">
        <v>61</v>
      </c>
      <c r="E211" s="37" t="s">
        <v>649</v>
      </c>
      <c r="F211" s="49" t="s">
        <v>650</v>
      </c>
      <c r="G211" s="33" t="s">
        <v>267</v>
      </c>
      <c r="H211" s="33" t="s">
        <v>47</v>
      </c>
      <c r="I211" s="37" t="s">
        <v>651</v>
      </c>
      <c r="J211" s="33">
        <v>7</v>
      </c>
      <c r="K211" s="39">
        <v>2.9000000000000001E-2</v>
      </c>
      <c r="L211" s="33">
        <v>2</v>
      </c>
      <c r="M211" s="40">
        <v>45392</v>
      </c>
      <c r="N211" s="41">
        <f t="shared" si="43"/>
        <v>7.9013698630136986</v>
      </c>
      <c r="O211" s="45">
        <v>48276</v>
      </c>
      <c r="P211" s="42">
        <v>85.9011</v>
      </c>
      <c r="Q211" s="53">
        <v>5.0899E-2</v>
      </c>
      <c r="R211" s="44">
        <v>2000000</v>
      </c>
      <c r="S211" s="43">
        <f t="shared" si="52"/>
        <v>1718022</v>
      </c>
      <c r="T211" s="44">
        <v>43125</v>
      </c>
      <c r="U211" s="43">
        <f t="shared" si="53"/>
        <v>1761147</v>
      </c>
      <c r="V211" s="45">
        <f>M211+2</f>
        <v>45394</v>
      </c>
      <c r="W211" s="46">
        <f t="shared" si="46"/>
        <v>16</v>
      </c>
      <c r="X211" s="46">
        <f t="shared" si="47"/>
        <v>464000</v>
      </c>
      <c r="Y211" s="46">
        <f t="shared" si="48"/>
        <v>2464000</v>
      </c>
      <c r="Z211" s="47" t="str">
        <f t="shared" si="49"/>
        <v>5~6%</v>
      </c>
      <c r="AA211" s="47" t="str">
        <f t="shared" si="50"/>
        <v>7~10</v>
      </c>
      <c r="AB211" s="46">
        <f t="shared" si="51"/>
        <v>13915473.830136986</v>
      </c>
      <c r="XFC211" s="33"/>
      <c r="XFD211" s="33"/>
    </row>
    <row r="212" spans="1:28 16383:16384" ht="26.25">
      <c r="A212" s="33" t="s">
        <v>648</v>
      </c>
      <c r="B212" s="33" t="s">
        <v>54</v>
      </c>
      <c r="C212" s="33" t="s">
        <v>35</v>
      </c>
      <c r="D212" s="33" t="s">
        <v>61</v>
      </c>
      <c r="E212" s="37" t="s">
        <v>652</v>
      </c>
      <c r="F212" s="49" t="s">
        <v>650</v>
      </c>
      <c r="G212" s="33" t="s">
        <v>267</v>
      </c>
      <c r="H212" s="33" t="s">
        <v>47</v>
      </c>
      <c r="I212" s="37" t="s">
        <v>653</v>
      </c>
      <c r="J212" s="33">
        <v>7</v>
      </c>
      <c r="K212" s="39">
        <v>2.9000000000000001E-2</v>
      </c>
      <c r="L212" s="33">
        <v>2</v>
      </c>
      <c r="M212" s="40">
        <v>45392</v>
      </c>
      <c r="N212" s="41">
        <f t="shared" si="43"/>
        <v>7.9013698630136986</v>
      </c>
      <c r="O212" s="45">
        <v>48276</v>
      </c>
      <c r="P212" s="42">
        <v>85.9</v>
      </c>
      <c r="Q212" s="53">
        <v>5.0901000000000002E-2</v>
      </c>
      <c r="R212" s="44">
        <v>2000000</v>
      </c>
      <c r="S212" s="43">
        <f t="shared" si="52"/>
        <v>1718000</v>
      </c>
      <c r="T212" s="44">
        <v>5961.11</v>
      </c>
      <c r="U212" s="43">
        <f t="shared" si="53"/>
        <v>1723961.11</v>
      </c>
      <c r="V212" s="45">
        <f>M212+2</f>
        <v>45394</v>
      </c>
      <c r="W212" s="46">
        <f t="shared" si="46"/>
        <v>16</v>
      </c>
      <c r="X212" s="46">
        <f t="shared" si="47"/>
        <v>464000</v>
      </c>
      <c r="Y212" s="46">
        <f t="shared" si="48"/>
        <v>2464000</v>
      </c>
      <c r="Z212" s="47" t="str">
        <f t="shared" si="49"/>
        <v>5~6%</v>
      </c>
      <c r="AA212" s="47" t="str">
        <f t="shared" si="50"/>
        <v>7~10</v>
      </c>
      <c r="AB212" s="46">
        <f t="shared" si="51"/>
        <v>13621654.359561644</v>
      </c>
      <c r="XFC212" s="33"/>
      <c r="XFD212" s="33"/>
    </row>
    <row r="213" spans="1:28 16383:16384">
      <c r="A213" s="56" t="s">
        <v>654</v>
      </c>
      <c r="B213" s="56" t="s">
        <v>233</v>
      </c>
      <c r="C213" s="57" t="s">
        <v>35</v>
      </c>
      <c r="D213" s="36" t="s">
        <v>61</v>
      </c>
      <c r="E213" s="58" t="s">
        <v>655</v>
      </c>
      <c r="F213" s="54" t="s">
        <v>656</v>
      </c>
      <c r="G213" s="56" t="s">
        <v>39</v>
      </c>
      <c r="H213" s="56" t="s">
        <v>236</v>
      </c>
      <c r="I213" s="55" t="s">
        <v>286</v>
      </c>
      <c r="J213" s="56">
        <v>4</v>
      </c>
      <c r="K213" s="59">
        <v>0.05</v>
      </c>
      <c r="L213" s="33">
        <v>2</v>
      </c>
      <c r="M213" s="40">
        <v>45762</v>
      </c>
      <c r="N213" s="60">
        <f t="shared" si="43"/>
        <v>6.9178082191780819</v>
      </c>
      <c r="O213" s="45">
        <v>48287</v>
      </c>
      <c r="P213" s="42">
        <v>99.7</v>
      </c>
      <c r="Q213" s="53">
        <v>5.0512000000000001E-2</v>
      </c>
      <c r="R213" s="68">
        <v>2000000</v>
      </c>
      <c r="S213" s="68">
        <f t="shared" si="52"/>
        <v>1994000</v>
      </c>
      <c r="T213" s="68">
        <v>8888.89</v>
      </c>
      <c r="U213" s="68">
        <f t="shared" si="53"/>
        <v>2002888.89</v>
      </c>
      <c r="V213" s="45">
        <f>M213+1</f>
        <v>45763</v>
      </c>
      <c r="W213" s="46">
        <f t="shared" si="46"/>
        <v>14</v>
      </c>
      <c r="X213" s="46">
        <f t="shared" si="47"/>
        <v>700000</v>
      </c>
      <c r="Y213" s="46">
        <f t="shared" si="48"/>
        <v>2700000</v>
      </c>
      <c r="Z213" s="47" t="str">
        <f t="shared" si="49"/>
        <v>5~6%</v>
      </c>
      <c r="AA213" s="47" t="str">
        <f t="shared" si="50"/>
        <v>5~7</v>
      </c>
      <c r="AB213" s="46">
        <f t="shared" si="51"/>
        <v>13855601.225342464</v>
      </c>
      <c r="XFC213" s="33"/>
      <c r="XFD213" s="33"/>
    </row>
    <row r="214" spans="1:28 16383:16384">
      <c r="A214" s="56" t="s">
        <v>654</v>
      </c>
      <c r="B214" s="56" t="s">
        <v>233</v>
      </c>
      <c r="C214" s="57" t="s">
        <v>35</v>
      </c>
      <c r="D214" s="36" t="s">
        <v>338</v>
      </c>
      <c r="E214" s="58" t="s">
        <v>655</v>
      </c>
      <c r="F214" s="54" t="s">
        <v>656</v>
      </c>
      <c r="G214" s="56" t="s">
        <v>39</v>
      </c>
      <c r="H214" s="56" t="s">
        <v>236</v>
      </c>
      <c r="I214" s="55" t="s">
        <v>286</v>
      </c>
      <c r="J214" s="56">
        <v>4</v>
      </c>
      <c r="K214" s="59">
        <v>0.05</v>
      </c>
      <c r="L214" s="33">
        <v>2</v>
      </c>
      <c r="M214" s="40">
        <v>45762</v>
      </c>
      <c r="N214" s="60">
        <f t="shared" si="43"/>
        <v>6.9178082191780819</v>
      </c>
      <c r="O214" s="45">
        <v>48287</v>
      </c>
      <c r="P214" s="42">
        <v>99.7</v>
      </c>
      <c r="Q214" s="53">
        <v>5.0512000000000001E-2</v>
      </c>
      <c r="R214" s="68">
        <v>3400000</v>
      </c>
      <c r="S214" s="68">
        <f t="shared" si="52"/>
        <v>3389800</v>
      </c>
      <c r="T214" s="68">
        <v>15111.11</v>
      </c>
      <c r="U214" s="68">
        <f t="shared" si="53"/>
        <v>3404911.11</v>
      </c>
      <c r="V214" s="45">
        <f>M214+1</f>
        <v>45763</v>
      </c>
      <c r="W214" s="46">
        <f t="shared" si="46"/>
        <v>14</v>
      </c>
      <c r="X214" s="46">
        <f t="shared" si="47"/>
        <v>1190000</v>
      </c>
      <c r="Y214" s="46">
        <f t="shared" si="48"/>
        <v>4590000</v>
      </c>
      <c r="Z214" s="47" t="str">
        <f t="shared" si="49"/>
        <v>5~6%</v>
      </c>
      <c r="AA214" s="47" t="str">
        <f t="shared" si="50"/>
        <v>5~7</v>
      </c>
      <c r="AB214" s="46">
        <f t="shared" si="51"/>
        <v>23554522.062328763</v>
      </c>
    </row>
    <row r="215" spans="1:28 16383:16384">
      <c r="A215" s="56" t="s">
        <v>657</v>
      </c>
      <c r="B215" s="33" t="s">
        <v>77</v>
      </c>
      <c r="C215" s="33" t="s">
        <v>35</v>
      </c>
      <c r="D215" s="36" t="s">
        <v>61</v>
      </c>
      <c r="E215" s="37" t="s">
        <v>658</v>
      </c>
      <c r="F215" s="37" t="s">
        <v>659</v>
      </c>
      <c r="G215" s="33" t="s">
        <v>39</v>
      </c>
      <c r="H215" s="38" t="s">
        <v>40</v>
      </c>
      <c r="I215" s="55" t="s">
        <v>286</v>
      </c>
      <c r="J215" s="57">
        <v>4</v>
      </c>
      <c r="K215" s="63">
        <v>0.05</v>
      </c>
      <c r="L215" s="33">
        <v>2</v>
      </c>
      <c r="M215" s="66">
        <v>45756</v>
      </c>
      <c r="N215" s="60">
        <f t="shared" si="43"/>
        <v>6.934246575342466</v>
      </c>
      <c r="O215" s="45">
        <v>48287</v>
      </c>
      <c r="P215" s="42">
        <v>99.05</v>
      </c>
      <c r="Q215" s="76">
        <v>5.0999999999999997E-2</v>
      </c>
      <c r="R215" s="44">
        <v>1600000</v>
      </c>
      <c r="S215" s="43">
        <f t="shared" si="52"/>
        <v>1584800</v>
      </c>
      <c r="T215" s="77">
        <v>6000</v>
      </c>
      <c r="U215" s="68">
        <f t="shared" si="53"/>
        <v>1590800</v>
      </c>
      <c r="V215" s="45">
        <v>45744</v>
      </c>
      <c r="W215" s="46">
        <f t="shared" si="46"/>
        <v>14</v>
      </c>
      <c r="X215" s="46">
        <f t="shared" si="47"/>
        <v>560000</v>
      </c>
      <c r="Y215" s="46">
        <f t="shared" si="48"/>
        <v>2160000</v>
      </c>
      <c r="Z215" s="47" t="str">
        <f t="shared" si="49"/>
        <v>5~6%</v>
      </c>
      <c r="AA215" s="47" t="str">
        <f t="shared" si="50"/>
        <v>5~7</v>
      </c>
      <c r="AB215" s="46">
        <f t="shared" si="51"/>
        <v>11030999.452054795</v>
      </c>
    </row>
    <row r="216" spans="1:28 16383:16384">
      <c r="A216" s="56" t="s">
        <v>657</v>
      </c>
      <c r="B216" s="33" t="s">
        <v>54</v>
      </c>
      <c r="C216" s="33" t="s">
        <v>35</v>
      </c>
      <c r="D216" s="36" t="s">
        <v>61</v>
      </c>
      <c r="E216" s="37" t="s">
        <v>658</v>
      </c>
      <c r="F216" s="37" t="s">
        <v>659</v>
      </c>
      <c r="G216" s="33" t="s">
        <v>39</v>
      </c>
      <c r="H216" s="38" t="s">
        <v>40</v>
      </c>
      <c r="I216" s="55" t="s">
        <v>286</v>
      </c>
      <c r="J216" s="57">
        <v>4</v>
      </c>
      <c r="K216" s="63">
        <v>0.05</v>
      </c>
      <c r="L216" s="33">
        <v>2</v>
      </c>
      <c r="M216" s="66">
        <v>45756</v>
      </c>
      <c r="N216" s="60">
        <f t="shared" si="43"/>
        <v>6.934246575342466</v>
      </c>
      <c r="O216" s="45">
        <v>48287</v>
      </c>
      <c r="P216" s="42">
        <v>99.05</v>
      </c>
      <c r="Q216" s="76">
        <v>5.0999999999999997E-2</v>
      </c>
      <c r="R216" s="44">
        <v>1350000</v>
      </c>
      <c r="S216" s="43">
        <f t="shared" si="52"/>
        <v>1337175</v>
      </c>
      <c r="T216" s="77">
        <v>4875</v>
      </c>
      <c r="U216" s="68">
        <f t="shared" si="53"/>
        <v>1342050</v>
      </c>
      <c r="V216" s="45">
        <v>45744</v>
      </c>
      <c r="W216" s="46">
        <f t="shared" si="46"/>
        <v>14</v>
      </c>
      <c r="X216" s="46">
        <f t="shared" si="47"/>
        <v>472500</v>
      </c>
      <c r="Y216" s="46">
        <f t="shared" si="48"/>
        <v>1822500</v>
      </c>
      <c r="Z216" s="47" t="str">
        <f t="shared" si="49"/>
        <v>5~6%</v>
      </c>
      <c r="AA216" s="47" t="str">
        <f t="shared" si="50"/>
        <v>5~7</v>
      </c>
      <c r="AB216" s="46">
        <f t="shared" si="51"/>
        <v>9306105.6164383572</v>
      </c>
    </row>
    <row r="217" spans="1:28 16383:16384">
      <c r="A217" s="56" t="s">
        <v>657</v>
      </c>
      <c r="B217" s="33" t="s">
        <v>77</v>
      </c>
      <c r="C217" s="33" t="s">
        <v>35</v>
      </c>
      <c r="D217" s="36" t="s">
        <v>61</v>
      </c>
      <c r="E217" s="37" t="s">
        <v>658</v>
      </c>
      <c r="F217" s="49" t="s">
        <v>660</v>
      </c>
      <c r="G217" s="33" t="s">
        <v>39</v>
      </c>
      <c r="H217" s="38" t="s">
        <v>40</v>
      </c>
      <c r="I217" s="55" t="s">
        <v>286</v>
      </c>
      <c r="J217" s="57">
        <v>4</v>
      </c>
      <c r="K217" s="63">
        <v>0.05</v>
      </c>
      <c r="L217" s="33">
        <v>2</v>
      </c>
      <c r="M217" s="66">
        <v>45742</v>
      </c>
      <c r="N217" s="60">
        <f t="shared" si="43"/>
        <v>6.9726027397260273</v>
      </c>
      <c r="O217" s="45">
        <v>48287</v>
      </c>
      <c r="P217" s="42">
        <v>101.1</v>
      </c>
      <c r="Q217" s="76">
        <v>4.8099999999999997E-2</v>
      </c>
      <c r="R217" s="44">
        <v>3940000</v>
      </c>
      <c r="S217" s="43">
        <f t="shared" si="52"/>
        <v>3983340</v>
      </c>
      <c r="T217" s="77">
        <v>7661</v>
      </c>
      <c r="U217" s="68">
        <f t="shared" si="53"/>
        <v>3991001</v>
      </c>
      <c r="V217" s="45">
        <v>45744</v>
      </c>
      <c r="W217" s="46">
        <f t="shared" si="46"/>
        <v>14</v>
      </c>
      <c r="X217" s="46">
        <f t="shared" si="47"/>
        <v>1379000</v>
      </c>
      <c r="Y217" s="46">
        <f t="shared" si="48"/>
        <v>5319000</v>
      </c>
      <c r="Z217" s="47" t="str">
        <f t="shared" si="49"/>
        <v>4~5%</v>
      </c>
      <c r="AA217" s="47" t="str">
        <f t="shared" si="50"/>
        <v>5~7</v>
      </c>
      <c r="AB217" s="46">
        <f t="shared" si="51"/>
        <v>27827664.506849315</v>
      </c>
    </row>
    <row r="218" spans="1:28 16383:16384">
      <c r="A218" s="56" t="s">
        <v>661</v>
      </c>
      <c r="B218" s="56" t="s">
        <v>233</v>
      </c>
      <c r="C218" s="57" t="s">
        <v>60</v>
      </c>
      <c r="D218" s="36" t="s">
        <v>61</v>
      </c>
      <c r="E218" s="58" t="s">
        <v>662</v>
      </c>
      <c r="F218" s="54" t="s">
        <v>663</v>
      </c>
      <c r="G218" s="56" t="s">
        <v>168</v>
      </c>
      <c r="H218" s="56" t="s">
        <v>275</v>
      </c>
      <c r="I218" s="55" t="s">
        <v>664</v>
      </c>
      <c r="J218" s="33">
        <v>8</v>
      </c>
      <c r="K218" s="59">
        <v>6.7500000000000004E-2</v>
      </c>
      <c r="L218" s="33">
        <v>2</v>
      </c>
      <c r="M218" s="45">
        <v>45518</v>
      </c>
      <c r="N218" s="41">
        <f t="shared" si="43"/>
        <v>7.5890410958904111</v>
      </c>
      <c r="O218" s="45">
        <v>48288</v>
      </c>
      <c r="P218" s="42">
        <v>113.929304</v>
      </c>
      <c r="Q218" s="53">
        <v>4.5600000000000002E-2</v>
      </c>
      <c r="R218" s="44">
        <v>4600000</v>
      </c>
      <c r="S218" s="43">
        <f t="shared" si="52"/>
        <v>5240747.9840000002</v>
      </c>
      <c r="T218" s="44">
        <v>129375</v>
      </c>
      <c r="U218" s="43">
        <f t="shared" si="53"/>
        <v>5370122.9840000002</v>
      </c>
      <c r="V218" s="45">
        <v>45520</v>
      </c>
      <c r="W218" s="46">
        <f t="shared" si="46"/>
        <v>16</v>
      </c>
      <c r="X218" s="46">
        <f t="shared" si="47"/>
        <v>2484000</v>
      </c>
      <c r="Y218" s="46">
        <f t="shared" si="48"/>
        <v>7084000</v>
      </c>
      <c r="Z218" s="47" t="str">
        <f t="shared" si="49"/>
        <v>4~5%</v>
      </c>
      <c r="AA218" s="47" t="str">
        <f t="shared" si="50"/>
        <v>7~10</v>
      </c>
      <c r="AB218" s="46">
        <f t="shared" si="51"/>
        <v>40754084.015561648</v>
      </c>
    </row>
    <row r="219" spans="1:28 16383:16384">
      <c r="A219" s="33" t="s">
        <v>665</v>
      </c>
      <c r="B219" s="33" t="s">
        <v>77</v>
      </c>
      <c r="C219" s="33" t="s">
        <v>60</v>
      </c>
      <c r="D219" s="36" t="s">
        <v>61</v>
      </c>
      <c r="E219" s="37" t="s">
        <v>666</v>
      </c>
      <c r="F219" s="37" t="s">
        <v>162</v>
      </c>
      <c r="G219" s="33" t="s">
        <v>216</v>
      </c>
      <c r="H219" s="38" t="s">
        <v>40</v>
      </c>
      <c r="I219" s="37" t="s">
        <v>667</v>
      </c>
      <c r="J219" s="33">
        <v>8</v>
      </c>
      <c r="K219" s="39">
        <v>2.3550000000000001E-2</v>
      </c>
      <c r="L219" s="33">
        <v>2</v>
      </c>
      <c r="M219" s="40">
        <v>45392</v>
      </c>
      <c r="N219" s="41">
        <f t="shared" si="43"/>
        <v>7.934246575342466</v>
      </c>
      <c r="O219" s="45">
        <v>48288</v>
      </c>
      <c r="P219" s="42">
        <v>81.92</v>
      </c>
      <c r="Q219" s="53">
        <v>5.1617999999999997E-2</v>
      </c>
      <c r="R219" s="44">
        <v>2000000</v>
      </c>
      <c r="S219" s="43">
        <f t="shared" si="52"/>
        <v>1638400</v>
      </c>
      <c r="T219" s="44">
        <v>68264.44</v>
      </c>
      <c r="U219" s="43">
        <f t="shared" si="53"/>
        <v>1706664.44</v>
      </c>
      <c r="V219" s="45">
        <f>M219+2</f>
        <v>45394</v>
      </c>
      <c r="W219" s="46">
        <f t="shared" si="46"/>
        <v>16</v>
      </c>
      <c r="X219" s="46">
        <f t="shared" si="47"/>
        <v>376800</v>
      </c>
      <c r="Y219" s="46">
        <f t="shared" si="48"/>
        <v>2376800</v>
      </c>
      <c r="Z219" s="47" t="str">
        <f t="shared" si="49"/>
        <v>5~6%</v>
      </c>
      <c r="AA219" s="47" t="str">
        <f t="shared" si="50"/>
        <v>7~10</v>
      </c>
      <c r="AB219" s="46">
        <f t="shared" si="51"/>
        <v>13541096.488328768</v>
      </c>
    </row>
    <row r="220" spans="1:28 16383:16384">
      <c r="A220" s="33" t="s">
        <v>668</v>
      </c>
      <c r="B220" s="33" t="s">
        <v>77</v>
      </c>
      <c r="C220" s="33" t="s">
        <v>35</v>
      </c>
      <c r="D220" s="33" t="s">
        <v>61</v>
      </c>
      <c r="E220" s="37" t="s">
        <v>669</v>
      </c>
      <c r="F220" s="49" t="s">
        <v>670</v>
      </c>
      <c r="G220" s="33" t="s">
        <v>39</v>
      </c>
      <c r="H220" s="33" t="s">
        <v>47</v>
      </c>
      <c r="I220" s="37" t="s">
        <v>671</v>
      </c>
      <c r="J220" s="33">
        <v>3</v>
      </c>
      <c r="K220" s="39">
        <v>2.8750000000000001E-2</v>
      </c>
      <c r="L220" s="33">
        <v>2</v>
      </c>
      <c r="M220" s="40">
        <v>45033</v>
      </c>
      <c r="N220" s="41">
        <f t="shared" si="43"/>
        <v>8.9178082191780828</v>
      </c>
      <c r="O220" s="45">
        <v>48288</v>
      </c>
      <c r="P220" s="42">
        <v>91.515749999999997</v>
      </c>
      <c r="Q220" s="53">
        <v>4.0099999999999997E-2</v>
      </c>
      <c r="R220" s="44">
        <v>4000000</v>
      </c>
      <c r="S220" s="43">
        <f t="shared" si="52"/>
        <v>3660630</v>
      </c>
      <c r="T220" s="44">
        <v>82000</v>
      </c>
      <c r="U220" s="43">
        <f t="shared" si="53"/>
        <v>3742630</v>
      </c>
      <c r="V220" s="45">
        <f>M220+2</f>
        <v>45035</v>
      </c>
      <c r="W220" s="46">
        <f t="shared" si="46"/>
        <v>18</v>
      </c>
      <c r="X220" s="46">
        <f t="shared" si="47"/>
        <v>1035000</v>
      </c>
      <c r="Y220" s="46">
        <f t="shared" si="48"/>
        <v>5035000</v>
      </c>
      <c r="Z220" s="47" t="str">
        <f t="shared" si="49"/>
        <v>4~5%</v>
      </c>
      <c r="AA220" s="47" t="str">
        <f t="shared" si="50"/>
        <v>7~10</v>
      </c>
      <c r="AB220" s="46">
        <f t="shared" si="51"/>
        <v>33376056.575342469</v>
      </c>
    </row>
    <row r="221" spans="1:28 16383:16384">
      <c r="A221" s="56" t="s">
        <v>672</v>
      </c>
      <c r="B221" s="56" t="s">
        <v>233</v>
      </c>
      <c r="C221" s="57" t="s">
        <v>35</v>
      </c>
      <c r="D221" s="36" t="s">
        <v>61</v>
      </c>
      <c r="E221" s="58" t="s">
        <v>673</v>
      </c>
      <c r="F221" s="54" t="s">
        <v>674</v>
      </c>
      <c r="G221" s="56" t="s">
        <v>39</v>
      </c>
      <c r="H221" s="56" t="s">
        <v>275</v>
      </c>
      <c r="I221" s="55" t="s">
        <v>675</v>
      </c>
      <c r="J221" s="56">
        <v>6</v>
      </c>
      <c r="K221" s="59">
        <v>3.6249999999999998E-2</v>
      </c>
      <c r="L221" s="33">
        <v>2</v>
      </c>
      <c r="M221" s="45">
        <v>45504</v>
      </c>
      <c r="N221" s="60">
        <f t="shared" si="43"/>
        <v>7.6520547945205477</v>
      </c>
      <c r="O221" s="61">
        <v>48297</v>
      </c>
      <c r="P221" s="62">
        <v>91.4</v>
      </c>
      <c r="Q221" s="63">
        <v>4.9908869547112301E-2</v>
      </c>
      <c r="R221" s="64">
        <v>8000000</v>
      </c>
      <c r="S221" s="43">
        <f t="shared" si="52"/>
        <v>7312000</v>
      </c>
      <c r="T221" s="65">
        <v>102305.56</v>
      </c>
      <c r="U221" s="67">
        <v>7414305.5599999996</v>
      </c>
      <c r="V221" s="66">
        <v>45505</v>
      </c>
      <c r="W221" s="46">
        <f t="shared" si="46"/>
        <v>16</v>
      </c>
      <c r="X221" s="46">
        <f t="shared" si="47"/>
        <v>2320000</v>
      </c>
      <c r="Y221" s="46">
        <f t="shared" si="48"/>
        <v>10320000</v>
      </c>
      <c r="Z221" s="47" t="str">
        <f t="shared" si="49"/>
        <v>4~5%</v>
      </c>
      <c r="AA221" s="47" t="str">
        <f t="shared" si="50"/>
        <v>7~10</v>
      </c>
      <c r="AB221" s="46">
        <f t="shared" si="51"/>
        <v>56734672.408438355</v>
      </c>
    </row>
    <row r="222" spans="1:28 16383:16384" s="79" customFormat="1" ht="26.25">
      <c r="A222" s="33" t="s">
        <v>676</v>
      </c>
      <c r="B222" s="33" t="s">
        <v>54</v>
      </c>
      <c r="C222" s="33" t="s">
        <v>35</v>
      </c>
      <c r="D222" s="36" t="s">
        <v>61</v>
      </c>
      <c r="E222" s="37" t="s">
        <v>677</v>
      </c>
      <c r="F222" s="37" t="s">
        <v>678</v>
      </c>
      <c r="G222" s="33" t="s">
        <v>267</v>
      </c>
      <c r="H222" s="38" t="s">
        <v>40</v>
      </c>
      <c r="I222" s="37" t="s">
        <v>679</v>
      </c>
      <c r="J222" s="33">
        <v>6</v>
      </c>
      <c r="K222" s="39">
        <v>4.8500000000000001E-2</v>
      </c>
      <c r="L222" s="33">
        <v>2</v>
      </c>
      <c r="M222" s="40">
        <v>45385</v>
      </c>
      <c r="N222" s="41">
        <f t="shared" si="43"/>
        <v>8.1260273972602732</v>
      </c>
      <c r="O222" s="45">
        <v>48351</v>
      </c>
      <c r="P222" s="42">
        <v>96.85</v>
      </c>
      <c r="Q222" s="53">
        <v>5.3220000000000003E-2</v>
      </c>
      <c r="R222" s="44">
        <v>2000000</v>
      </c>
      <c r="S222" s="43">
        <f t="shared" si="52"/>
        <v>1937000</v>
      </c>
      <c r="T222" s="44">
        <v>36644.44</v>
      </c>
      <c r="U222" s="43">
        <f>S222+T222</f>
        <v>1973644.44</v>
      </c>
      <c r="V222" s="45">
        <f>M222+2</f>
        <v>45387</v>
      </c>
      <c r="W222" s="46">
        <f t="shared" si="46"/>
        <v>17</v>
      </c>
      <c r="X222" s="46">
        <f t="shared" si="47"/>
        <v>824500</v>
      </c>
      <c r="Y222" s="46">
        <f t="shared" si="48"/>
        <v>2824500</v>
      </c>
      <c r="Z222" s="47" t="str">
        <f t="shared" si="49"/>
        <v>5~6%</v>
      </c>
      <c r="AA222" s="47" t="str">
        <f t="shared" si="50"/>
        <v>7~10</v>
      </c>
      <c r="AB222" s="46">
        <f t="shared" si="51"/>
        <v>16037888.791890409</v>
      </c>
    </row>
    <row r="223" spans="1:28 16383:16384">
      <c r="A223" s="33" t="s">
        <v>680</v>
      </c>
      <c r="B223" s="33" t="s">
        <v>54</v>
      </c>
      <c r="C223" s="48" t="s">
        <v>67</v>
      </c>
      <c r="D223" s="33" t="s">
        <v>338</v>
      </c>
      <c r="E223" s="37" t="s">
        <v>681</v>
      </c>
      <c r="F223" s="49" t="s">
        <v>574</v>
      </c>
      <c r="G223" s="33" t="s">
        <v>39</v>
      </c>
      <c r="H223" s="33" t="s">
        <v>227</v>
      </c>
      <c r="I223" s="37" t="s">
        <v>682</v>
      </c>
      <c r="J223" s="33">
        <v>7</v>
      </c>
      <c r="K223" s="39">
        <v>5.1499999999999997E-2</v>
      </c>
      <c r="L223" s="33">
        <v>2</v>
      </c>
      <c r="M223" s="40">
        <v>46079</v>
      </c>
      <c r="N223" s="41">
        <f t="shared" si="43"/>
        <v>6.3698630136986303</v>
      </c>
      <c r="O223" s="45" t="s">
        <v>683</v>
      </c>
      <c r="P223" s="42">
        <v>103.95</v>
      </c>
      <c r="Q223" s="53">
        <v>4.428E-2</v>
      </c>
      <c r="R223" s="44">
        <v>2864000</v>
      </c>
      <c r="S223" s="43">
        <f t="shared" si="52"/>
        <v>2977128</v>
      </c>
      <c r="T223" s="44">
        <v>21714.69</v>
      </c>
      <c r="U223" s="43">
        <f>S223+T223</f>
        <v>2998842.69</v>
      </c>
      <c r="V223" s="45">
        <v>46083</v>
      </c>
      <c r="W223" s="46">
        <f t="shared" si="46"/>
        <v>13</v>
      </c>
      <c r="X223" s="46">
        <f t="shared" si="47"/>
        <v>958724</v>
      </c>
      <c r="Y223" s="46">
        <f t="shared" si="48"/>
        <v>3822724</v>
      </c>
      <c r="Z223" s="47" t="str">
        <f t="shared" si="49"/>
        <v>4~5%</v>
      </c>
      <c r="AA223" s="47" t="str">
        <f t="shared" si="50"/>
        <v>5~7</v>
      </c>
      <c r="AB223" s="46">
        <f t="shared" si="51"/>
        <v>19102217.134931508</v>
      </c>
    </row>
    <row r="224" spans="1:28 16383:16384">
      <c r="A224" s="33" t="s">
        <v>684</v>
      </c>
      <c r="B224" s="33" t="s">
        <v>34</v>
      </c>
      <c r="C224" s="48" t="s">
        <v>43</v>
      </c>
      <c r="D224" s="33" t="s">
        <v>338</v>
      </c>
      <c r="E224" s="37" t="s">
        <v>685</v>
      </c>
      <c r="F224" s="49" t="s">
        <v>686</v>
      </c>
      <c r="G224" s="33" t="s">
        <v>687</v>
      </c>
      <c r="H224" s="33" t="s">
        <v>40</v>
      </c>
      <c r="I224" s="37" t="s">
        <v>688</v>
      </c>
      <c r="J224" s="33">
        <v>7</v>
      </c>
      <c r="K224" s="39">
        <v>4.9000000000000002E-2</v>
      </c>
      <c r="L224" s="33">
        <v>2</v>
      </c>
      <c r="M224" s="40">
        <v>46035</v>
      </c>
      <c r="N224" s="41">
        <f t="shared" si="43"/>
        <v>6.506849315068493</v>
      </c>
      <c r="O224" s="45">
        <v>48410</v>
      </c>
      <c r="P224" s="42">
        <v>102.5</v>
      </c>
      <c r="Q224" s="53">
        <v>4.4499999999999998E-2</v>
      </c>
      <c r="R224" s="44">
        <v>2680000</v>
      </c>
      <c r="S224" s="43">
        <f t="shared" si="52"/>
        <v>2747000</v>
      </c>
      <c r="T224" s="44">
        <v>0</v>
      </c>
      <c r="U224" s="43">
        <f>S224+T224</f>
        <v>2747000</v>
      </c>
      <c r="V224" s="45">
        <v>46037</v>
      </c>
      <c r="W224" s="46">
        <f>_xlfn.CEILING.MATH(N224*L224)-1</f>
        <v>13</v>
      </c>
      <c r="X224" s="46">
        <f t="shared" si="47"/>
        <v>853580</v>
      </c>
      <c r="Y224" s="46">
        <f t="shared" si="48"/>
        <v>3533580</v>
      </c>
      <c r="Z224" s="47" t="str">
        <f t="shared" si="49"/>
        <v>4~5%</v>
      </c>
      <c r="AA224" s="47" t="str">
        <f t="shared" si="50"/>
        <v>5~7</v>
      </c>
      <c r="AB224" s="46">
        <f t="shared" si="51"/>
        <v>17874315.06849315</v>
      </c>
    </row>
    <row r="225" spans="1:28">
      <c r="A225" s="33" t="s">
        <v>689</v>
      </c>
      <c r="B225" s="56" t="s">
        <v>321</v>
      </c>
      <c r="C225" s="48" t="s">
        <v>67</v>
      </c>
      <c r="D225" s="33" t="s">
        <v>61</v>
      </c>
      <c r="E225" s="37" t="s">
        <v>690</v>
      </c>
      <c r="F225" s="49" t="s">
        <v>691</v>
      </c>
      <c r="G225" s="33" t="s">
        <v>39</v>
      </c>
      <c r="H225" s="33" t="s">
        <v>47</v>
      </c>
      <c r="I225" s="55" t="s">
        <v>692</v>
      </c>
      <c r="J225" s="33">
        <v>3</v>
      </c>
      <c r="K225" s="39">
        <v>7.1249999999999994E-2</v>
      </c>
      <c r="L225" s="33">
        <v>2</v>
      </c>
      <c r="M225" s="40">
        <v>45728</v>
      </c>
      <c r="N225" s="60">
        <f t="shared" si="43"/>
        <v>7.3479452054794523</v>
      </c>
      <c r="O225" s="45">
        <v>48410</v>
      </c>
      <c r="P225" s="42">
        <v>113.5</v>
      </c>
      <c r="Q225" s="53">
        <v>4.9099999999999998E-2</v>
      </c>
      <c r="R225" s="44">
        <v>3200000</v>
      </c>
      <c r="S225" s="43">
        <f t="shared" si="52"/>
        <v>3632000</v>
      </c>
      <c r="T225" s="44">
        <v>36733.33</v>
      </c>
      <c r="U225" s="68">
        <f>S225+T225</f>
        <v>3668733.33</v>
      </c>
      <c r="V225" s="45">
        <v>45729</v>
      </c>
      <c r="W225" s="46">
        <f>_xlfn.CEILING.MATH(N225*L225)</f>
        <v>15</v>
      </c>
      <c r="X225" s="46">
        <f t="shared" si="47"/>
        <v>1709999.9999999998</v>
      </c>
      <c r="Y225" s="46">
        <f t="shared" si="48"/>
        <v>4910000</v>
      </c>
      <c r="Z225" s="47" t="str">
        <f t="shared" si="49"/>
        <v>4~5%</v>
      </c>
      <c r="AA225" s="47" t="str">
        <f t="shared" si="50"/>
        <v>7~10</v>
      </c>
      <c r="AB225" s="46">
        <f t="shared" si="51"/>
        <v>26957651.482356165</v>
      </c>
    </row>
    <row r="226" spans="1:28">
      <c r="A226" s="33" t="s">
        <v>689</v>
      </c>
      <c r="B226" s="33" t="s">
        <v>77</v>
      </c>
      <c r="C226" s="48" t="s">
        <v>67</v>
      </c>
      <c r="D226" s="33" t="s">
        <v>61</v>
      </c>
      <c r="E226" s="37" t="s">
        <v>690</v>
      </c>
      <c r="F226" s="49" t="s">
        <v>691</v>
      </c>
      <c r="G226" s="33" t="s">
        <v>39</v>
      </c>
      <c r="H226" s="33" t="s">
        <v>47</v>
      </c>
      <c r="I226" s="55" t="s">
        <v>692</v>
      </c>
      <c r="J226" s="33">
        <v>3</v>
      </c>
      <c r="K226" s="39">
        <v>7.1249999999999994E-2</v>
      </c>
      <c r="L226" s="33">
        <v>2</v>
      </c>
      <c r="M226" s="40">
        <v>45727</v>
      </c>
      <c r="N226" s="60">
        <f t="shared" si="43"/>
        <v>7.3506849315068497</v>
      </c>
      <c r="O226" s="45">
        <v>48410</v>
      </c>
      <c r="P226" s="42">
        <v>113.5</v>
      </c>
      <c r="Q226" s="53">
        <v>4.9099999999999998E-2</v>
      </c>
      <c r="R226" s="44">
        <v>6900000</v>
      </c>
      <c r="S226" s="43">
        <f t="shared" si="52"/>
        <v>7831500</v>
      </c>
      <c r="T226" s="44">
        <f>7910706.26-S226</f>
        <v>79206.259999999776</v>
      </c>
      <c r="U226" s="68">
        <f>S226+T226</f>
        <v>7910706.2599999998</v>
      </c>
      <c r="V226" s="45">
        <v>45729</v>
      </c>
      <c r="W226" s="46">
        <f>_xlfn.CEILING.MATH(N226*L226)</f>
        <v>15</v>
      </c>
      <c r="X226" s="46">
        <f t="shared" si="47"/>
        <v>3687187.4999999995</v>
      </c>
      <c r="Y226" s="46">
        <f t="shared" si="48"/>
        <v>10587187.5</v>
      </c>
      <c r="Z226" s="47" t="str">
        <f t="shared" si="49"/>
        <v>4~5%</v>
      </c>
      <c r="AA226" s="47" t="str">
        <f t="shared" si="50"/>
        <v>7~10</v>
      </c>
      <c r="AB226" s="46">
        <f t="shared" si="51"/>
        <v>58149109.302958906</v>
      </c>
    </row>
    <row r="227" spans="1:28">
      <c r="A227" s="56" t="s">
        <v>693</v>
      </c>
      <c r="B227" s="56" t="s">
        <v>233</v>
      </c>
      <c r="C227" s="57" t="s">
        <v>35</v>
      </c>
      <c r="D227" s="36" t="s">
        <v>61</v>
      </c>
      <c r="E227" s="58" t="s">
        <v>694</v>
      </c>
      <c r="F227" s="54" t="s">
        <v>695</v>
      </c>
      <c r="G227" s="56" t="s">
        <v>39</v>
      </c>
      <c r="H227" s="56" t="s">
        <v>275</v>
      </c>
      <c r="I227" s="55" t="s">
        <v>696</v>
      </c>
      <c r="J227" s="56">
        <v>5</v>
      </c>
      <c r="K227" s="59">
        <v>7.1249999999999994E-2</v>
      </c>
      <c r="L227" s="33">
        <v>2</v>
      </c>
      <c r="M227" s="45">
        <v>45504</v>
      </c>
      <c r="N227" s="60">
        <v>7.96</v>
      </c>
      <c r="O227" s="61">
        <v>48410</v>
      </c>
      <c r="P227" s="62">
        <v>112.9</v>
      </c>
      <c r="Q227" s="63">
        <v>5.1299999999999998E-2</v>
      </c>
      <c r="R227" s="64">
        <v>4000000</v>
      </c>
      <c r="S227" s="43">
        <f t="shared" si="52"/>
        <v>4516000</v>
      </c>
      <c r="T227" s="65">
        <v>12666.67</v>
      </c>
      <c r="U227" s="67">
        <v>4528666.67</v>
      </c>
      <c r="V227" s="66">
        <v>45505</v>
      </c>
      <c r="W227" s="46">
        <f>_xlfn.CEILING.MATH(N227*L227)</f>
        <v>16</v>
      </c>
      <c r="X227" s="46">
        <f t="shared" si="47"/>
        <v>2280000</v>
      </c>
      <c r="Y227" s="46">
        <f t="shared" si="48"/>
        <v>6280000</v>
      </c>
      <c r="Z227" s="47" t="str">
        <f t="shared" si="49"/>
        <v>5~6%</v>
      </c>
      <c r="AA227" s="47" t="str">
        <f t="shared" si="50"/>
        <v>7~10</v>
      </c>
      <c r="AB227" s="46">
        <f t="shared" si="51"/>
        <v>36048186.6932</v>
      </c>
    </row>
    <row r="228" spans="1:28">
      <c r="A228" s="56" t="s">
        <v>693</v>
      </c>
      <c r="B228" s="56" t="s">
        <v>233</v>
      </c>
      <c r="C228" s="57" t="s">
        <v>35</v>
      </c>
      <c r="D228" s="36" t="s">
        <v>61</v>
      </c>
      <c r="E228" s="58" t="s">
        <v>694</v>
      </c>
      <c r="F228" s="54" t="s">
        <v>695</v>
      </c>
      <c r="G228" s="56" t="s">
        <v>39</v>
      </c>
      <c r="H228" s="56" t="s">
        <v>275</v>
      </c>
      <c r="I228" s="55" t="s">
        <v>696</v>
      </c>
      <c r="J228" s="56">
        <v>5</v>
      </c>
      <c r="K228" s="59">
        <v>7.1249999999999994E-2</v>
      </c>
      <c r="L228" s="33">
        <v>2</v>
      </c>
      <c r="M228" s="45">
        <v>45504</v>
      </c>
      <c r="N228" s="60">
        <f t="shared" ref="N228:N250" si="54">(O228-M228)/365</f>
        <v>7.9616438356164387</v>
      </c>
      <c r="O228" s="61">
        <v>48410</v>
      </c>
      <c r="P228" s="62">
        <v>112.9</v>
      </c>
      <c r="Q228" s="63">
        <v>5.1299999999999998E-2</v>
      </c>
      <c r="R228" s="64">
        <v>2000000</v>
      </c>
      <c r="S228" s="43">
        <f t="shared" si="52"/>
        <v>2258000</v>
      </c>
      <c r="T228" s="65">
        <v>6333.33</v>
      </c>
      <c r="U228" s="67">
        <v>2264333.33</v>
      </c>
      <c r="V228" s="66">
        <v>45505</v>
      </c>
      <c r="W228" s="46">
        <f>_xlfn.CEILING.MATH(N228*L228)</f>
        <v>16</v>
      </c>
      <c r="X228" s="46">
        <f t="shared" si="47"/>
        <v>1140000</v>
      </c>
      <c r="Y228" s="46">
        <f t="shared" si="48"/>
        <v>3140000</v>
      </c>
      <c r="Z228" s="47" t="str">
        <f t="shared" si="49"/>
        <v>5~6%</v>
      </c>
      <c r="AA228" s="47" t="str">
        <f t="shared" si="50"/>
        <v>7~10</v>
      </c>
      <c r="AB228" s="46">
        <f t="shared" si="51"/>
        <v>18027815.498575345</v>
      </c>
    </row>
    <row r="229" spans="1:28">
      <c r="A229" s="57" t="s">
        <v>697</v>
      </c>
      <c r="B229" s="57" t="s">
        <v>428</v>
      </c>
      <c r="C229" s="57" t="s">
        <v>35</v>
      </c>
      <c r="D229" s="33" t="s">
        <v>61</v>
      </c>
      <c r="E229" s="37" t="s">
        <v>694</v>
      </c>
      <c r="F229" s="54" t="s">
        <v>695</v>
      </c>
      <c r="G229" s="33" t="s">
        <v>39</v>
      </c>
      <c r="H229" s="38" t="s">
        <v>390</v>
      </c>
      <c r="I229" s="72" t="s">
        <v>696</v>
      </c>
      <c r="J229" s="33">
        <v>5</v>
      </c>
      <c r="K229" s="73">
        <v>7.1249999999999994E-2</v>
      </c>
      <c r="L229" s="33">
        <v>2</v>
      </c>
      <c r="M229" s="45">
        <v>45491</v>
      </c>
      <c r="N229" s="41">
        <f t="shared" si="54"/>
        <v>7.9972602739726026</v>
      </c>
      <c r="O229" s="45">
        <v>48410</v>
      </c>
      <c r="P229" s="74">
        <v>112.99</v>
      </c>
      <c r="Q229" s="75">
        <v>5.1200000000000002E-2</v>
      </c>
      <c r="R229" s="64">
        <v>1020000</v>
      </c>
      <c r="S229" s="43">
        <f t="shared" si="52"/>
        <v>1152498</v>
      </c>
      <c r="T229" s="44">
        <v>1413.13</v>
      </c>
      <c r="U229" s="44">
        <v>1153911.1299999999</v>
      </c>
      <c r="V229" s="45">
        <f>M229+4</f>
        <v>45495</v>
      </c>
      <c r="W229" s="46">
        <f>_xlfn.CEILING.MATH(N229*L229)</f>
        <v>16</v>
      </c>
      <c r="X229" s="46">
        <f t="shared" si="47"/>
        <v>581400</v>
      </c>
      <c r="Y229" s="46">
        <f t="shared" si="48"/>
        <v>1601400</v>
      </c>
      <c r="Z229" s="47" t="str">
        <f t="shared" si="49"/>
        <v>5~6%</v>
      </c>
      <c r="AA229" s="47" t="str">
        <f t="shared" si="50"/>
        <v>7~10</v>
      </c>
      <c r="AB229" s="46">
        <f t="shared" si="51"/>
        <v>9228127.6396438349</v>
      </c>
    </row>
    <row r="230" spans="1:28">
      <c r="A230" s="57" t="s">
        <v>698</v>
      </c>
      <c r="B230" s="57" t="s">
        <v>388</v>
      </c>
      <c r="C230" s="57" t="s">
        <v>35</v>
      </c>
      <c r="D230" s="33" t="s">
        <v>61</v>
      </c>
      <c r="E230" s="37" t="s">
        <v>699</v>
      </c>
      <c r="F230" s="54" t="s">
        <v>301</v>
      </c>
      <c r="G230" s="33" t="s">
        <v>39</v>
      </c>
      <c r="H230" s="38" t="s">
        <v>390</v>
      </c>
      <c r="I230" s="72" t="s">
        <v>581</v>
      </c>
      <c r="J230" s="33">
        <v>6</v>
      </c>
      <c r="K230" s="73">
        <v>5.4390000000000001E-2</v>
      </c>
      <c r="L230" s="33">
        <v>2</v>
      </c>
      <c r="M230" s="45">
        <v>45485</v>
      </c>
      <c r="N230" s="41">
        <f t="shared" si="54"/>
        <v>8.0136986301369859</v>
      </c>
      <c r="O230" s="45">
        <v>48410</v>
      </c>
      <c r="P230" s="74">
        <v>101.4</v>
      </c>
      <c r="Q230" s="75">
        <v>5.1900000000000002E-2</v>
      </c>
      <c r="R230" s="64">
        <v>7000000</v>
      </c>
      <c r="S230" s="43">
        <f t="shared" si="52"/>
        <v>7098000</v>
      </c>
      <c r="T230" s="44">
        <v>0</v>
      </c>
      <c r="U230" s="44">
        <v>7098000</v>
      </c>
      <c r="V230" s="45">
        <f>M230+2</f>
        <v>45487</v>
      </c>
      <c r="W230" s="46">
        <v>16</v>
      </c>
      <c r="X230" s="46">
        <f t="shared" si="47"/>
        <v>3045840</v>
      </c>
      <c r="Y230" s="46">
        <f t="shared" si="48"/>
        <v>10045840</v>
      </c>
      <c r="Z230" s="47" t="str">
        <f t="shared" si="49"/>
        <v>5~6%</v>
      </c>
      <c r="AA230" s="47" t="str">
        <f t="shared" si="50"/>
        <v>7~10</v>
      </c>
      <c r="AB230" s="46">
        <f t="shared" si="51"/>
        <v>56881232.87671233</v>
      </c>
    </row>
    <row r="231" spans="1:28">
      <c r="A231" s="33" t="s">
        <v>700</v>
      </c>
      <c r="B231" s="33" t="s">
        <v>54</v>
      </c>
      <c r="C231" s="48" t="s">
        <v>67</v>
      </c>
      <c r="D231" s="33" t="s">
        <v>338</v>
      </c>
      <c r="E231" s="37" t="s">
        <v>701</v>
      </c>
      <c r="F231" s="49" t="s">
        <v>538</v>
      </c>
      <c r="G231" s="33" t="s">
        <v>39</v>
      </c>
      <c r="H231" s="33" t="s">
        <v>227</v>
      </c>
      <c r="I231" s="37" t="s">
        <v>682</v>
      </c>
      <c r="J231" s="33">
        <v>7</v>
      </c>
      <c r="K231" s="39">
        <v>5.1709999999999999E-2</v>
      </c>
      <c r="L231" s="33">
        <v>2</v>
      </c>
      <c r="M231" s="40">
        <v>46101</v>
      </c>
      <c r="N231" s="41">
        <f t="shared" si="54"/>
        <v>6.3287671232876717</v>
      </c>
      <c r="O231" s="45">
        <v>48411</v>
      </c>
      <c r="P231" s="42">
        <v>101.7</v>
      </c>
      <c r="Q231" s="53">
        <v>4.854E-2</v>
      </c>
      <c r="R231" s="44">
        <v>2435000</v>
      </c>
      <c r="S231" s="43">
        <f t="shared" si="52"/>
        <v>2476395</v>
      </c>
      <c r="T231" s="44">
        <v>23433.97</v>
      </c>
      <c r="U231" s="43">
        <f t="shared" ref="U231:U250" si="55">S231+T231</f>
        <v>2499828.9700000002</v>
      </c>
      <c r="V231" s="45">
        <v>46104</v>
      </c>
      <c r="W231" s="46">
        <f t="shared" ref="W231:W250" si="56">_xlfn.CEILING.MATH(N231*L231)</f>
        <v>13</v>
      </c>
      <c r="X231" s="46">
        <f t="shared" si="47"/>
        <v>818440.02499999991</v>
      </c>
      <c r="Y231" s="46">
        <f t="shared" si="48"/>
        <v>3253440.0249999999</v>
      </c>
      <c r="Z231" s="47" t="str">
        <f t="shared" si="49"/>
        <v>4~5%</v>
      </c>
      <c r="AA231" s="47" t="str">
        <f t="shared" si="50"/>
        <v>5~7</v>
      </c>
      <c r="AB231" s="46">
        <f t="shared" si="51"/>
        <v>15820835.399178084</v>
      </c>
    </row>
    <row r="232" spans="1:28">
      <c r="A232" s="33" t="s">
        <v>700</v>
      </c>
      <c r="B232" s="33" t="s">
        <v>54</v>
      </c>
      <c r="C232" s="48" t="s">
        <v>67</v>
      </c>
      <c r="D232" s="33" t="s">
        <v>61</v>
      </c>
      <c r="E232" s="37" t="s">
        <v>701</v>
      </c>
      <c r="F232" s="49" t="s">
        <v>538</v>
      </c>
      <c r="G232" s="33" t="s">
        <v>39</v>
      </c>
      <c r="H232" s="33" t="s">
        <v>227</v>
      </c>
      <c r="I232" s="37" t="s">
        <v>682</v>
      </c>
      <c r="J232" s="33">
        <v>7</v>
      </c>
      <c r="K232" s="39">
        <v>5.1709999999999999E-2</v>
      </c>
      <c r="L232" s="33">
        <v>2</v>
      </c>
      <c r="M232" s="40">
        <v>46092</v>
      </c>
      <c r="N232" s="41">
        <f t="shared" si="54"/>
        <v>6.353424657534247</v>
      </c>
      <c r="O232" s="45">
        <v>48411</v>
      </c>
      <c r="P232" s="42">
        <v>102.8</v>
      </c>
      <c r="Q232" s="53">
        <v>4.6550000000000001E-2</v>
      </c>
      <c r="R232" s="44">
        <v>1440000</v>
      </c>
      <c r="S232" s="43">
        <f t="shared" si="52"/>
        <v>1480320</v>
      </c>
      <c r="T232" s="44">
        <v>11584.04</v>
      </c>
      <c r="U232" s="43">
        <f t="shared" si="55"/>
        <v>1491904.04</v>
      </c>
      <c r="V232" s="45">
        <v>46093</v>
      </c>
      <c r="W232" s="46">
        <f t="shared" si="56"/>
        <v>13</v>
      </c>
      <c r="X232" s="46">
        <f t="shared" si="47"/>
        <v>484005.6</v>
      </c>
      <c r="Y232" s="46">
        <f t="shared" si="48"/>
        <v>1924005.6</v>
      </c>
      <c r="Z232" s="47" t="str">
        <f t="shared" si="49"/>
        <v>4~5%</v>
      </c>
      <c r="AA232" s="47" t="str">
        <f t="shared" si="50"/>
        <v>5~7</v>
      </c>
      <c r="AB232" s="46">
        <f t="shared" si="51"/>
        <v>9478699.9144109599</v>
      </c>
    </row>
    <row r="233" spans="1:28">
      <c r="A233" s="33" t="s">
        <v>700</v>
      </c>
      <c r="B233" s="33" t="s">
        <v>54</v>
      </c>
      <c r="C233" s="48" t="s">
        <v>67</v>
      </c>
      <c r="D233" s="33" t="s">
        <v>61</v>
      </c>
      <c r="E233" s="37" t="s">
        <v>701</v>
      </c>
      <c r="F233" s="49" t="s">
        <v>538</v>
      </c>
      <c r="G233" s="33" t="s">
        <v>39</v>
      </c>
      <c r="H233" s="33" t="s">
        <v>227</v>
      </c>
      <c r="I233" s="37" t="s">
        <v>682</v>
      </c>
      <c r="J233" s="33">
        <v>7</v>
      </c>
      <c r="K233" s="39">
        <v>5.1709999999999999E-2</v>
      </c>
      <c r="L233" s="33">
        <v>2</v>
      </c>
      <c r="M233" s="40">
        <v>46066</v>
      </c>
      <c r="N233" s="41">
        <f t="shared" si="54"/>
        <v>6.4246575342465757</v>
      </c>
      <c r="O233" s="45">
        <v>48411</v>
      </c>
      <c r="P233" s="42">
        <v>104</v>
      </c>
      <c r="Q233" s="53">
        <v>4.4400000000000002E-2</v>
      </c>
      <c r="R233" s="44">
        <v>260000</v>
      </c>
      <c r="S233" s="43">
        <f t="shared" si="52"/>
        <v>270400</v>
      </c>
      <c r="T233" s="44">
        <v>1195.08</v>
      </c>
      <c r="U233" s="43">
        <f t="shared" si="55"/>
        <v>271595.08</v>
      </c>
      <c r="V233" s="45">
        <v>45336</v>
      </c>
      <c r="W233" s="46">
        <f t="shared" si="56"/>
        <v>13</v>
      </c>
      <c r="X233" s="46">
        <f t="shared" si="47"/>
        <v>87389.900000000009</v>
      </c>
      <c r="Y233" s="46">
        <f t="shared" si="48"/>
        <v>347389.9</v>
      </c>
      <c r="Z233" s="47" t="str">
        <f t="shared" si="49"/>
        <v>4~5%</v>
      </c>
      <c r="AA233" s="47" t="str">
        <f t="shared" si="50"/>
        <v>5~7</v>
      </c>
      <c r="AB233" s="46">
        <f t="shared" si="51"/>
        <v>1744905.3769863015</v>
      </c>
    </row>
    <row r="234" spans="1:28">
      <c r="A234" s="33" t="s">
        <v>702</v>
      </c>
      <c r="B234" s="33" t="s">
        <v>54</v>
      </c>
      <c r="C234" s="48" t="s">
        <v>43</v>
      </c>
      <c r="D234" s="33" t="s">
        <v>61</v>
      </c>
      <c r="E234" s="37" t="s">
        <v>703</v>
      </c>
      <c r="F234" s="49" t="s">
        <v>340</v>
      </c>
      <c r="G234" s="33" t="s">
        <v>57</v>
      </c>
      <c r="H234" s="33" t="s">
        <v>227</v>
      </c>
      <c r="I234" s="37" t="s">
        <v>341</v>
      </c>
      <c r="J234" s="33">
        <v>7</v>
      </c>
      <c r="K234" s="39">
        <v>4.3999999999999997E-2</v>
      </c>
      <c r="L234" s="33">
        <v>2</v>
      </c>
      <c r="M234" s="40">
        <v>45796</v>
      </c>
      <c r="N234" s="41">
        <f t="shared" si="54"/>
        <v>7.1945205479452055</v>
      </c>
      <c r="O234" s="45">
        <v>48422</v>
      </c>
      <c r="P234" s="42">
        <v>97.41</v>
      </c>
      <c r="Q234" s="53">
        <v>4.8437000000000001E-2</v>
      </c>
      <c r="R234" s="44">
        <v>1060000</v>
      </c>
      <c r="S234" s="43">
        <f t="shared" si="52"/>
        <v>1032546</v>
      </c>
      <c r="T234" s="44">
        <v>14639.78</v>
      </c>
      <c r="U234" s="43">
        <f t="shared" si="55"/>
        <v>1047185.78</v>
      </c>
      <c r="V234" s="45">
        <f>M234+1</f>
        <v>45797</v>
      </c>
      <c r="W234" s="46">
        <f t="shared" si="56"/>
        <v>15</v>
      </c>
      <c r="X234" s="46">
        <f t="shared" si="47"/>
        <v>349800</v>
      </c>
      <c r="Y234" s="46">
        <f t="shared" si="48"/>
        <v>1409800</v>
      </c>
      <c r="Z234" s="47" t="str">
        <f t="shared" si="49"/>
        <v>4~5%</v>
      </c>
      <c r="AA234" s="47" t="str">
        <f t="shared" si="50"/>
        <v>7~10</v>
      </c>
      <c r="AB234" s="46">
        <f t="shared" si="51"/>
        <v>7533999.6117260279</v>
      </c>
    </row>
    <row r="235" spans="1:28">
      <c r="A235" s="33" t="s">
        <v>702</v>
      </c>
      <c r="B235" s="33" t="s">
        <v>54</v>
      </c>
      <c r="C235" s="48" t="s">
        <v>43</v>
      </c>
      <c r="D235" s="33" t="s">
        <v>61</v>
      </c>
      <c r="E235" s="37" t="s">
        <v>703</v>
      </c>
      <c r="F235" s="49" t="s">
        <v>340</v>
      </c>
      <c r="G235" s="33" t="s">
        <v>57</v>
      </c>
      <c r="H235" s="33" t="s">
        <v>227</v>
      </c>
      <c r="I235" s="37" t="s">
        <v>341</v>
      </c>
      <c r="J235" s="33">
        <v>7</v>
      </c>
      <c r="K235" s="39">
        <v>4.3999999999999997E-2</v>
      </c>
      <c r="L235" s="33">
        <v>2</v>
      </c>
      <c r="M235" s="40">
        <v>45793</v>
      </c>
      <c r="N235" s="41">
        <f t="shared" si="54"/>
        <v>7.2027397260273975</v>
      </c>
      <c r="O235" s="45">
        <v>48422</v>
      </c>
      <c r="P235" s="42">
        <v>97.5</v>
      </c>
      <c r="Q235" s="53">
        <v>4.8145E-2</v>
      </c>
      <c r="R235" s="44">
        <v>3300000</v>
      </c>
      <c r="S235" s="43">
        <f t="shared" si="52"/>
        <v>3217500</v>
      </c>
      <c r="T235" s="44">
        <v>45173.33</v>
      </c>
      <c r="U235" s="43">
        <f t="shared" si="55"/>
        <v>3262673.33</v>
      </c>
      <c r="V235" s="45">
        <f>M235+1</f>
        <v>45794</v>
      </c>
      <c r="W235" s="46">
        <f t="shared" si="56"/>
        <v>15</v>
      </c>
      <c r="X235" s="46">
        <f t="shared" si="47"/>
        <v>1089000</v>
      </c>
      <c r="Y235" s="46">
        <f t="shared" si="48"/>
        <v>4389000</v>
      </c>
      <c r="Z235" s="47" t="str">
        <f t="shared" si="49"/>
        <v>4~5%</v>
      </c>
      <c r="AA235" s="47" t="str">
        <f t="shared" si="50"/>
        <v>7~10</v>
      </c>
      <c r="AB235" s="46">
        <f t="shared" si="51"/>
        <v>23500186.807041097</v>
      </c>
    </row>
    <row r="236" spans="1:28">
      <c r="A236" s="33" t="s">
        <v>704</v>
      </c>
      <c r="B236" s="33" t="s">
        <v>77</v>
      </c>
      <c r="C236" s="48" t="s">
        <v>43</v>
      </c>
      <c r="D236" s="33" t="s">
        <v>61</v>
      </c>
      <c r="E236" s="37" t="s">
        <v>705</v>
      </c>
      <c r="F236" s="49" t="s">
        <v>706</v>
      </c>
      <c r="G236" s="33" t="s">
        <v>172</v>
      </c>
      <c r="H236" s="33" t="s">
        <v>47</v>
      </c>
      <c r="I236" s="37" t="s">
        <v>153</v>
      </c>
      <c r="J236" s="33">
        <v>5</v>
      </c>
      <c r="K236" s="39">
        <v>3.85E-2</v>
      </c>
      <c r="L236" s="33">
        <v>2</v>
      </c>
      <c r="M236" s="40">
        <v>45051</v>
      </c>
      <c r="N236" s="41">
        <f t="shared" si="54"/>
        <v>9.287671232876713</v>
      </c>
      <c r="O236" s="45">
        <v>48441</v>
      </c>
      <c r="P236" s="42">
        <v>95.281999999999996</v>
      </c>
      <c r="Q236" s="53">
        <v>4.4699999999999997E-2</v>
      </c>
      <c r="R236" s="44">
        <v>4000000</v>
      </c>
      <c r="S236" s="43">
        <f t="shared" si="52"/>
        <v>3811280</v>
      </c>
      <c r="T236" s="44">
        <v>1666.67</v>
      </c>
      <c r="U236" s="43">
        <f t="shared" si="55"/>
        <v>3812946.67</v>
      </c>
      <c r="V236" s="45">
        <f>M236+2</f>
        <v>45053</v>
      </c>
      <c r="W236" s="46">
        <f t="shared" si="56"/>
        <v>19</v>
      </c>
      <c r="X236" s="46">
        <f t="shared" si="47"/>
        <v>1463000</v>
      </c>
      <c r="Y236" s="46">
        <f t="shared" si="48"/>
        <v>5463000</v>
      </c>
      <c r="Z236" s="47" t="str">
        <f t="shared" si="49"/>
        <v>4~5%</v>
      </c>
      <c r="AA236" s="47" t="str">
        <f t="shared" si="50"/>
        <v>7~10</v>
      </c>
      <c r="AB236" s="46">
        <f t="shared" si="51"/>
        <v>35413395.099452056</v>
      </c>
    </row>
    <row r="237" spans="1:28">
      <c r="A237" s="33" t="s">
        <v>704</v>
      </c>
      <c r="B237" s="33" t="s">
        <v>77</v>
      </c>
      <c r="C237" s="33" t="s">
        <v>60</v>
      </c>
      <c r="D237" s="36" t="s">
        <v>61</v>
      </c>
      <c r="E237" s="37" t="s">
        <v>170</v>
      </c>
      <c r="F237" s="37" t="s">
        <v>171</v>
      </c>
      <c r="G237" s="33" t="s">
        <v>172</v>
      </c>
      <c r="H237" s="38" t="s">
        <v>40</v>
      </c>
      <c r="I237" s="37" t="s">
        <v>133</v>
      </c>
      <c r="J237" s="33">
        <v>5</v>
      </c>
      <c r="K237" s="39">
        <v>3.85E-2</v>
      </c>
      <c r="L237" s="33">
        <v>2</v>
      </c>
      <c r="M237" s="40">
        <v>45033</v>
      </c>
      <c r="N237" s="41">
        <f t="shared" si="54"/>
        <v>9.3369863013698637</v>
      </c>
      <c r="O237" s="45">
        <v>48441</v>
      </c>
      <c r="P237" s="42">
        <v>95.59</v>
      </c>
      <c r="Q237" s="53">
        <v>4.4299999999999999E-2</v>
      </c>
      <c r="R237" s="44">
        <v>4000000</v>
      </c>
      <c r="S237" s="43">
        <f t="shared" si="52"/>
        <v>3823600</v>
      </c>
      <c r="T237" s="44">
        <v>250</v>
      </c>
      <c r="U237" s="43">
        <f t="shared" si="55"/>
        <v>3823850</v>
      </c>
      <c r="V237" s="45">
        <f>M237+2</f>
        <v>45035</v>
      </c>
      <c r="W237" s="46">
        <f t="shared" si="56"/>
        <v>19</v>
      </c>
      <c r="X237" s="46">
        <f t="shared" si="47"/>
        <v>1463000</v>
      </c>
      <c r="Y237" s="46">
        <f t="shared" si="48"/>
        <v>5463000</v>
      </c>
      <c r="Z237" s="47" t="str">
        <f t="shared" si="49"/>
        <v>4~5%</v>
      </c>
      <c r="AA237" s="47" t="str">
        <f t="shared" si="50"/>
        <v>7~10</v>
      </c>
      <c r="AB237" s="46">
        <f t="shared" si="51"/>
        <v>35703235.06849315</v>
      </c>
    </row>
    <row r="238" spans="1:28" ht="26.25">
      <c r="A238" s="33" t="s">
        <v>707</v>
      </c>
      <c r="B238" s="33" t="s">
        <v>77</v>
      </c>
      <c r="C238" s="33" t="s">
        <v>35</v>
      </c>
      <c r="D238" s="36" t="s">
        <v>61</v>
      </c>
      <c r="E238" s="37" t="s">
        <v>708</v>
      </c>
      <c r="F238" s="37" t="s">
        <v>709</v>
      </c>
      <c r="G238" s="33" t="s">
        <v>267</v>
      </c>
      <c r="H238" s="38" t="s">
        <v>40</v>
      </c>
      <c r="I238" s="37" t="s">
        <v>710</v>
      </c>
      <c r="J238" s="33">
        <v>7</v>
      </c>
      <c r="K238" s="39">
        <v>1.8499999999999999E-2</v>
      </c>
      <c r="L238" s="33">
        <v>2</v>
      </c>
      <c r="M238" s="40">
        <v>45392</v>
      </c>
      <c r="N238" s="41">
        <f t="shared" si="54"/>
        <v>8.4383561643835616</v>
      </c>
      <c r="O238" s="45">
        <v>48472</v>
      </c>
      <c r="P238" s="42">
        <v>78.207000000000008</v>
      </c>
      <c r="Q238" s="53">
        <v>5.0569000000000003E-2</v>
      </c>
      <c r="R238" s="44">
        <v>2000000</v>
      </c>
      <c r="S238" s="43">
        <f t="shared" si="52"/>
        <v>1564140.0000000002</v>
      </c>
      <c r="T238" s="44">
        <v>26522.22</v>
      </c>
      <c r="U238" s="43">
        <f t="shared" si="55"/>
        <v>1590662.2200000002</v>
      </c>
      <c r="V238" s="45">
        <f>M238+2</f>
        <v>45394</v>
      </c>
      <c r="W238" s="46">
        <f t="shared" si="56"/>
        <v>17</v>
      </c>
      <c r="X238" s="46">
        <f t="shared" si="47"/>
        <v>314500</v>
      </c>
      <c r="Y238" s="46">
        <f t="shared" si="48"/>
        <v>2314500</v>
      </c>
      <c r="Z238" s="47" t="str">
        <f t="shared" si="49"/>
        <v>5~6%</v>
      </c>
      <c r="AA238" s="47" t="str">
        <f t="shared" si="50"/>
        <v>7~10</v>
      </c>
      <c r="AB238" s="46">
        <f t="shared" si="51"/>
        <v>13422574.349589042</v>
      </c>
    </row>
    <row r="239" spans="1:28" ht="26.25">
      <c r="A239" s="33" t="s">
        <v>707</v>
      </c>
      <c r="B239" s="33" t="s">
        <v>54</v>
      </c>
      <c r="C239" s="33" t="s">
        <v>35</v>
      </c>
      <c r="D239" s="33" t="s">
        <v>61</v>
      </c>
      <c r="E239" s="37" t="s">
        <v>711</v>
      </c>
      <c r="F239" s="49" t="s">
        <v>712</v>
      </c>
      <c r="G239" s="33" t="s">
        <v>267</v>
      </c>
      <c r="H239" s="33" t="s">
        <v>47</v>
      </c>
      <c r="I239" s="37" t="s">
        <v>682</v>
      </c>
      <c r="J239" s="33">
        <v>7</v>
      </c>
      <c r="K239" s="39">
        <v>1.8499999999999999E-2</v>
      </c>
      <c r="L239" s="33">
        <v>2</v>
      </c>
      <c r="M239" s="40">
        <v>45392</v>
      </c>
      <c r="N239" s="41">
        <f t="shared" si="54"/>
        <v>8.4383561643835616</v>
      </c>
      <c r="O239" s="45">
        <v>48472</v>
      </c>
      <c r="P239" s="42">
        <v>78.180000000000007</v>
      </c>
      <c r="Q239" s="53">
        <v>5.0615E-2</v>
      </c>
      <c r="R239" s="44">
        <v>2000000</v>
      </c>
      <c r="S239" s="43">
        <f t="shared" si="52"/>
        <v>1563600</v>
      </c>
      <c r="T239" s="44">
        <v>2569.44</v>
      </c>
      <c r="U239" s="43">
        <f t="shared" si="55"/>
        <v>1566169.44</v>
      </c>
      <c r="V239" s="45">
        <f>M239+2</f>
        <v>45394</v>
      </c>
      <c r="W239" s="46">
        <f t="shared" si="56"/>
        <v>17</v>
      </c>
      <c r="X239" s="46">
        <f t="shared" si="47"/>
        <v>314500</v>
      </c>
      <c r="Y239" s="46">
        <f t="shared" si="48"/>
        <v>2314500</v>
      </c>
      <c r="Z239" s="47" t="str">
        <f t="shared" si="49"/>
        <v>5~6%</v>
      </c>
      <c r="AA239" s="47" t="str">
        <f t="shared" si="50"/>
        <v>7~10</v>
      </c>
      <c r="AB239" s="46">
        <f t="shared" si="51"/>
        <v>13215895.548493151</v>
      </c>
    </row>
    <row r="240" spans="1:28">
      <c r="A240" s="33" t="s">
        <v>713</v>
      </c>
      <c r="B240" s="33" t="s">
        <v>54</v>
      </c>
      <c r="C240" s="48" t="s">
        <v>60</v>
      </c>
      <c r="D240" s="33" t="s">
        <v>714</v>
      </c>
      <c r="E240" s="37" t="s">
        <v>715</v>
      </c>
      <c r="F240" s="49" t="s">
        <v>452</v>
      </c>
      <c r="G240" s="56" t="s">
        <v>352</v>
      </c>
      <c r="H240" s="33" t="s">
        <v>227</v>
      </c>
      <c r="I240" s="37" t="s">
        <v>716</v>
      </c>
      <c r="J240" s="33">
        <v>4</v>
      </c>
      <c r="K240" s="39">
        <v>4.4499999999999998E-2</v>
      </c>
      <c r="L240" s="33">
        <v>2</v>
      </c>
      <c r="M240" s="40">
        <v>46099</v>
      </c>
      <c r="N240" s="41">
        <f t="shared" si="54"/>
        <v>6.720547945205479</v>
      </c>
      <c r="O240" s="45">
        <v>48552</v>
      </c>
      <c r="P240" s="42">
        <v>99.69</v>
      </c>
      <c r="Q240" s="53">
        <v>4.5030000000000001E-2</v>
      </c>
      <c r="R240" s="44">
        <v>3000000</v>
      </c>
      <c r="S240" s="43">
        <f t="shared" si="52"/>
        <v>2990700</v>
      </c>
      <c r="T240" s="44">
        <v>39308.33</v>
      </c>
      <c r="U240" s="43">
        <f t="shared" si="55"/>
        <v>3030008.33</v>
      </c>
      <c r="V240" s="45">
        <v>46100</v>
      </c>
      <c r="W240" s="46">
        <f t="shared" si="56"/>
        <v>14</v>
      </c>
      <c r="X240" s="46">
        <f t="shared" si="47"/>
        <v>934500</v>
      </c>
      <c r="Y240" s="46">
        <f t="shared" si="48"/>
        <v>3934500</v>
      </c>
      <c r="Z240" s="47" t="str">
        <f t="shared" si="49"/>
        <v>4~5%</v>
      </c>
      <c r="AA240" s="47" t="str">
        <f t="shared" si="50"/>
        <v>5~7</v>
      </c>
      <c r="AB240" s="46">
        <f t="shared" si="51"/>
        <v>20363316.256136987</v>
      </c>
    </row>
    <row r="241" spans="1:28">
      <c r="A241" s="33" t="s">
        <v>717</v>
      </c>
      <c r="B241" s="33" t="s">
        <v>54</v>
      </c>
      <c r="C241" s="33" t="s">
        <v>60</v>
      </c>
      <c r="D241" s="36" t="s">
        <v>61</v>
      </c>
      <c r="E241" s="37" t="s">
        <v>136</v>
      </c>
      <c r="F241" s="49" t="s">
        <v>137</v>
      </c>
      <c r="G241" s="33" t="s">
        <v>57</v>
      </c>
      <c r="H241" s="38" t="s">
        <v>40</v>
      </c>
      <c r="I241" s="37" t="s">
        <v>718</v>
      </c>
      <c r="J241" s="33">
        <v>6</v>
      </c>
      <c r="K241" s="39">
        <v>5.1999999999999998E-2</v>
      </c>
      <c r="L241" s="33">
        <v>2</v>
      </c>
      <c r="M241" s="40">
        <v>45068</v>
      </c>
      <c r="N241" s="41">
        <f t="shared" si="54"/>
        <v>9.7315068493150694</v>
      </c>
      <c r="O241" s="45">
        <v>48620</v>
      </c>
      <c r="P241" s="42">
        <v>101.467</v>
      </c>
      <c r="Q241" s="53">
        <v>0.05</v>
      </c>
      <c r="R241" s="44">
        <v>805000</v>
      </c>
      <c r="S241" s="43">
        <f t="shared" si="52"/>
        <v>816809.35</v>
      </c>
      <c r="T241" s="44">
        <v>11860.33</v>
      </c>
      <c r="U241" s="43">
        <f t="shared" si="55"/>
        <v>828669.67999999993</v>
      </c>
      <c r="V241" s="45">
        <f>M241+2</f>
        <v>45070</v>
      </c>
      <c r="W241" s="46">
        <f t="shared" si="56"/>
        <v>20</v>
      </c>
      <c r="X241" s="46">
        <f t="shared" si="47"/>
        <v>418600</v>
      </c>
      <c r="Y241" s="46">
        <f t="shared" si="48"/>
        <v>1223600</v>
      </c>
      <c r="Z241" s="47" t="str">
        <f t="shared" si="49"/>
        <v>4~5%</v>
      </c>
      <c r="AA241" s="47" t="str">
        <f t="shared" si="50"/>
        <v>7~10</v>
      </c>
      <c r="AB241" s="46">
        <f t="shared" si="51"/>
        <v>8064204.6667397264</v>
      </c>
    </row>
    <row r="242" spans="1:28">
      <c r="A242" s="56" t="s">
        <v>719</v>
      </c>
      <c r="B242" s="56" t="s">
        <v>233</v>
      </c>
      <c r="C242" s="57" t="s">
        <v>35</v>
      </c>
      <c r="D242" s="36" t="s">
        <v>338</v>
      </c>
      <c r="E242" s="58" t="s">
        <v>720</v>
      </c>
      <c r="F242" s="54" t="s">
        <v>721</v>
      </c>
      <c r="G242" s="56" t="s">
        <v>39</v>
      </c>
      <c r="H242" s="56" t="s">
        <v>236</v>
      </c>
      <c r="I242" s="55" t="s">
        <v>722</v>
      </c>
      <c r="J242" s="56">
        <v>7</v>
      </c>
      <c r="K242" s="59">
        <v>4.8120000000000003E-2</v>
      </c>
      <c r="L242" s="33">
        <v>2</v>
      </c>
      <c r="M242" s="40">
        <v>45764</v>
      </c>
      <c r="N242" s="60">
        <f t="shared" si="54"/>
        <v>7.8328767123287673</v>
      </c>
      <c r="O242" s="45">
        <v>48623</v>
      </c>
      <c r="P242" s="42">
        <v>98.4</v>
      </c>
      <c r="Q242" s="53">
        <v>5.0610000000000002E-2</v>
      </c>
      <c r="R242" s="68">
        <v>5000000</v>
      </c>
      <c r="S242" s="68">
        <f t="shared" si="52"/>
        <v>4920000</v>
      </c>
      <c r="T242" s="68">
        <v>45446.67</v>
      </c>
      <c r="U242" s="68">
        <f t="shared" si="55"/>
        <v>4965446.67</v>
      </c>
      <c r="V242" s="45">
        <v>45768</v>
      </c>
      <c r="W242" s="46">
        <f t="shared" si="56"/>
        <v>16</v>
      </c>
      <c r="X242" s="46">
        <f t="shared" si="47"/>
        <v>1924800.0000000002</v>
      </c>
      <c r="Y242" s="46">
        <f t="shared" si="48"/>
        <v>6924800</v>
      </c>
      <c r="Z242" s="47" t="str">
        <f t="shared" si="49"/>
        <v>5~6%</v>
      </c>
      <c r="AA242" s="47" t="str">
        <f t="shared" si="50"/>
        <v>7~10</v>
      </c>
      <c r="AB242" s="46">
        <f t="shared" si="51"/>
        <v>38893731.587753423</v>
      </c>
    </row>
    <row r="243" spans="1:28">
      <c r="A243" s="56" t="s">
        <v>723</v>
      </c>
      <c r="B243" s="56" t="s">
        <v>233</v>
      </c>
      <c r="C243" s="57" t="s">
        <v>60</v>
      </c>
      <c r="D243" s="36" t="s">
        <v>338</v>
      </c>
      <c r="E243" s="58" t="s">
        <v>724</v>
      </c>
      <c r="F243" s="54" t="s">
        <v>351</v>
      </c>
      <c r="G243" s="56" t="s">
        <v>352</v>
      </c>
      <c r="H243" s="56" t="s">
        <v>236</v>
      </c>
      <c r="I243" s="55" t="s">
        <v>302</v>
      </c>
      <c r="J243" s="56">
        <v>6</v>
      </c>
      <c r="K243" s="59">
        <v>5.3499999999999999E-2</v>
      </c>
      <c r="L243" s="33">
        <v>2</v>
      </c>
      <c r="M243" s="40">
        <v>45789</v>
      </c>
      <c r="N243" s="60">
        <f t="shared" si="54"/>
        <v>7.7698630136986298</v>
      </c>
      <c r="O243" s="45" t="s">
        <v>725</v>
      </c>
      <c r="P243" s="42">
        <v>102</v>
      </c>
      <c r="Q243" s="53">
        <v>5.0340000000000003E-2</v>
      </c>
      <c r="R243" s="68">
        <v>3880000</v>
      </c>
      <c r="S243" s="68">
        <f t="shared" si="52"/>
        <v>3957600</v>
      </c>
      <c r="T243" s="68">
        <v>50741.78</v>
      </c>
      <c r="U243" s="68">
        <f t="shared" si="55"/>
        <v>4008341.78</v>
      </c>
      <c r="V243" s="45">
        <v>45790</v>
      </c>
      <c r="W243" s="46">
        <f t="shared" si="56"/>
        <v>16</v>
      </c>
      <c r="X243" s="46">
        <f t="shared" si="47"/>
        <v>1660640</v>
      </c>
      <c r="Y243" s="46">
        <f t="shared" si="48"/>
        <v>5540640</v>
      </c>
      <c r="Z243" s="47" t="str">
        <f t="shared" si="49"/>
        <v>5~6%</v>
      </c>
      <c r="AA243" s="47" t="str">
        <f t="shared" si="50"/>
        <v>7~10</v>
      </c>
      <c r="AB243" s="46">
        <f t="shared" si="51"/>
        <v>31144266.542684928</v>
      </c>
    </row>
    <row r="244" spans="1:28">
      <c r="A244" s="17" t="s">
        <v>726</v>
      </c>
      <c r="B244" s="17" t="s">
        <v>77</v>
      </c>
      <c r="C244" s="17" t="s">
        <v>60</v>
      </c>
      <c r="D244" s="18" t="s">
        <v>338</v>
      </c>
      <c r="E244" s="19" t="s">
        <v>727</v>
      </c>
      <c r="F244" s="19" t="s">
        <v>471</v>
      </c>
      <c r="G244" s="17" t="s">
        <v>346</v>
      </c>
      <c r="H244" s="20" t="s">
        <v>40</v>
      </c>
      <c r="I244" s="19" t="s">
        <v>472</v>
      </c>
      <c r="J244" s="17">
        <v>7</v>
      </c>
      <c r="K244" s="21">
        <v>5.3749999999999999E-2</v>
      </c>
      <c r="L244" s="17">
        <v>2</v>
      </c>
      <c r="M244" s="22">
        <v>46108</v>
      </c>
      <c r="N244" s="23">
        <f t="shared" si="54"/>
        <v>6.8958904109589039</v>
      </c>
      <c r="O244" s="30" t="s">
        <v>725</v>
      </c>
      <c r="P244" s="25">
        <v>103</v>
      </c>
      <c r="Q244" s="71">
        <v>4.8550000000000003E-2</v>
      </c>
      <c r="R244" s="29">
        <v>1635000</v>
      </c>
      <c r="S244" s="28">
        <f t="shared" si="52"/>
        <v>1684050</v>
      </c>
      <c r="T244" s="29">
        <v>10985.16</v>
      </c>
      <c r="U244" s="28">
        <f t="shared" si="55"/>
        <v>1695035.16</v>
      </c>
      <c r="V244" s="30">
        <f>M244+3</f>
        <v>46111</v>
      </c>
      <c r="W244" s="31">
        <f t="shared" si="56"/>
        <v>14</v>
      </c>
      <c r="X244" s="31">
        <f t="shared" si="47"/>
        <v>615168.75</v>
      </c>
      <c r="Y244" s="31">
        <f t="shared" si="48"/>
        <v>2250168.75</v>
      </c>
      <c r="Z244" s="32" t="str">
        <f t="shared" si="49"/>
        <v>4~5%</v>
      </c>
      <c r="AA244" s="32" t="str">
        <f t="shared" si="50"/>
        <v>5~7</v>
      </c>
      <c r="AB244" s="31">
        <f t="shared" si="51"/>
        <v>11688776.706082191</v>
      </c>
    </row>
    <row r="245" spans="1:28">
      <c r="A245" s="33" t="s">
        <v>728</v>
      </c>
      <c r="B245" s="33" t="s">
        <v>77</v>
      </c>
      <c r="C245" s="48" t="s">
        <v>67</v>
      </c>
      <c r="D245" s="33" t="s">
        <v>61</v>
      </c>
      <c r="E245" s="37" t="s">
        <v>729</v>
      </c>
      <c r="F245" s="49" t="s">
        <v>730</v>
      </c>
      <c r="G245" s="33" t="s">
        <v>39</v>
      </c>
      <c r="H245" s="33" t="s">
        <v>227</v>
      </c>
      <c r="I245" s="37" t="s">
        <v>731</v>
      </c>
      <c r="J245" s="33">
        <v>7</v>
      </c>
      <c r="K245" s="39">
        <v>5.6579999999999998E-2</v>
      </c>
      <c r="L245" s="33">
        <v>2</v>
      </c>
      <c r="M245" s="40">
        <v>45485</v>
      </c>
      <c r="N245" s="41">
        <f t="shared" si="54"/>
        <v>8.6383561643835609</v>
      </c>
      <c r="O245" s="45">
        <v>48638</v>
      </c>
      <c r="P245" s="42">
        <v>103.139443</v>
      </c>
      <c r="Q245" s="53">
        <v>5.1999999999999998E-2</v>
      </c>
      <c r="R245" s="44">
        <v>7000000</v>
      </c>
      <c r="S245" s="43">
        <f t="shared" si="52"/>
        <v>7219761.0099999998</v>
      </c>
      <c r="T245" s="44">
        <v>150722.82999999999</v>
      </c>
      <c r="U245" s="43">
        <f t="shared" si="55"/>
        <v>7370483.8399999999</v>
      </c>
      <c r="V245" s="45">
        <f>M245+2</f>
        <v>45487</v>
      </c>
      <c r="W245" s="46">
        <f t="shared" si="56"/>
        <v>18</v>
      </c>
      <c r="X245" s="46">
        <f t="shared" si="47"/>
        <v>3564540</v>
      </c>
      <c r="Y245" s="46">
        <f t="shared" si="48"/>
        <v>10564540</v>
      </c>
      <c r="Z245" s="47" t="str">
        <f t="shared" si="49"/>
        <v>5~6%</v>
      </c>
      <c r="AA245" s="47" t="str">
        <f t="shared" si="50"/>
        <v>7~10</v>
      </c>
      <c r="AB245" s="46">
        <f t="shared" si="51"/>
        <v>63668864.513753422</v>
      </c>
    </row>
    <row r="246" spans="1:28">
      <c r="A246" s="33" t="s">
        <v>732</v>
      </c>
      <c r="B246" s="33" t="s">
        <v>77</v>
      </c>
      <c r="C246" s="48" t="s">
        <v>67</v>
      </c>
      <c r="D246" s="33" t="s">
        <v>61</v>
      </c>
      <c r="E246" s="37" t="s">
        <v>733</v>
      </c>
      <c r="F246" s="49" t="s">
        <v>475</v>
      </c>
      <c r="G246" s="33" t="s">
        <v>476</v>
      </c>
      <c r="H246" s="33" t="s">
        <v>47</v>
      </c>
      <c r="I246" s="37" t="s">
        <v>734</v>
      </c>
      <c r="J246" s="33">
        <v>7</v>
      </c>
      <c r="K246" s="39">
        <v>4.9000000000000002E-2</v>
      </c>
      <c r="L246" s="33">
        <v>2</v>
      </c>
      <c r="M246" s="40">
        <v>45392</v>
      </c>
      <c r="N246" s="41">
        <f t="shared" si="54"/>
        <v>8.8931506849315074</v>
      </c>
      <c r="O246" s="45">
        <v>48638</v>
      </c>
      <c r="P246" s="42">
        <v>98.950999999999993</v>
      </c>
      <c r="Q246" s="53">
        <v>5.0472000000000003E-2</v>
      </c>
      <c r="R246" s="44">
        <v>2000000</v>
      </c>
      <c r="S246" s="43">
        <f t="shared" si="52"/>
        <v>1979020</v>
      </c>
      <c r="T246" s="44">
        <v>12250</v>
      </c>
      <c r="U246" s="43">
        <f t="shared" si="55"/>
        <v>1991270</v>
      </c>
      <c r="V246" s="45">
        <f>M246+2</f>
        <v>45394</v>
      </c>
      <c r="W246" s="46">
        <f t="shared" si="56"/>
        <v>18</v>
      </c>
      <c r="X246" s="46">
        <f t="shared" si="47"/>
        <v>882000</v>
      </c>
      <c r="Y246" s="46">
        <f t="shared" si="48"/>
        <v>2882000</v>
      </c>
      <c r="Z246" s="47" t="str">
        <f t="shared" si="49"/>
        <v>5~6%</v>
      </c>
      <c r="AA246" s="47" t="str">
        <f t="shared" si="50"/>
        <v>7~10</v>
      </c>
      <c r="AB246" s="46">
        <f t="shared" si="51"/>
        <v>17708664.164383564</v>
      </c>
    </row>
    <row r="247" spans="1:28" ht="26.25">
      <c r="A247" s="33" t="s">
        <v>732</v>
      </c>
      <c r="B247" s="33" t="s">
        <v>54</v>
      </c>
      <c r="C247" s="48" t="s">
        <v>67</v>
      </c>
      <c r="D247" s="33" t="s">
        <v>61</v>
      </c>
      <c r="E247" s="37" t="s">
        <v>735</v>
      </c>
      <c r="F247" s="49" t="s">
        <v>475</v>
      </c>
      <c r="G247" s="33" t="s">
        <v>476</v>
      </c>
      <c r="H247" s="33" t="s">
        <v>47</v>
      </c>
      <c r="I247" s="37" t="s">
        <v>736</v>
      </c>
      <c r="J247" s="33">
        <v>7</v>
      </c>
      <c r="K247" s="39">
        <v>4.9000000000000002E-2</v>
      </c>
      <c r="L247" s="33">
        <v>2</v>
      </c>
      <c r="M247" s="40">
        <v>45392</v>
      </c>
      <c r="N247" s="41">
        <f t="shared" si="54"/>
        <v>8.8931506849315074</v>
      </c>
      <c r="O247" s="45">
        <v>48638</v>
      </c>
      <c r="P247" s="42">
        <v>98.8</v>
      </c>
      <c r="Q247" s="53">
        <v>5.0687000000000003E-2</v>
      </c>
      <c r="R247" s="44">
        <v>2000000</v>
      </c>
      <c r="S247" s="43">
        <f t="shared" si="52"/>
        <v>1976000</v>
      </c>
      <c r="T247" s="44">
        <v>11433.33</v>
      </c>
      <c r="U247" s="43">
        <f t="shared" si="55"/>
        <v>1987433.33</v>
      </c>
      <c r="V247" s="45">
        <f>M247+2</f>
        <v>45394</v>
      </c>
      <c r="W247" s="46">
        <f t="shared" si="56"/>
        <v>18</v>
      </c>
      <c r="X247" s="46">
        <f t="shared" si="47"/>
        <v>882000</v>
      </c>
      <c r="Y247" s="46">
        <f t="shared" si="48"/>
        <v>2882000</v>
      </c>
      <c r="Z247" s="47" t="str">
        <f t="shared" si="49"/>
        <v>5~6%</v>
      </c>
      <c r="AA247" s="47" t="str">
        <f t="shared" si="50"/>
        <v>7~10</v>
      </c>
      <c r="AB247" s="46">
        <f t="shared" si="51"/>
        <v>17674544.079945207</v>
      </c>
    </row>
    <row r="248" spans="1:28">
      <c r="A248" s="33" t="s">
        <v>737</v>
      </c>
      <c r="B248" s="33" t="s">
        <v>54</v>
      </c>
      <c r="C248" s="48" t="s">
        <v>67</v>
      </c>
      <c r="D248" s="33" t="s">
        <v>61</v>
      </c>
      <c r="E248" s="37" t="s">
        <v>738</v>
      </c>
      <c r="F248" s="49" t="s">
        <v>739</v>
      </c>
      <c r="G248" s="33" t="s">
        <v>39</v>
      </c>
      <c r="H248" s="33" t="s">
        <v>227</v>
      </c>
      <c r="I248" s="37" t="s">
        <v>740</v>
      </c>
      <c r="J248" s="33">
        <v>5</v>
      </c>
      <c r="K248" s="39">
        <v>5.5140000000000002E-2</v>
      </c>
      <c r="L248" s="33">
        <v>2</v>
      </c>
      <c r="M248" s="40">
        <v>45504</v>
      </c>
      <c r="N248" s="41">
        <f t="shared" si="54"/>
        <v>8.9342465753424651</v>
      </c>
      <c r="O248" s="45">
        <v>48765</v>
      </c>
      <c r="P248" s="42">
        <v>103.85</v>
      </c>
      <c r="Q248" s="53">
        <v>4.9741071621544002E-2</v>
      </c>
      <c r="R248" s="44">
        <v>6000000</v>
      </c>
      <c r="S248" s="43">
        <f t="shared" si="52"/>
        <v>6231000</v>
      </c>
      <c r="T248" s="44">
        <v>23894</v>
      </c>
      <c r="U248" s="43">
        <f t="shared" si="55"/>
        <v>6254894</v>
      </c>
      <c r="V248" s="45">
        <v>45505</v>
      </c>
      <c r="W248" s="46">
        <f t="shared" si="56"/>
        <v>18</v>
      </c>
      <c r="X248" s="46">
        <f t="shared" si="47"/>
        <v>2977560</v>
      </c>
      <c r="Y248" s="46">
        <f t="shared" si="48"/>
        <v>8977560</v>
      </c>
      <c r="Z248" s="47" t="str">
        <f t="shared" si="49"/>
        <v>4~5%</v>
      </c>
      <c r="AA248" s="47" t="str">
        <f t="shared" si="50"/>
        <v>7~10</v>
      </c>
      <c r="AB248" s="46">
        <f t="shared" si="51"/>
        <v>55882765.298630133</v>
      </c>
    </row>
    <row r="249" spans="1:28">
      <c r="A249" s="33" t="s">
        <v>737</v>
      </c>
      <c r="B249" s="33" t="s">
        <v>54</v>
      </c>
      <c r="C249" s="48" t="s">
        <v>67</v>
      </c>
      <c r="D249" s="33" t="s">
        <v>61</v>
      </c>
      <c r="E249" s="37" t="s">
        <v>738</v>
      </c>
      <c r="F249" s="49" t="s">
        <v>739</v>
      </c>
      <c r="G249" s="33" t="s">
        <v>39</v>
      </c>
      <c r="H249" s="33" t="s">
        <v>227</v>
      </c>
      <c r="I249" s="37" t="s">
        <v>740</v>
      </c>
      <c r="J249" s="33">
        <v>5</v>
      </c>
      <c r="K249" s="39">
        <v>5.5140000000000002E-2</v>
      </c>
      <c r="L249" s="33">
        <v>2</v>
      </c>
      <c r="M249" s="40">
        <v>45504</v>
      </c>
      <c r="N249" s="41">
        <f t="shared" si="54"/>
        <v>8.9342465753424651</v>
      </c>
      <c r="O249" s="45">
        <v>48765</v>
      </c>
      <c r="P249" s="42">
        <v>103.85</v>
      </c>
      <c r="Q249" s="53">
        <v>4.9741071621544002E-2</v>
      </c>
      <c r="R249" s="44">
        <v>2000000</v>
      </c>
      <c r="S249" s="43">
        <f t="shared" si="52"/>
        <v>2077000</v>
      </c>
      <c r="T249" s="44">
        <v>7964.67</v>
      </c>
      <c r="U249" s="43">
        <f t="shared" si="55"/>
        <v>2084964.67</v>
      </c>
      <c r="V249" s="45">
        <v>45505</v>
      </c>
      <c r="W249" s="46">
        <f t="shared" si="56"/>
        <v>18</v>
      </c>
      <c r="X249" s="46">
        <f t="shared" si="47"/>
        <v>992520</v>
      </c>
      <c r="Y249" s="46">
        <f t="shared" si="48"/>
        <v>2992520</v>
      </c>
      <c r="Z249" s="47" t="str">
        <f t="shared" si="49"/>
        <v>4~5%</v>
      </c>
      <c r="AA249" s="47" t="str">
        <f t="shared" si="50"/>
        <v>7~10</v>
      </c>
      <c r="AB249" s="46">
        <f t="shared" si="51"/>
        <v>18627588.462657534</v>
      </c>
    </row>
    <row r="250" spans="1:28">
      <c r="A250" s="33" t="s">
        <v>741</v>
      </c>
      <c r="B250" s="33" t="s">
        <v>77</v>
      </c>
      <c r="C250" s="33" t="s">
        <v>35</v>
      </c>
      <c r="D250" s="36" t="s">
        <v>61</v>
      </c>
      <c r="E250" s="37" t="s">
        <v>742</v>
      </c>
      <c r="F250" s="49" t="s">
        <v>743</v>
      </c>
      <c r="G250" s="33" t="s">
        <v>39</v>
      </c>
      <c r="H250" s="38" t="s">
        <v>40</v>
      </c>
      <c r="I250" s="55" t="s">
        <v>605</v>
      </c>
      <c r="J250" s="33">
        <v>7</v>
      </c>
      <c r="K250" s="39">
        <v>4.4200000000000003E-2</v>
      </c>
      <c r="L250" s="33">
        <v>2</v>
      </c>
      <c r="M250" s="40">
        <v>45282</v>
      </c>
      <c r="N250" s="41">
        <f t="shared" si="54"/>
        <v>9.6219178082191785</v>
      </c>
      <c r="O250" s="45">
        <v>48794</v>
      </c>
      <c r="P250" s="42">
        <v>96.94</v>
      </c>
      <c r="Q250" s="53">
        <v>5.049E-2</v>
      </c>
      <c r="R250" s="44">
        <v>4000000</v>
      </c>
      <c r="S250" s="43">
        <f t="shared" si="52"/>
        <v>3877600</v>
      </c>
      <c r="T250" s="44">
        <v>9930.92</v>
      </c>
      <c r="U250" s="43">
        <f t="shared" si="55"/>
        <v>3887530.92</v>
      </c>
      <c r="V250" s="45">
        <f>M250+2</f>
        <v>45284</v>
      </c>
      <c r="W250" s="46">
        <f t="shared" si="56"/>
        <v>20</v>
      </c>
      <c r="X250" s="46">
        <f t="shared" si="47"/>
        <v>1768000</v>
      </c>
      <c r="Y250" s="46">
        <f t="shared" si="48"/>
        <v>5768000</v>
      </c>
      <c r="Z250" s="47" t="str">
        <f t="shared" si="49"/>
        <v>5~6%</v>
      </c>
      <c r="AA250" s="47" t="str">
        <f t="shared" si="50"/>
        <v>7~10</v>
      </c>
      <c r="AB250" s="46">
        <f t="shared" si="51"/>
        <v>37405502.989150688</v>
      </c>
    </row>
    <row r="251" spans="1:28">
      <c r="A251" s="33"/>
      <c r="B251" s="33"/>
      <c r="C251" s="48"/>
      <c r="D251" s="33"/>
      <c r="E251" s="37"/>
      <c r="G251" s="33"/>
      <c r="H251" s="33"/>
      <c r="I251" s="55"/>
      <c r="J251" s="33"/>
      <c r="K251" s="39"/>
      <c r="L251" s="33"/>
      <c r="M251" s="40"/>
      <c r="N251" s="41"/>
      <c r="O251" s="45"/>
      <c r="P251" s="42"/>
      <c r="Q251" s="53"/>
      <c r="R251" s="44"/>
      <c r="S251" s="43"/>
      <c r="T251" s="44"/>
      <c r="U251" s="43"/>
      <c r="V251" s="45"/>
      <c r="W251" s="46"/>
      <c r="X251" s="46"/>
      <c r="Y251" s="46"/>
      <c r="AA251" s="47"/>
      <c r="AB251" s="46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529E-8657-49BC-A3BE-40B19FBB004B}">
  <dimension ref="A1:G3172"/>
  <sheetViews>
    <sheetView tabSelected="1" workbookViewId="0">
      <selection activeCell="I17" sqref="I17"/>
    </sheetView>
  </sheetViews>
  <sheetFormatPr defaultRowHeight="16.149999999999999"/>
  <cols>
    <col min="1" max="1" width="16.53125" style="57" bestFit="1" customWidth="1"/>
    <col min="2" max="2" width="11.53125" style="57" bestFit="1" customWidth="1"/>
    <col min="3" max="3" width="13.3984375" style="57" bestFit="1" customWidth="1"/>
    <col min="4" max="4" width="15.53125" style="54" bestFit="1" customWidth="1"/>
    <col min="5" max="5" width="14.9296875" style="57" bestFit="1" customWidth="1"/>
    <col min="6" max="7" width="15.53125" style="57" customWidth="1"/>
    <col min="8" max="16384" width="9.06640625" style="86"/>
  </cols>
  <sheetData>
    <row r="1" spans="1:7">
      <c r="A1" s="83" t="s">
        <v>0</v>
      </c>
      <c r="B1" s="10" t="s">
        <v>1</v>
      </c>
      <c r="C1" s="10" t="s">
        <v>2</v>
      </c>
      <c r="D1" s="83" t="s">
        <v>3</v>
      </c>
      <c r="E1" s="84" t="s">
        <v>744</v>
      </c>
      <c r="F1" s="85" t="s">
        <v>745</v>
      </c>
      <c r="G1" s="85" t="s">
        <v>746</v>
      </c>
    </row>
    <row r="2" spans="1:7">
      <c r="A2" s="87" t="s">
        <v>185</v>
      </c>
      <c r="B2" s="87" t="s">
        <v>77</v>
      </c>
      <c r="C2" s="88" t="s">
        <v>67</v>
      </c>
      <c r="D2" s="87" t="s">
        <v>61</v>
      </c>
      <c r="E2" s="89">
        <v>45336</v>
      </c>
      <c r="F2" s="90">
        <v>66937.5</v>
      </c>
      <c r="G2" s="90">
        <v>66937.5</v>
      </c>
    </row>
    <row r="3" spans="1:7">
      <c r="A3" s="33" t="s">
        <v>185</v>
      </c>
      <c r="B3" s="33" t="s">
        <v>77</v>
      </c>
      <c r="C3" s="48" t="s">
        <v>67</v>
      </c>
      <c r="D3" s="33" t="s">
        <v>61</v>
      </c>
      <c r="E3" s="91">
        <v>45518</v>
      </c>
      <c r="F3" s="92">
        <v>66937.5</v>
      </c>
      <c r="G3" s="92">
        <v>66937.5</v>
      </c>
    </row>
    <row r="4" spans="1:7">
      <c r="A4" s="33" t="s">
        <v>747</v>
      </c>
      <c r="B4" s="33" t="s">
        <v>77</v>
      </c>
      <c r="C4" s="48" t="s">
        <v>67</v>
      </c>
      <c r="D4" s="33" t="s">
        <v>61</v>
      </c>
      <c r="E4" s="91">
        <v>45702</v>
      </c>
      <c r="F4" s="92">
        <v>66937.5</v>
      </c>
      <c r="G4" s="92">
        <v>66937.5</v>
      </c>
    </row>
    <row r="5" spans="1:7">
      <c r="A5" s="33" t="s">
        <v>747</v>
      </c>
      <c r="B5" s="33" t="s">
        <v>77</v>
      </c>
      <c r="C5" s="48" t="s">
        <v>67</v>
      </c>
      <c r="D5" s="33" t="s">
        <v>61</v>
      </c>
      <c r="E5" s="91">
        <v>45883</v>
      </c>
      <c r="F5" s="92">
        <v>66937.5</v>
      </c>
      <c r="G5" s="92">
        <v>66937.5</v>
      </c>
    </row>
    <row r="6" spans="1:7">
      <c r="A6" s="33" t="s">
        <v>747</v>
      </c>
      <c r="B6" s="33" t="s">
        <v>77</v>
      </c>
      <c r="C6" s="48" t="s">
        <v>67</v>
      </c>
      <c r="D6" s="33" t="s">
        <v>61</v>
      </c>
      <c r="E6" s="91">
        <v>46067</v>
      </c>
      <c r="F6" s="92">
        <v>66937.5</v>
      </c>
      <c r="G6" s="92">
        <v>66937.5</v>
      </c>
    </row>
    <row r="7" spans="1:7">
      <c r="A7" s="33" t="s">
        <v>747</v>
      </c>
      <c r="B7" s="33" t="s">
        <v>77</v>
      </c>
      <c r="C7" s="48" t="s">
        <v>67</v>
      </c>
      <c r="D7" s="33" t="s">
        <v>61</v>
      </c>
      <c r="E7" s="91">
        <v>46248</v>
      </c>
      <c r="F7" s="92">
        <v>66937.5</v>
      </c>
      <c r="G7" s="92">
        <v>66937.5</v>
      </c>
    </row>
    <row r="8" spans="1:7">
      <c r="A8" s="33" t="s">
        <v>747</v>
      </c>
      <c r="B8" s="33" t="s">
        <v>77</v>
      </c>
      <c r="C8" s="48" t="s">
        <v>67</v>
      </c>
      <c r="D8" s="33" t="s">
        <v>61</v>
      </c>
      <c r="E8" s="91">
        <v>46432</v>
      </c>
      <c r="F8" s="92">
        <v>66937.5</v>
      </c>
      <c r="G8" s="92">
        <v>66937.5</v>
      </c>
    </row>
    <row r="9" spans="1:7">
      <c r="A9" s="33" t="s">
        <v>747</v>
      </c>
      <c r="B9" s="33" t="s">
        <v>77</v>
      </c>
      <c r="C9" s="48" t="s">
        <v>67</v>
      </c>
      <c r="D9" s="33" t="s">
        <v>61</v>
      </c>
      <c r="E9" s="91">
        <v>46613</v>
      </c>
      <c r="F9" s="92">
        <v>66937.5</v>
      </c>
      <c r="G9" s="92">
        <v>66937.5</v>
      </c>
    </row>
    <row r="10" spans="1:7">
      <c r="A10" s="33" t="s">
        <v>747</v>
      </c>
      <c r="B10" s="33" t="s">
        <v>77</v>
      </c>
      <c r="C10" s="48" t="s">
        <v>67</v>
      </c>
      <c r="D10" s="33" t="s">
        <v>61</v>
      </c>
      <c r="E10" s="91">
        <v>46797</v>
      </c>
      <c r="F10" s="92">
        <v>66937.5</v>
      </c>
      <c r="G10" s="92">
        <v>66937.5</v>
      </c>
    </row>
    <row r="11" spans="1:7">
      <c r="A11" s="33" t="s">
        <v>747</v>
      </c>
      <c r="B11" s="33" t="s">
        <v>77</v>
      </c>
      <c r="C11" s="48" t="s">
        <v>67</v>
      </c>
      <c r="D11" s="33" t="s">
        <v>61</v>
      </c>
      <c r="E11" s="91">
        <v>46979</v>
      </c>
      <c r="F11" s="92">
        <v>66937.5</v>
      </c>
      <c r="G11" s="92">
        <v>2566937.5</v>
      </c>
    </row>
    <row r="12" spans="1:7">
      <c r="A12" s="87" t="s">
        <v>90</v>
      </c>
      <c r="B12" s="87" t="s">
        <v>91</v>
      </c>
      <c r="C12" s="88" t="s">
        <v>43</v>
      </c>
      <c r="D12" s="87" t="s">
        <v>36</v>
      </c>
      <c r="E12" s="89">
        <v>44847</v>
      </c>
      <c r="F12" s="90">
        <v>33000</v>
      </c>
      <c r="G12" s="90">
        <v>33000</v>
      </c>
    </row>
    <row r="13" spans="1:7">
      <c r="A13" s="33" t="s">
        <v>90</v>
      </c>
      <c r="B13" s="33" t="s">
        <v>91</v>
      </c>
      <c r="C13" s="48" t="s">
        <v>43</v>
      </c>
      <c r="D13" s="33" t="s">
        <v>36</v>
      </c>
      <c r="E13" s="91">
        <v>45029</v>
      </c>
      <c r="F13" s="92">
        <v>33000</v>
      </c>
      <c r="G13" s="92">
        <v>33000</v>
      </c>
    </row>
    <row r="14" spans="1:7">
      <c r="A14" s="33" t="s">
        <v>90</v>
      </c>
      <c r="B14" s="33" t="s">
        <v>91</v>
      </c>
      <c r="C14" s="48" t="s">
        <v>43</v>
      </c>
      <c r="D14" s="33" t="s">
        <v>36</v>
      </c>
      <c r="E14" s="93">
        <v>45212</v>
      </c>
      <c r="F14" s="94">
        <v>33000</v>
      </c>
      <c r="G14" s="94">
        <v>33000</v>
      </c>
    </row>
    <row r="15" spans="1:7">
      <c r="A15" s="33" t="s">
        <v>90</v>
      </c>
      <c r="B15" s="33" t="s">
        <v>91</v>
      </c>
      <c r="C15" s="48" t="s">
        <v>43</v>
      </c>
      <c r="D15" s="33" t="s">
        <v>36</v>
      </c>
      <c r="E15" s="91">
        <v>45395</v>
      </c>
      <c r="F15" s="92">
        <v>33000</v>
      </c>
      <c r="G15" s="92">
        <v>33000</v>
      </c>
    </row>
    <row r="16" spans="1:7">
      <c r="A16" s="33" t="s">
        <v>90</v>
      </c>
      <c r="B16" s="33" t="s">
        <v>91</v>
      </c>
      <c r="C16" s="48" t="s">
        <v>43</v>
      </c>
      <c r="D16" s="33" t="s">
        <v>36</v>
      </c>
      <c r="E16" s="93">
        <v>45578</v>
      </c>
      <c r="F16" s="92">
        <v>33000</v>
      </c>
      <c r="G16" s="92">
        <v>33000</v>
      </c>
    </row>
    <row r="17" spans="1:7">
      <c r="A17" s="33" t="s">
        <v>90</v>
      </c>
      <c r="B17" s="33" t="s">
        <v>91</v>
      </c>
      <c r="C17" s="48" t="s">
        <v>43</v>
      </c>
      <c r="D17" s="33" t="s">
        <v>36</v>
      </c>
      <c r="E17" s="91">
        <v>45760</v>
      </c>
      <c r="F17" s="92">
        <v>33000</v>
      </c>
      <c r="G17" s="92">
        <v>33000</v>
      </c>
    </row>
    <row r="18" spans="1:7">
      <c r="A18" s="33" t="s">
        <v>90</v>
      </c>
      <c r="B18" s="33" t="s">
        <v>91</v>
      </c>
      <c r="C18" s="48" t="s">
        <v>43</v>
      </c>
      <c r="D18" s="33" t="s">
        <v>36</v>
      </c>
      <c r="E18" s="93">
        <v>45943</v>
      </c>
      <c r="F18" s="92">
        <v>33000</v>
      </c>
      <c r="G18" s="92">
        <v>33000</v>
      </c>
    </row>
    <row r="19" spans="1:7">
      <c r="A19" s="33" t="s">
        <v>90</v>
      </c>
      <c r="B19" s="33" t="s">
        <v>91</v>
      </c>
      <c r="C19" s="48" t="s">
        <v>43</v>
      </c>
      <c r="D19" s="33" t="s">
        <v>36</v>
      </c>
      <c r="E19" s="91">
        <v>46125</v>
      </c>
      <c r="F19" s="92">
        <v>33000</v>
      </c>
      <c r="G19" s="92">
        <v>33000</v>
      </c>
    </row>
    <row r="20" spans="1:7">
      <c r="A20" s="33" t="s">
        <v>90</v>
      </c>
      <c r="B20" s="33" t="s">
        <v>91</v>
      </c>
      <c r="C20" s="48" t="s">
        <v>43</v>
      </c>
      <c r="D20" s="33" t="s">
        <v>36</v>
      </c>
      <c r="E20" s="93">
        <v>46308</v>
      </c>
      <c r="F20" s="92">
        <v>33000</v>
      </c>
      <c r="G20" s="92">
        <v>33000</v>
      </c>
    </row>
    <row r="21" spans="1:7">
      <c r="A21" s="33" t="s">
        <v>90</v>
      </c>
      <c r="B21" s="33" t="s">
        <v>91</v>
      </c>
      <c r="C21" s="48" t="s">
        <v>43</v>
      </c>
      <c r="D21" s="33" t="s">
        <v>36</v>
      </c>
      <c r="E21" s="91">
        <v>46490</v>
      </c>
      <c r="F21" s="92">
        <v>33000</v>
      </c>
      <c r="G21" s="92">
        <v>2033000</v>
      </c>
    </row>
    <row r="22" spans="1:7">
      <c r="A22" s="87" t="s">
        <v>277</v>
      </c>
      <c r="B22" s="87" t="s">
        <v>54</v>
      </c>
      <c r="C22" s="88" t="s">
        <v>43</v>
      </c>
      <c r="D22" s="87" t="s">
        <v>61</v>
      </c>
      <c r="E22" s="89">
        <v>45404</v>
      </c>
      <c r="F22" s="90">
        <v>36250</v>
      </c>
      <c r="G22" s="90">
        <v>36250</v>
      </c>
    </row>
    <row r="23" spans="1:7">
      <c r="A23" s="33" t="s">
        <v>277</v>
      </c>
      <c r="B23" s="33" t="s">
        <v>54</v>
      </c>
      <c r="C23" s="33" t="s">
        <v>60</v>
      </c>
      <c r="D23" s="36" t="s">
        <v>61</v>
      </c>
      <c r="E23" s="91">
        <v>45587</v>
      </c>
      <c r="F23" s="92">
        <v>36250</v>
      </c>
      <c r="G23" s="92">
        <v>36250</v>
      </c>
    </row>
    <row r="24" spans="1:7">
      <c r="A24" s="33" t="s">
        <v>748</v>
      </c>
      <c r="B24" s="33" t="s">
        <v>54</v>
      </c>
      <c r="C24" s="33" t="s">
        <v>60</v>
      </c>
      <c r="D24" s="36" t="s">
        <v>61</v>
      </c>
      <c r="E24" s="91">
        <v>45769</v>
      </c>
      <c r="F24" s="92">
        <v>36250</v>
      </c>
      <c r="G24" s="92">
        <v>36250</v>
      </c>
    </row>
    <row r="25" spans="1:7">
      <c r="A25" s="33" t="s">
        <v>748</v>
      </c>
      <c r="B25" s="33" t="s">
        <v>54</v>
      </c>
      <c r="C25" s="33" t="s">
        <v>60</v>
      </c>
      <c r="D25" s="36" t="s">
        <v>61</v>
      </c>
      <c r="E25" s="91">
        <v>45952</v>
      </c>
      <c r="F25" s="92">
        <v>36250</v>
      </c>
      <c r="G25" s="92">
        <v>36250</v>
      </c>
    </row>
    <row r="26" spans="1:7">
      <c r="A26" s="33" t="s">
        <v>748</v>
      </c>
      <c r="B26" s="33" t="s">
        <v>54</v>
      </c>
      <c r="C26" s="33" t="s">
        <v>60</v>
      </c>
      <c r="D26" s="36" t="s">
        <v>61</v>
      </c>
      <c r="E26" s="91">
        <v>46134</v>
      </c>
      <c r="F26" s="92">
        <v>36250</v>
      </c>
      <c r="G26" s="92">
        <v>36250</v>
      </c>
    </row>
    <row r="27" spans="1:7">
      <c r="A27" s="33" t="s">
        <v>748</v>
      </c>
      <c r="B27" s="33" t="s">
        <v>54</v>
      </c>
      <c r="C27" s="33" t="s">
        <v>60</v>
      </c>
      <c r="D27" s="36" t="s">
        <v>61</v>
      </c>
      <c r="E27" s="91">
        <v>46317</v>
      </c>
      <c r="F27" s="92">
        <v>36250</v>
      </c>
      <c r="G27" s="92">
        <v>36250</v>
      </c>
    </row>
    <row r="28" spans="1:7">
      <c r="A28" s="33" t="s">
        <v>748</v>
      </c>
      <c r="B28" s="33" t="s">
        <v>54</v>
      </c>
      <c r="C28" s="33" t="s">
        <v>60</v>
      </c>
      <c r="D28" s="36" t="s">
        <v>61</v>
      </c>
      <c r="E28" s="91">
        <v>46499</v>
      </c>
      <c r="F28" s="92">
        <v>36250</v>
      </c>
      <c r="G28" s="92">
        <v>36250</v>
      </c>
    </row>
    <row r="29" spans="1:7">
      <c r="A29" s="33" t="s">
        <v>748</v>
      </c>
      <c r="B29" s="33" t="s">
        <v>54</v>
      </c>
      <c r="C29" s="33" t="s">
        <v>60</v>
      </c>
      <c r="D29" s="36" t="s">
        <v>61</v>
      </c>
      <c r="E29" s="91">
        <v>46682</v>
      </c>
      <c r="F29" s="92">
        <v>36250</v>
      </c>
      <c r="G29" s="92">
        <v>36250</v>
      </c>
    </row>
    <row r="30" spans="1:7">
      <c r="A30" s="33" t="s">
        <v>748</v>
      </c>
      <c r="B30" s="33" t="s">
        <v>54</v>
      </c>
      <c r="C30" s="33" t="s">
        <v>60</v>
      </c>
      <c r="D30" s="36" t="s">
        <v>61</v>
      </c>
      <c r="E30" s="91">
        <v>46865</v>
      </c>
      <c r="F30" s="92">
        <v>36250</v>
      </c>
      <c r="G30" s="92">
        <v>36250</v>
      </c>
    </row>
    <row r="31" spans="1:7">
      <c r="A31" s="33" t="s">
        <v>748</v>
      </c>
      <c r="B31" s="33" t="s">
        <v>54</v>
      </c>
      <c r="C31" s="33" t="s">
        <v>60</v>
      </c>
      <c r="D31" s="36" t="s">
        <v>61</v>
      </c>
      <c r="E31" s="91">
        <v>47048</v>
      </c>
      <c r="F31" s="92">
        <v>36250</v>
      </c>
      <c r="G31" s="92">
        <v>36250</v>
      </c>
    </row>
    <row r="32" spans="1:7">
      <c r="A32" s="33" t="s">
        <v>748</v>
      </c>
      <c r="B32" s="33" t="s">
        <v>54</v>
      </c>
      <c r="C32" s="33" t="s">
        <v>60</v>
      </c>
      <c r="D32" s="36" t="s">
        <v>61</v>
      </c>
      <c r="E32" s="91">
        <v>47230</v>
      </c>
      <c r="F32" s="92">
        <v>36250</v>
      </c>
      <c r="G32" s="92">
        <v>2036250</v>
      </c>
    </row>
    <row r="33" spans="1:7">
      <c r="A33" s="87" t="s">
        <v>277</v>
      </c>
      <c r="B33" s="87" t="s">
        <v>77</v>
      </c>
      <c r="C33" s="88" t="s">
        <v>43</v>
      </c>
      <c r="D33" s="87" t="s">
        <v>61</v>
      </c>
      <c r="E33" s="89">
        <v>45404</v>
      </c>
      <c r="F33" s="90">
        <v>36250</v>
      </c>
      <c r="G33" s="90">
        <v>36250</v>
      </c>
    </row>
    <row r="34" spans="1:7">
      <c r="A34" s="33" t="s">
        <v>277</v>
      </c>
      <c r="B34" s="33" t="s">
        <v>77</v>
      </c>
      <c r="C34" s="48" t="s">
        <v>43</v>
      </c>
      <c r="D34" s="33" t="s">
        <v>61</v>
      </c>
      <c r="E34" s="91">
        <v>45587</v>
      </c>
      <c r="F34" s="92">
        <v>36250</v>
      </c>
      <c r="G34" s="92">
        <v>36250</v>
      </c>
    </row>
    <row r="35" spans="1:7">
      <c r="A35" s="33" t="s">
        <v>748</v>
      </c>
      <c r="B35" s="33" t="s">
        <v>77</v>
      </c>
      <c r="C35" s="48" t="s">
        <v>43</v>
      </c>
      <c r="D35" s="33" t="s">
        <v>61</v>
      </c>
      <c r="E35" s="91">
        <v>45769</v>
      </c>
      <c r="F35" s="92">
        <v>36250</v>
      </c>
      <c r="G35" s="92">
        <v>36250</v>
      </c>
    </row>
    <row r="36" spans="1:7">
      <c r="A36" s="33" t="s">
        <v>748</v>
      </c>
      <c r="B36" s="33" t="s">
        <v>77</v>
      </c>
      <c r="C36" s="48" t="s">
        <v>43</v>
      </c>
      <c r="D36" s="33" t="s">
        <v>61</v>
      </c>
      <c r="E36" s="91">
        <v>45952</v>
      </c>
      <c r="F36" s="92">
        <v>36250</v>
      </c>
      <c r="G36" s="92">
        <v>36250</v>
      </c>
    </row>
    <row r="37" spans="1:7">
      <c r="A37" s="33" t="s">
        <v>748</v>
      </c>
      <c r="B37" s="33" t="s">
        <v>77</v>
      </c>
      <c r="C37" s="48" t="s">
        <v>43</v>
      </c>
      <c r="D37" s="33" t="s">
        <v>61</v>
      </c>
      <c r="E37" s="91">
        <v>46134</v>
      </c>
      <c r="F37" s="92">
        <v>36250</v>
      </c>
      <c r="G37" s="92">
        <v>36250</v>
      </c>
    </row>
    <row r="38" spans="1:7">
      <c r="A38" s="33" t="s">
        <v>748</v>
      </c>
      <c r="B38" s="33" t="s">
        <v>77</v>
      </c>
      <c r="C38" s="48" t="s">
        <v>43</v>
      </c>
      <c r="D38" s="33" t="s">
        <v>61</v>
      </c>
      <c r="E38" s="91">
        <v>46317</v>
      </c>
      <c r="F38" s="92">
        <v>36250</v>
      </c>
      <c r="G38" s="92">
        <v>36250</v>
      </c>
    </row>
    <row r="39" spans="1:7">
      <c r="A39" s="33" t="s">
        <v>748</v>
      </c>
      <c r="B39" s="33" t="s">
        <v>77</v>
      </c>
      <c r="C39" s="48" t="s">
        <v>43</v>
      </c>
      <c r="D39" s="33" t="s">
        <v>61</v>
      </c>
      <c r="E39" s="91">
        <v>46499</v>
      </c>
      <c r="F39" s="92">
        <v>36250</v>
      </c>
      <c r="G39" s="92">
        <v>36250</v>
      </c>
    </row>
    <row r="40" spans="1:7">
      <c r="A40" s="33" t="s">
        <v>748</v>
      </c>
      <c r="B40" s="33" t="s">
        <v>77</v>
      </c>
      <c r="C40" s="48" t="s">
        <v>43</v>
      </c>
      <c r="D40" s="33" t="s">
        <v>61</v>
      </c>
      <c r="E40" s="91">
        <v>46682</v>
      </c>
      <c r="F40" s="92">
        <v>36250</v>
      </c>
      <c r="G40" s="92">
        <v>36250</v>
      </c>
    </row>
    <row r="41" spans="1:7">
      <c r="A41" s="33" t="s">
        <v>748</v>
      </c>
      <c r="B41" s="33" t="s">
        <v>77</v>
      </c>
      <c r="C41" s="48" t="s">
        <v>43</v>
      </c>
      <c r="D41" s="33" t="s">
        <v>61</v>
      </c>
      <c r="E41" s="91">
        <v>46865</v>
      </c>
      <c r="F41" s="92">
        <v>36250</v>
      </c>
      <c r="G41" s="92">
        <v>36250</v>
      </c>
    </row>
    <row r="42" spans="1:7">
      <c r="A42" s="33" t="s">
        <v>748</v>
      </c>
      <c r="B42" s="33" t="s">
        <v>77</v>
      </c>
      <c r="C42" s="48" t="s">
        <v>43</v>
      </c>
      <c r="D42" s="33" t="s">
        <v>61</v>
      </c>
      <c r="E42" s="91">
        <v>47048</v>
      </c>
      <c r="F42" s="92">
        <v>36250</v>
      </c>
      <c r="G42" s="92">
        <v>36250</v>
      </c>
    </row>
    <row r="43" spans="1:7">
      <c r="A43" s="33" t="s">
        <v>748</v>
      </c>
      <c r="B43" s="33" t="s">
        <v>77</v>
      </c>
      <c r="C43" s="48" t="s">
        <v>43</v>
      </c>
      <c r="D43" s="33" t="s">
        <v>61</v>
      </c>
      <c r="E43" s="91">
        <v>47230</v>
      </c>
      <c r="F43" s="92">
        <v>36250</v>
      </c>
      <c r="G43" s="92">
        <v>2036250</v>
      </c>
    </row>
    <row r="44" spans="1:7">
      <c r="A44" s="87" t="s">
        <v>741</v>
      </c>
      <c r="B44" s="87" t="s">
        <v>77</v>
      </c>
      <c r="C44" s="88" t="s">
        <v>43</v>
      </c>
      <c r="D44" s="87" t="s">
        <v>61</v>
      </c>
      <c r="E44" s="89">
        <v>45325</v>
      </c>
      <c r="F44" s="90">
        <v>88400</v>
      </c>
      <c r="G44" s="90">
        <v>88400</v>
      </c>
    </row>
    <row r="45" spans="1:7">
      <c r="A45" s="33" t="s">
        <v>741</v>
      </c>
      <c r="B45" s="33" t="s">
        <v>77</v>
      </c>
      <c r="C45" s="33" t="s">
        <v>60</v>
      </c>
      <c r="D45" s="36" t="s">
        <v>61</v>
      </c>
      <c r="E45" s="93">
        <v>45507</v>
      </c>
      <c r="F45" s="94">
        <v>88400</v>
      </c>
      <c r="G45" s="94">
        <v>88400</v>
      </c>
    </row>
    <row r="46" spans="1:7">
      <c r="A46" s="33" t="s">
        <v>749</v>
      </c>
      <c r="B46" s="33" t="s">
        <v>77</v>
      </c>
      <c r="C46" s="33" t="s">
        <v>60</v>
      </c>
      <c r="D46" s="36" t="s">
        <v>61</v>
      </c>
      <c r="E46" s="91">
        <v>45691</v>
      </c>
      <c r="F46" s="94">
        <v>88400</v>
      </c>
      <c r="G46" s="94">
        <v>88400</v>
      </c>
    </row>
    <row r="47" spans="1:7">
      <c r="A47" s="33" t="s">
        <v>749</v>
      </c>
      <c r="B47" s="33" t="s">
        <v>77</v>
      </c>
      <c r="C47" s="33" t="s">
        <v>60</v>
      </c>
      <c r="D47" s="36" t="s">
        <v>61</v>
      </c>
      <c r="E47" s="93">
        <v>45872</v>
      </c>
      <c r="F47" s="94">
        <v>88400</v>
      </c>
      <c r="G47" s="94">
        <v>88400</v>
      </c>
    </row>
    <row r="48" spans="1:7">
      <c r="A48" s="33" t="s">
        <v>749</v>
      </c>
      <c r="B48" s="33" t="s">
        <v>77</v>
      </c>
      <c r="C48" s="33" t="s">
        <v>60</v>
      </c>
      <c r="D48" s="36" t="s">
        <v>61</v>
      </c>
      <c r="E48" s="91">
        <v>46056</v>
      </c>
      <c r="F48" s="94">
        <v>88400</v>
      </c>
      <c r="G48" s="94">
        <v>88400</v>
      </c>
    </row>
    <row r="49" spans="1:7">
      <c r="A49" s="33" t="s">
        <v>749</v>
      </c>
      <c r="B49" s="33" t="s">
        <v>77</v>
      </c>
      <c r="C49" s="33" t="s">
        <v>60</v>
      </c>
      <c r="D49" s="36" t="s">
        <v>61</v>
      </c>
      <c r="E49" s="93">
        <v>46237</v>
      </c>
      <c r="F49" s="94">
        <v>88400</v>
      </c>
      <c r="G49" s="94">
        <v>88400</v>
      </c>
    </row>
    <row r="50" spans="1:7">
      <c r="A50" s="33" t="s">
        <v>749</v>
      </c>
      <c r="B50" s="33" t="s">
        <v>77</v>
      </c>
      <c r="C50" s="33" t="s">
        <v>60</v>
      </c>
      <c r="D50" s="36" t="s">
        <v>61</v>
      </c>
      <c r="E50" s="91">
        <v>46421</v>
      </c>
      <c r="F50" s="94">
        <v>88400</v>
      </c>
      <c r="G50" s="94">
        <v>88400</v>
      </c>
    </row>
    <row r="51" spans="1:7">
      <c r="A51" s="33" t="s">
        <v>749</v>
      </c>
      <c r="B51" s="33" t="s">
        <v>77</v>
      </c>
      <c r="C51" s="33" t="s">
        <v>60</v>
      </c>
      <c r="D51" s="36" t="s">
        <v>61</v>
      </c>
      <c r="E51" s="93">
        <v>46602</v>
      </c>
      <c r="F51" s="94">
        <v>88400</v>
      </c>
      <c r="G51" s="94">
        <v>88400</v>
      </c>
    </row>
    <row r="52" spans="1:7">
      <c r="A52" s="33" t="s">
        <v>749</v>
      </c>
      <c r="B52" s="33" t="s">
        <v>77</v>
      </c>
      <c r="C52" s="33" t="s">
        <v>60</v>
      </c>
      <c r="D52" s="36" t="s">
        <v>61</v>
      </c>
      <c r="E52" s="91">
        <v>46786</v>
      </c>
      <c r="F52" s="94">
        <v>88400</v>
      </c>
      <c r="G52" s="94">
        <v>88400</v>
      </c>
    </row>
    <row r="53" spans="1:7">
      <c r="A53" s="33" t="s">
        <v>749</v>
      </c>
      <c r="B53" s="33" t="s">
        <v>77</v>
      </c>
      <c r="C53" s="33" t="s">
        <v>60</v>
      </c>
      <c r="D53" s="36" t="s">
        <v>61</v>
      </c>
      <c r="E53" s="93">
        <v>46968</v>
      </c>
      <c r="F53" s="94">
        <v>88400</v>
      </c>
      <c r="G53" s="94">
        <v>88400</v>
      </c>
    </row>
    <row r="54" spans="1:7">
      <c r="A54" s="33" t="s">
        <v>749</v>
      </c>
      <c r="B54" s="33" t="s">
        <v>77</v>
      </c>
      <c r="C54" s="33" t="s">
        <v>60</v>
      </c>
      <c r="D54" s="36" t="s">
        <v>61</v>
      </c>
      <c r="E54" s="91">
        <v>47152</v>
      </c>
      <c r="F54" s="94">
        <v>88400</v>
      </c>
      <c r="G54" s="94">
        <v>88400</v>
      </c>
    </row>
    <row r="55" spans="1:7">
      <c r="A55" s="33" t="s">
        <v>749</v>
      </c>
      <c r="B55" s="33" t="s">
        <v>77</v>
      </c>
      <c r="C55" s="33" t="s">
        <v>60</v>
      </c>
      <c r="D55" s="36" t="s">
        <v>61</v>
      </c>
      <c r="E55" s="93">
        <v>47333</v>
      </c>
      <c r="F55" s="94">
        <v>88400</v>
      </c>
      <c r="G55" s="94">
        <v>88400</v>
      </c>
    </row>
    <row r="56" spans="1:7">
      <c r="A56" s="33" t="s">
        <v>749</v>
      </c>
      <c r="B56" s="33" t="s">
        <v>77</v>
      </c>
      <c r="C56" s="33" t="s">
        <v>60</v>
      </c>
      <c r="D56" s="36" t="s">
        <v>61</v>
      </c>
      <c r="E56" s="91">
        <v>47517</v>
      </c>
      <c r="F56" s="94">
        <v>88400</v>
      </c>
      <c r="G56" s="94">
        <v>88400</v>
      </c>
    </row>
    <row r="57" spans="1:7">
      <c r="A57" s="33" t="s">
        <v>749</v>
      </c>
      <c r="B57" s="33" t="s">
        <v>77</v>
      </c>
      <c r="C57" s="33" t="s">
        <v>60</v>
      </c>
      <c r="D57" s="36" t="s">
        <v>61</v>
      </c>
      <c r="E57" s="93">
        <v>47698</v>
      </c>
      <c r="F57" s="94">
        <v>88400</v>
      </c>
      <c r="G57" s="94">
        <v>88400</v>
      </c>
    </row>
    <row r="58" spans="1:7">
      <c r="A58" s="33" t="s">
        <v>749</v>
      </c>
      <c r="B58" s="33" t="s">
        <v>77</v>
      </c>
      <c r="C58" s="33" t="s">
        <v>60</v>
      </c>
      <c r="D58" s="36" t="s">
        <v>61</v>
      </c>
      <c r="E58" s="91">
        <v>47882</v>
      </c>
      <c r="F58" s="94">
        <v>88400</v>
      </c>
      <c r="G58" s="94">
        <v>88400</v>
      </c>
    </row>
    <row r="59" spans="1:7">
      <c r="A59" s="33" t="s">
        <v>749</v>
      </c>
      <c r="B59" s="33" t="s">
        <v>77</v>
      </c>
      <c r="C59" s="33" t="s">
        <v>60</v>
      </c>
      <c r="D59" s="36" t="s">
        <v>61</v>
      </c>
      <c r="E59" s="93">
        <v>48063</v>
      </c>
      <c r="F59" s="94">
        <v>88400</v>
      </c>
      <c r="G59" s="94">
        <v>88400</v>
      </c>
    </row>
    <row r="60" spans="1:7">
      <c r="A60" s="33" t="s">
        <v>749</v>
      </c>
      <c r="B60" s="33" t="s">
        <v>77</v>
      </c>
      <c r="C60" s="33" t="s">
        <v>60</v>
      </c>
      <c r="D60" s="36" t="s">
        <v>61</v>
      </c>
      <c r="E60" s="91">
        <v>48247</v>
      </c>
      <c r="F60" s="94">
        <v>88400</v>
      </c>
      <c r="G60" s="94">
        <v>88400</v>
      </c>
    </row>
    <row r="61" spans="1:7">
      <c r="A61" s="33" t="s">
        <v>749</v>
      </c>
      <c r="B61" s="33" t="s">
        <v>77</v>
      </c>
      <c r="C61" s="33" t="s">
        <v>60</v>
      </c>
      <c r="D61" s="36" t="s">
        <v>61</v>
      </c>
      <c r="E61" s="93">
        <v>48429</v>
      </c>
      <c r="F61" s="94">
        <v>88400</v>
      </c>
      <c r="G61" s="94">
        <v>88400</v>
      </c>
    </row>
    <row r="62" spans="1:7">
      <c r="A62" s="33" t="s">
        <v>749</v>
      </c>
      <c r="B62" s="33" t="s">
        <v>77</v>
      </c>
      <c r="C62" s="33" t="s">
        <v>60</v>
      </c>
      <c r="D62" s="36" t="s">
        <v>61</v>
      </c>
      <c r="E62" s="91">
        <v>48613</v>
      </c>
      <c r="F62" s="94">
        <v>88400</v>
      </c>
      <c r="G62" s="94">
        <v>88400</v>
      </c>
    </row>
    <row r="63" spans="1:7">
      <c r="A63" s="33" t="s">
        <v>749</v>
      </c>
      <c r="B63" s="33" t="s">
        <v>77</v>
      </c>
      <c r="C63" s="33" t="s">
        <v>60</v>
      </c>
      <c r="D63" s="36" t="s">
        <v>61</v>
      </c>
      <c r="E63" s="93">
        <v>48794</v>
      </c>
      <c r="F63" s="94">
        <v>88400</v>
      </c>
      <c r="G63" s="94">
        <v>4088400</v>
      </c>
    </row>
    <row r="64" spans="1:7">
      <c r="A64" s="87" t="s">
        <v>602</v>
      </c>
      <c r="B64" s="87" t="s">
        <v>54</v>
      </c>
      <c r="C64" s="88" t="s">
        <v>43</v>
      </c>
      <c r="D64" s="87" t="s">
        <v>61</v>
      </c>
      <c r="E64" s="89">
        <v>45412</v>
      </c>
      <c r="F64" s="90">
        <v>113557.5</v>
      </c>
      <c r="G64" s="90">
        <v>113557.5</v>
      </c>
    </row>
    <row r="65" spans="1:7">
      <c r="A65" s="33" t="s">
        <v>602</v>
      </c>
      <c r="B65" s="33" t="s">
        <v>54</v>
      </c>
      <c r="C65" s="33" t="s">
        <v>60</v>
      </c>
      <c r="D65" s="36" t="s">
        <v>61</v>
      </c>
      <c r="E65" s="93">
        <v>45595</v>
      </c>
      <c r="F65" s="94">
        <v>113557.5</v>
      </c>
      <c r="G65" s="94">
        <v>113557.5</v>
      </c>
    </row>
    <row r="66" spans="1:7">
      <c r="A66" s="33" t="s">
        <v>750</v>
      </c>
      <c r="B66" s="33" t="s">
        <v>54</v>
      </c>
      <c r="C66" s="33" t="s">
        <v>60</v>
      </c>
      <c r="D66" s="36" t="s">
        <v>61</v>
      </c>
      <c r="E66" s="91">
        <v>45777</v>
      </c>
      <c r="F66" s="94">
        <v>113557.5</v>
      </c>
      <c r="G66" s="94">
        <v>113557.5</v>
      </c>
    </row>
    <row r="67" spans="1:7">
      <c r="A67" s="33" t="s">
        <v>750</v>
      </c>
      <c r="B67" s="33" t="s">
        <v>54</v>
      </c>
      <c r="C67" s="33" t="s">
        <v>60</v>
      </c>
      <c r="D67" s="36" t="s">
        <v>61</v>
      </c>
      <c r="E67" s="93">
        <v>45960</v>
      </c>
      <c r="F67" s="94">
        <v>113557.5</v>
      </c>
      <c r="G67" s="94">
        <v>113557.5</v>
      </c>
    </row>
    <row r="68" spans="1:7">
      <c r="A68" s="33" t="s">
        <v>750</v>
      </c>
      <c r="B68" s="33" t="s">
        <v>54</v>
      </c>
      <c r="C68" s="33" t="s">
        <v>60</v>
      </c>
      <c r="D68" s="36" t="s">
        <v>61</v>
      </c>
      <c r="E68" s="91">
        <v>46142</v>
      </c>
      <c r="F68" s="94">
        <v>113557.5</v>
      </c>
      <c r="G68" s="94">
        <v>113557.5</v>
      </c>
    </row>
    <row r="69" spans="1:7">
      <c r="A69" s="33" t="s">
        <v>750</v>
      </c>
      <c r="B69" s="33" t="s">
        <v>54</v>
      </c>
      <c r="C69" s="33" t="s">
        <v>60</v>
      </c>
      <c r="D69" s="36" t="s">
        <v>61</v>
      </c>
      <c r="E69" s="93">
        <v>46325</v>
      </c>
      <c r="F69" s="94">
        <v>113557.5</v>
      </c>
      <c r="G69" s="94">
        <v>113557.5</v>
      </c>
    </row>
    <row r="70" spans="1:7">
      <c r="A70" s="33" t="s">
        <v>750</v>
      </c>
      <c r="B70" s="33" t="s">
        <v>54</v>
      </c>
      <c r="C70" s="33" t="s">
        <v>60</v>
      </c>
      <c r="D70" s="36" t="s">
        <v>61</v>
      </c>
      <c r="E70" s="91">
        <v>46507</v>
      </c>
      <c r="F70" s="94">
        <v>113557.5</v>
      </c>
      <c r="G70" s="94">
        <v>113557.5</v>
      </c>
    </row>
    <row r="71" spans="1:7">
      <c r="A71" s="33" t="s">
        <v>750</v>
      </c>
      <c r="B71" s="33" t="s">
        <v>54</v>
      </c>
      <c r="C71" s="33" t="s">
        <v>60</v>
      </c>
      <c r="D71" s="36" t="s">
        <v>61</v>
      </c>
      <c r="E71" s="93">
        <v>46690</v>
      </c>
      <c r="F71" s="94">
        <v>113557.5</v>
      </c>
      <c r="G71" s="94">
        <v>113557.5</v>
      </c>
    </row>
    <row r="72" spans="1:7">
      <c r="A72" s="33" t="s">
        <v>750</v>
      </c>
      <c r="B72" s="33" t="s">
        <v>54</v>
      </c>
      <c r="C72" s="33" t="s">
        <v>60</v>
      </c>
      <c r="D72" s="36" t="s">
        <v>61</v>
      </c>
      <c r="E72" s="91">
        <v>46873</v>
      </c>
      <c r="F72" s="94">
        <v>113557.5</v>
      </c>
      <c r="G72" s="94">
        <v>113557.5</v>
      </c>
    </row>
    <row r="73" spans="1:7">
      <c r="A73" s="33" t="s">
        <v>750</v>
      </c>
      <c r="B73" s="33" t="s">
        <v>54</v>
      </c>
      <c r="C73" s="33" t="s">
        <v>60</v>
      </c>
      <c r="D73" s="36" t="s">
        <v>61</v>
      </c>
      <c r="E73" s="93">
        <v>47056</v>
      </c>
      <c r="F73" s="94">
        <v>113557.5</v>
      </c>
      <c r="G73" s="94">
        <v>113557.5</v>
      </c>
    </row>
    <row r="74" spans="1:7">
      <c r="A74" s="33" t="s">
        <v>750</v>
      </c>
      <c r="B74" s="33" t="s">
        <v>54</v>
      </c>
      <c r="C74" s="33" t="s">
        <v>60</v>
      </c>
      <c r="D74" s="36" t="s">
        <v>61</v>
      </c>
      <c r="E74" s="91">
        <v>47238</v>
      </c>
      <c r="F74" s="94">
        <v>113557.5</v>
      </c>
      <c r="G74" s="94">
        <v>113557.5</v>
      </c>
    </row>
    <row r="75" spans="1:7">
      <c r="A75" s="33" t="s">
        <v>750</v>
      </c>
      <c r="B75" s="33" t="s">
        <v>54</v>
      </c>
      <c r="C75" s="33" t="s">
        <v>60</v>
      </c>
      <c r="D75" s="36" t="s">
        <v>61</v>
      </c>
      <c r="E75" s="93">
        <v>47421</v>
      </c>
      <c r="F75" s="94">
        <v>113557.5</v>
      </c>
      <c r="G75" s="94">
        <v>113557.5</v>
      </c>
    </row>
    <row r="76" spans="1:7">
      <c r="A76" s="33" t="s">
        <v>750</v>
      </c>
      <c r="B76" s="33" t="s">
        <v>54</v>
      </c>
      <c r="C76" s="33" t="s">
        <v>60</v>
      </c>
      <c r="D76" s="36" t="s">
        <v>61</v>
      </c>
      <c r="E76" s="91">
        <v>47603</v>
      </c>
      <c r="F76" s="94">
        <v>113557.5</v>
      </c>
      <c r="G76" s="94">
        <v>113557.5</v>
      </c>
    </row>
    <row r="77" spans="1:7">
      <c r="A77" s="33" t="s">
        <v>750</v>
      </c>
      <c r="B77" s="33" t="s">
        <v>54</v>
      </c>
      <c r="C77" s="33" t="s">
        <v>60</v>
      </c>
      <c r="D77" s="36" t="s">
        <v>61</v>
      </c>
      <c r="E77" s="93">
        <v>47786</v>
      </c>
      <c r="F77" s="94">
        <v>113557.5</v>
      </c>
      <c r="G77" s="94">
        <v>113557.5</v>
      </c>
    </row>
    <row r="78" spans="1:7">
      <c r="A78" s="33" t="s">
        <v>750</v>
      </c>
      <c r="B78" s="33" t="s">
        <v>54</v>
      </c>
      <c r="C78" s="33" t="s">
        <v>60</v>
      </c>
      <c r="D78" s="36" t="s">
        <v>61</v>
      </c>
      <c r="E78" s="91">
        <v>47968</v>
      </c>
      <c r="F78" s="94">
        <v>113557.5</v>
      </c>
      <c r="G78" s="94">
        <v>113557.5</v>
      </c>
    </row>
    <row r="79" spans="1:7">
      <c r="A79" s="33" t="s">
        <v>750</v>
      </c>
      <c r="B79" s="33" t="s">
        <v>54</v>
      </c>
      <c r="C79" s="33" t="s">
        <v>60</v>
      </c>
      <c r="D79" s="36" t="s">
        <v>61</v>
      </c>
      <c r="E79" s="93">
        <v>48151</v>
      </c>
      <c r="F79" s="94">
        <v>113557.5</v>
      </c>
      <c r="G79" s="94">
        <v>3613557.5</v>
      </c>
    </row>
    <row r="80" spans="1:7">
      <c r="A80" s="87" t="s">
        <v>253</v>
      </c>
      <c r="B80" s="87" t="s">
        <v>54</v>
      </c>
      <c r="C80" s="88" t="s">
        <v>67</v>
      </c>
      <c r="D80" s="87" t="s">
        <v>61</v>
      </c>
      <c r="E80" s="89">
        <v>45548</v>
      </c>
      <c r="F80" s="90">
        <v>49000</v>
      </c>
      <c r="G80" s="90">
        <v>49000</v>
      </c>
    </row>
    <row r="81" spans="1:7">
      <c r="A81" s="33" t="s">
        <v>253</v>
      </c>
      <c r="B81" s="33" t="s">
        <v>54</v>
      </c>
      <c r="C81" s="48" t="s">
        <v>67</v>
      </c>
      <c r="D81" s="33" t="s">
        <v>61</v>
      </c>
      <c r="E81" s="91">
        <v>45729</v>
      </c>
      <c r="F81" s="92">
        <v>49000</v>
      </c>
      <c r="G81" s="92">
        <v>49000</v>
      </c>
    </row>
    <row r="82" spans="1:7">
      <c r="A82" s="33" t="s">
        <v>751</v>
      </c>
      <c r="B82" s="33" t="s">
        <v>54</v>
      </c>
      <c r="C82" s="48" t="s">
        <v>67</v>
      </c>
      <c r="D82" s="33" t="s">
        <v>61</v>
      </c>
      <c r="E82" s="91">
        <v>45913</v>
      </c>
      <c r="F82" s="92">
        <v>49000</v>
      </c>
      <c r="G82" s="92">
        <v>49000</v>
      </c>
    </row>
    <row r="83" spans="1:7">
      <c r="A83" s="33" t="s">
        <v>751</v>
      </c>
      <c r="B83" s="33" t="s">
        <v>54</v>
      </c>
      <c r="C83" s="48" t="s">
        <v>67</v>
      </c>
      <c r="D83" s="33" t="s">
        <v>61</v>
      </c>
      <c r="E83" s="91">
        <v>46094</v>
      </c>
      <c r="F83" s="92">
        <v>49000</v>
      </c>
      <c r="G83" s="92">
        <v>49000</v>
      </c>
    </row>
    <row r="84" spans="1:7">
      <c r="A84" s="33" t="s">
        <v>751</v>
      </c>
      <c r="B84" s="33" t="s">
        <v>54</v>
      </c>
      <c r="C84" s="48" t="s">
        <v>67</v>
      </c>
      <c r="D84" s="33" t="s">
        <v>61</v>
      </c>
      <c r="E84" s="91">
        <v>46278</v>
      </c>
      <c r="F84" s="92">
        <v>49000</v>
      </c>
      <c r="G84" s="92">
        <v>49000</v>
      </c>
    </row>
    <row r="85" spans="1:7">
      <c r="A85" s="33" t="s">
        <v>751</v>
      </c>
      <c r="B85" s="33" t="s">
        <v>54</v>
      </c>
      <c r="C85" s="48" t="s">
        <v>67</v>
      </c>
      <c r="D85" s="33" t="s">
        <v>61</v>
      </c>
      <c r="E85" s="91">
        <v>46459</v>
      </c>
      <c r="F85" s="92">
        <v>49000</v>
      </c>
      <c r="G85" s="92">
        <v>49000</v>
      </c>
    </row>
    <row r="86" spans="1:7">
      <c r="A86" s="33" t="s">
        <v>751</v>
      </c>
      <c r="B86" s="33" t="s">
        <v>54</v>
      </c>
      <c r="C86" s="48" t="s">
        <v>67</v>
      </c>
      <c r="D86" s="33" t="s">
        <v>61</v>
      </c>
      <c r="E86" s="91">
        <v>46643</v>
      </c>
      <c r="F86" s="92">
        <v>49000</v>
      </c>
      <c r="G86" s="92">
        <v>49000</v>
      </c>
    </row>
    <row r="87" spans="1:7">
      <c r="A87" s="33" t="s">
        <v>751</v>
      </c>
      <c r="B87" s="33" t="s">
        <v>54</v>
      </c>
      <c r="C87" s="48" t="s">
        <v>67</v>
      </c>
      <c r="D87" s="33" t="s">
        <v>61</v>
      </c>
      <c r="E87" s="91">
        <v>46825</v>
      </c>
      <c r="F87" s="92">
        <v>49000</v>
      </c>
      <c r="G87" s="92">
        <v>49000</v>
      </c>
    </row>
    <row r="88" spans="1:7">
      <c r="A88" s="33" t="s">
        <v>751</v>
      </c>
      <c r="B88" s="33" t="s">
        <v>54</v>
      </c>
      <c r="C88" s="48" t="s">
        <v>67</v>
      </c>
      <c r="D88" s="33" t="s">
        <v>61</v>
      </c>
      <c r="E88" s="91">
        <v>47009</v>
      </c>
      <c r="F88" s="92">
        <v>49000</v>
      </c>
      <c r="G88" s="92">
        <v>49000</v>
      </c>
    </row>
    <row r="89" spans="1:7">
      <c r="A89" s="33" t="s">
        <v>751</v>
      </c>
      <c r="B89" s="33" t="s">
        <v>54</v>
      </c>
      <c r="C89" s="48" t="s">
        <v>67</v>
      </c>
      <c r="D89" s="33" t="s">
        <v>61</v>
      </c>
      <c r="E89" s="91">
        <v>47190</v>
      </c>
      <c r="F89" s="92">
        <v>49000</v>
      </c>
      <c r="G89" s="92">
        <v>2049000</v>
      </c>
    </row>
    <row r="90" spans="1:7">
      <c r="A90" s="87" t="s">
        <v>111</v>
      </c>
      <c r="B90" s="87" t="s">
        <v>54</v>
      </c>
      <c r="C90" s="88" t="s">
        <v>43</v>
      </c>
      <c r="D90" s="87" t="s">
        <v>61</v>
      </c>
      <c r="E90" s="89">
        <v>45059</v>
      </c>
      <c r="F90" s="90">
        <v>105000</v>
      </c>
      <c r="G90" s="90">
        <v>105000</v>
      </c>
    </row>
    <row r="91" spans="1:7">
      <c r="A91" s="33" t="s">
        <v>111</v>
      </c>
      <c r="B91" s="33" t="s">
        <v>54</v>
      </c>
      <c r="C91" s="48" t="s">
        <v>43</v>
      </c>
      <c r="D91" s="33" t="s">
        <v>61</v>
      </c>
      <c r="E91" s="91">
        <v>45243</v>
      </c>
      <c r="F91" s="92">
        <v>105000</v>
      </c>
      <c r="G91" s="92">
        <v>105000</v>
      </c>
    </row>
    <row r="92" spans="1:7">
      <c r="A92" s="33" t="s">
        <v>111</v>
      </c>
      <c r="B92" s="33" t="s">
        <v>54</v>
      </c>
      <c r="C92" s="48" t="s">
        <v>43</v>
      </c>
      <c r="D92" s="33" t="s">
        <v>61</v>
      </c>
      <c r="E92" s="91">
        <v>45425</v>
      </c>
      <c r="F92" s="92">
        <v>105000</v>
      </c>
      <c r="G92" s="92">
        <v>105000</v>
      </c>
    </row>
    <row r="93" spans="1:7">
      <c r="A93" s="33" t="s">
        <v>111</v>
      </c>
      <c r="B93" s="33" t="s">
        <v>54</v>
      </c>
      <c r="C93" s="48" t="s">
        <v>43</v>
      </c>
      <c r="D93" s="33" t="s">
        <v>61</v>
      </c>
      <c r="E93" s="91">
        <v>45609</v>
      </c>
      <c r="F93" s="92">
        <v>105000</v>
      </c>
      <c r="G93" s="92">
        <v>105000</v>
      </c>
    </row>
    <row r="94" spans="1:7">
      <c r="A94" s="33" t="s">
        <v>111</v>
      </c>
      <c r="B94" s="33" t="s">
        <v>54</v>
      </c>
      <c r="C94" s="48" t="s">
        <v>43</v>
      </c>
      <c r="D94" s="33" t="s">
        <v>61</v>
      </c>
      <c r="E94" s="91">
        <v>45790</v>
      </c>
      <c r="F94" s="92">
        <v>105000</v>
      </c>
      <c r="G94" s="92">
        <v>105000</v>
      </c>
    </row>
    <row r="95" spans="1:7">
      <c r="A95" s="33" t="s">
        <v>111</v>
      </c>
      <c r="B95" s="33" t="s">
        <v>54</v>
      </c>
      <c r="C95" s="48" t="s">
        <v>43</v>
      </c>
      <c r="D95" s="33" t="s">
        <v>61</v>
      </c>
      <c r="E95" s="91">
        <v>45974</v>
      </c>
      <c r="F95" s="92">
        <v>105000</v>
      </c>
      <c r="G95" s="92">
        <v>105000</v>
      </c>
    </row>
    <row r="96" spans="1:7">
      <c r="A96" s="33" t="s">
        <v>111</v>
      </c>
      <c r="B96" s="33" t="s">
        <v>54</v>
      </c>
      <c r="C96" s="48" t="s">
        <v>43</v>
      </c>
      <c r="D96" s="33" t="s">
        <v>61</v>
      </c>
      <c r="E96" s="91">
        <v>46155</v>
      </c>
      <c r="F96" s="92">
        <v>105000</v>
      </c>
      <c r="G96" s="92">
        <v>105000</v>
      </c>
    </row>
    <row r="97" spans="1:7">
      <c r="A97" s="33" t="s">
        <v>111</v>
      </c>
      <c r="B97" s="33" t="s">
        <v>54</v>
      </c>
      <c r="C97" s="48" t="s">
        <v>43</v>
      </c>
      <c r="D97" s="33" t="s">
        <v>61</v>
      </c>
      <c r="E97" s="91">
        <v>46339</v>
      </c>
      <c r="F97" s="92">
        <v>105000</v>
      </c>
      <c r="G97" s="92">
        <v>105000</v>
      </c>
    </row>
    <row r="98" spans="1:7">
      <c r="A98" s="33" t="s">
        <v>111</v>
      </c>
      <c r="B98" s="33" t="s">
        <v>54</v>
      </c>
      <c r="C98" s="48" t="s">
        <v>43</v>
      </c>
      <c r="D98" s="33" t="s">
        <v>61</v>
      </c>
      <c r="E98" s="91">
        <v>46520</v>
      </c>
      <c r="F98" s="92">
        <v>105000</v>
      </c>
      <c r="G98" s="92">
        <v>105000</v>
      </c>
    </row>
    <row r="99" spans="1:7">
      <c r="A99" s="33" t="s">
        <v>111</v>
      </c>
      <c r="B99" s="33" t="s">
        <v>54</v>
      </c>
      <c r="C99" s="48" t="s">
        <v>43</v>
      </c>
      <c r="D99" s="33" t="s">
        <v>61</v>
      </c>
      <c r="E99" s="91">
        <v>46704</v>
      </c>
      <c r="F99" s="92">
        <v>105000</v>
      </c>
      <c r="G99" s="92">
        <v>7105000</v>
      </c>
    </row>
    <row r="100" spans="1:7">
      <c r="A100" s="87" t="s">
        <v>111</v>
      </c>
      <c r="B100" s="87" t="s">
        <v>77</v>
      </c>
      <c r="C100" s="88" t="s">
        <v>43</v>
      </c>
      <c r="D100" s="87" t="s">
        <v>61</v>
      </c>
      <c r="E100" s="89">
        <v>45059</v>
      </c>
      <c r="F100" s="90">
        <v>120000</v>
      </c>
      <c r="G100" s="90">
        <v>120000</v>
      </c>
    </row>
    <row r="101" spans="1:7">
      <c r="A101" s="33" t="s">
        <v>111</v>
      </c>
      <c r="B101" s="33" t="s">
        <v>77</v>
      </c>
      <c r="C101" s="33" t="s">
        <v>60</v>
      </c>
      <c r="D101" s="36" t="s">
        <v>61</v>
      </c>
      <c r="E101" s="91">
        <v>45243</v>
      </c>
      <c r="F101" s="92">
        <v>120000</v>
      </c>
      <c r="G101" s="92">
        <v>120000</v>
      </c>
    </row>
    <row r="102" spans="1:7">
      <c r="A102" s="33" t="s">
        <v>111</v>
      </c>
      <c r="B102" s="33" t="s">
        <v>77</v>
      </c>
      <c r="C102" s="33" t="s">
        <v>60</v>
      </c>
      <c r="D102" s="36" t="s">
        <v>61</v>
      </c>
      <c r="E102" s="91">
        <v>45425</v>
      </c>
      <c r="F102" s="92">
        <v>120000</v>
      </c>
      <c r="G102" s="92">
        <v>120000</v>
      </c>
    </row>
    <row r="103" spans="1:7">
      <c r="A103" s="33" t="s">
        <v>111</v>
      </c>
      <c r="B103" s="33" t="s">
        <v>77</v>
      </c>
      <c r="C103" s="33" t="s">
        <v>60</v>
      </c>
      <c r="D103" s="36" t="s">
        <v>61</v>
      </c>
      <c r="E103" s="91">
        <v>45609</v>
      </c>
      <c r="F103" s="92">
        <v>120000</v>
      </c>
      <c r="G103" s="92">
        <v>120000</v>
      </c>
    </row>
    <row r="104" spans="1:7">
      <c r="A104" s="33" t="s">
        <v>111</v>
      </c>
      <c r="B104" s="33" t="s">
        <v>77</v>
      </c>
      <c r="C104" s="33" t="s">
        <v>60</v>
      </c>
      <c r="D104" s="36" t="s">
        <v>61</v>
      </c>
      <c r="E104" s="91">
        <v>45790</v>
      </c>
      <c r="F104" s="92">
        <v>120000</v>
      </c>
      <c r="G104" s="92">
        <v>120000</v>
      </c>
    </row>
    <row r="105" spans="1:7">
      <c r="A105" s="33" t="s">
        <v>111</v>
      </c>
      <c r="B105" s="33" t="s">
        <v>77</v>
      </c>
      <c r="C105" s="33" t="s">
        <v>60</v>
      </c>
      <c r="D105" s="36" t="s">
        <v>61</v>
      </c>
      <c r="E105" s="91">
        <v>45974</v>
      </c>
      <c r="F105" s="92">
        <v>120000</v>
      </c>
      <c r="G105" s="92">
        <v>120000</v>
      </c>
    </row>
    <row r="106" spans="1:7">
      <c r="A106" s="33" t="s">
        <v>111</v>
      </c>
      <c r="B106" s="33" t="s">
        <v>77</v>
      </c>
      <c r="C106" s="33" t="s">
        <v>60</v>
      </c>
      <c r="D106" s="36" t="s">
        <v>61</v>
      </c>
      <c r="E106" s="91">
        <v>46155</v>
      </c>
      <c r="F106" s="92">
        <v>120000</v>
      </c>
      <c r="G106" s="92">
        <v>120000</v>
      </c>
    </row>
    <row r="107" spans="1:7">
      <c r="A107" s="33" t="s">
        <v>111</v>
      </c>
      <c r="B107" s="33" t="s">
        <v>77</v>
      </c>
      <c r="C107" s="33" t="s">
        <v>60</v>
      </c>
      <c r="D107" s="36" t="s">
        <v>61</v>
      </c>
      <c r="E107" s="91">
        <v>46339</v>
      </c>
      <c r="F107" s="92">
        <v>120000</v>
      </c>
      <c r="G107" s="92">
        <v>120000</v>
      </c>
    </row>
    <row r="108" spans="1:7">
      <c r="A108" s="33" t="s">
        <v>111</v>
      </c>
      <c r="B108" s="33" t="s">
        <v>77</v>
      </c>
      <c r="C108" s="33" t="s">
        <v>60</v>
      </c>
      <c r="D108" s="36" t="s">
        <v>61</v>
      </c>
      <c r="E108" s="91">
        <v>46520</v>
      </c>
      <c r="F108" s="92">
        <v>120000</v>
      </c>
      <c r="G108" s="92">
        <v>120000</v>
      </c>
    </row>
    <row r="109" spans="1:7">
      <c r="A109" s="33" t="s">
        <v>111</v>
      </c>
      <c r="B109" s="33" t="s">
        <v>77</v>
      </c>
      <c r="C109" s="33" t="s">
        <v>60</v>
      </c>
      <c r="D109" s="36" t="s">
        <v>61</v>
      </c>
      <c r="E109" s="91">
        <v>46704</v>
      </c>
      <c r="F109" s="92">
        <v>120000</v>
      </c>
      <c r="G109" s="92">
        <v>8120000</v>
      </c>
    </row>
    <row r="110" spans="1:7">
      <c r="A110" s="87" t="s">
        <v>178</v>
      </c>
      <c r="B110" s="87" t="s">
        <v>54</v>
      </c>
      <c r="C110" s="88" t="s">
        <v>43</v>
      </c>
      <c r="D110" s="87" t="s">
        <v>61</v>
      </c>
      <c r="E110" s="89">
        <v>45143</v>
      </c>
      <c r="F110" s="90">
        <v>35000</v>
      </c>
      <c r="G110" s="90">
        <v>35000</v>
      </c>
    </row>
    <row r="111" spans="1:7">
      <c r="A111" s="33" t="s">
        <v>178</v>
      </c>
      <c r="B111" s="33" t="s">
        <v>54</v>
      </c>
      <c r="C111" s="33" t="s">
        <v>60</v>
      </c>
      <c r="D111" s="36" t="s">
        <v>61</v>
      </c>
      <c r="E111" s="91">
        <v>45327</v>
      </c>
      <c r="F111" s="92">
        <v>35000</v>
      </c>
      <c r="G111" s="92">
        <v>35000</v>
      </c>
    </row>
    <row r="112" spans="1:7">
      <c r="A112" s="33" t="s">
        <v>178</v>
      </c>
      <c r="B112" s="33" t="s">
        <v>54</v>
      </c>
      <c r="C112" s="33" t="s">
        <v>60</v>
      </c>
      <c r="D112" s="36" t="s">
        <v>61</v>
      </c>
      <c r="E112" s="91">
        <v>45509</v>
      </c>
      <c r="F112" s="92">
        <v>35000</v>
      </c>
      <c r="G112" s="92">
        <v>35000</v>
      </c>
    </row>
    <row r="113" spans="1:7">
      <c r="A113" s="33" t="s">
        <v>178</v>
      </c>
      <c r="B113" s="33" t="s">
        <v>54</v>
      </c>
      <c r="C113" s="33" t="s">
        <v>60</v>
      </c>
      <c r="D113" s="36" t="s">
        <v>61</v>
      </c>
      <c r="E113" s="91">
        <v>45693</v>
      </c>
      <c r="F113" s="92">
        <v>35000</v>
      </c>
      <c r="G113" s="92">
        <v>35000</v>
      </c>
    </row>
    <row r="114" spans="1:7">
      <c r="A114" s="33" t="s">
        <v>178</v>
      </c>
      <c r="B114" s="33" t="s">
        <v>54</v>
      </c>
      <c r="C114" s="33" t="s">
        <v>60</v>
      </c>
      <c r="D114" s="36" t="s">
        <v>61</v>
      </c>
      <c r="E114" s="91">
        <v>45874</v>
      </c>
      <c r="F114" s="92">
        <v>35000</v>
      </c>
      <c r="G114" s="92">
        <v>35000</v>
      </c>
    </row>
    <row r="115" spans="1:7">
      <c r="A115" s="33" t="s">
        <v>178</v>
      </c>
      <c r="B115" s="33" t="s">
        <v>54</v>
      </c>
      <c r="C115" s="33" t="s">
        <v>60</v>
      </c>
      <c r="D115" s="36" t="s">
        <v>61</v>
      </c>
      <c r="E115" s="91">
        <v>46058</v>
      </c>
      <c r="F115" s="92">
        <v>35000</v>
      </c>
      <c r="G115" s="92">
        <v>35000</v>
      </c>
    </row>
    <row r="116" spans="1:7">
      <c r="A116" s="33" t="s">
        <v>178</v>
      </c>
      <c r="B116" s="33" t="s">
        <v>54</v>
      </c>
      <c r="C116" s="33" t="s">
        <v>60</v>
      </c>
      <c r="D116" s="36" t="s">
        <v>61</v>
      </c>
      <c r="E116" s="91">
        <v>46239</v>
      </c>
      <c r="F116" s="92">
        <v>35000</v>
      </c>
      <c r="G116" s="92">
        <v>35000</v>
      </c>
    </row>
    <row r="117" spans="1:7">
      <c r="A117" s="33" t="s">
        <v>178</v>
      </c>
      <c r="B117" s="33" t="s">
        <v>54</v>
      </c>
      <c r="C117" s="33" t="s">
        <v>60</v>
      </c>
      <c r="D117" s="36" t="s">
        <v>61</v>
      </c>
      <c r="E117" s="91">
        <v>46423</v>
      </c>
      <c r="F117" s="92">
        <v>35000</v>
      </c>
      <c r="G117" s="92">
        <v>35000</v>
      </c>
    </row>
    <row r="118" spans="1:7">
      <c r="A118" s="33" t="s">
        <v>178</v>
      </c>
      <c r="B118" s="33" t="s">
        <v>54</v>
      </c>
      <c r="C118" s="33" t="s">
        <v>60</v>
      </c>
      <c r="D118" s="36" t="s">
        <v>61</v>
      </c>
      <c r="E118" s="91">
        <v>46604</v>
      </c>
      <c r="F118" s="92">
        <v>35000</v>
      </c>
      <c r="G118" s="92">
        <v>35000</v>
      </c>
    </row>
    <row r="119" spans="1:7">
      <c r="A119" s="33" t="s">
        <v>178</v>
      </c>
      <c r="B119" s="33" t="s">
        <v>54</v>
      </c>
      <c r="C119" s="33" t="s">
        <v>60</v>
      </c>
      <c r="D119" s="36" t="s">
        <v>61</v>
      </c>
      <c r="E119" s="91">
        <v>46788</v>
      </c>
      <c r="F119" s="92">
        <v>35000</v>
      </c>
      <c r="G119" s="92">
        <v>35000</v>
      </c>
    </row>
    <row r="120" spans="1:7">
      <c r="A120" s="33" t="s">
        <v>178</v>
      </c>
      <c r="B120" s="33" t="s">
        <v>54</v>
      </c>
      <c r="C120" s="33" t="s">
        <v>60</v>
      </c>
      <c r="D120" s="36" t="s">
        <v>61</v>
      </c>
      <c r="E120" s="91">
        <v>46970</v>
      </c>
      <c r="F120" s="92">
        <v>35000</v>
      </c>
      <c r="G120" s="92">
        <v>5035000</v>
      </c>
    </row>
    <row r="121" spans="1:7">
      <c r="A121" s="87" t="s">
        <v>590</v>
      </c>
      <c r="B121" s="87" t="s">
        <v>54</v>
      </c>
      <c r="C121" s="88" t="s">
        <v>43</v>
      </c>
      <c r="D121" s="87" t="s">
        <v>61</v>
      </c>
      <c r="E121" s="89">
        <v>45143</v>
      </c>
      <c r="F121" s="90">
        <v>57375.000000000007</v>
      </c>
      <c r="G121" s="90">
        <v>57375.000000000007</v>
      </c>
    </row>
    <row r="122" spans="1:7">
      <c r="A122" s="33" t="s">
        <v>590</v>
      </c>
      <c r="B122" s="33" t="s">
        <v>54</v>
      </c>
      <c r="C122" s="48" t="s">
        <v>43</v>
      </c>
      <c r="D122" s="33" t="s">
        <v>61</v>
      </c>
      <c r="E122" s="93">
        <v>45327</v>
      </c>
      <c r="F122" s="94">
        <v>57375.000000000007</v>
      </c>
      <c r="G122" s="94">
        <v>57375.000000000007</v>
      </c>
    </row>
    <row r="123" spans="1:7">
      <c r="A123" s="33" t="s">
        <v>590</v>
      </c>
      <c r="B123" s="33" t="s">
        <v>54</v>
      </c>
      <c r="C123" s="48" t="s">
        <v>43</v>
      </c>
      <c r="D123" s="33" t="s">
        <v>61</v>
      </c>
      <c r="E123" s="93">
        <v>45509</v>
      </c>
      <c r="F123" s="94">
        <v>57375.000000000007</v>
      </c>
      <c r="G123" s="94">
        <v>57375.000000000007</v>
      </c>
    </row>
    <row r="124" spans="1:7">
      <c r="A124" s="33" t="s">
        <v>590</v>
      </c>
      <c r="B124" s="33" t="s">
        <v>54</v>
      </c>
      <c r="C124" s="48" t="s">
        <v>43</v>
      </c>
      <c r="D124" s="33" t="s">
        <v>61</v>
      </c>
      <c r="E124" s="93">
        <v>45693</v>
      </c>
      <c r="F124" s="92">
        <v>57375.000000000007</v>
      </c>
      <c r="G124" s="92">
        <v>57375.000000000007</v>
      </c>
    </row>
    <row r="125" spans="1:7">
      <c r="A125" s="33" t="s">
        <v>590</v>
      </c>
      <c r="B125" s="33" t="s">
        <v>54</v>
      </c>
      <c r="C125" s="48" t="s">
        <v>43</v>
      </c>
      <c r="D125" s="33" t="s">
        <v>61</v>
      </c>
      <c r="E125" s="93">
        <v>45874</v>
      </c>
      <c r="F125" s="92">
        <v>57375.000000000007</v>
      </c>
      <c r="G125" s="92">
        <v>57375.000000000007</v>
      </c>
    </row>
    <row r="126" spans="1:7">
      <c r="A126" s="33" t="s">
        <v>590</v>
      </c>
      <c r="B126" s="33" t="s">
        <v>54</v>
      </c>
      <c r="C126" s="48" t="s">
        <v>43</v>
      </c>
      <c r="D126" s="33" t="s">
        <v>61</v>
      </c>
      <c r="E126" s="93">
        <v>46058</v>
      </c>
      <c r="F126" s="92">
        <v>57375.000000000007</v>
      </c>
      <c r="G126" s="92">
        <v>57375.000000000007</v>
      </c>
    </row>
    <row r="127" spans="1:7">
      <c r="A127" s="33" t="s">
        <v>590</v>
      </c>
      <c r="B127" s="33" t="s">
        <v>54</v>
      </c>
      <c r="C127" s="48" t="s">
        <v>43</v>
      </c>
      <c r="D127" s="33" t="s">
        <v>61</v>
      </c>
      <c r="E127" s="93">
        <v>46239</v>
      </c>
      <c r="F127" s="92">
        <v>57375.000000000007</v>
      </c>
      <c r="G127" s="92">
        <v>57375.000000000007</v>
      </c>
    </row>
    <row r="128" spans="1:7">
      <c r="A128" s="33" t="s">
        <v>590</v>
      </c>
      <c r="B128" s="33" t="s">
        <v>54</v>
      </c>
      <c r="C128" s="48" t="s">
        <v>43</v>
      </c>
      <c r="D128" s="33" t="s">
        <v>61</v>
      </c>
      <c r="E128" s="93">
        <v>46423</v>
      </c>
      <c r="F128" s="92">
        <v>57375.000000000007</v>
      </c>
      <c r="G128" s="92">
        <v>57375.000000000007</v>
      </c>
    </row>
    <row r="129" spans="1:7">
      <c r="A129" s="33" t="s">
        <v>590</v>
      </c>
      <c r="B129" s="33" t="s">
        <v>54</v>
      </c>
      <c r="C129" s="48" t="s">
        <v>43</v>
      </c>
      <c r="D129" s="33" t="s">
        <v>61</v>
      </c>
      <c r="E129" s="93">
        <v>46604</v>
      </c>
      <c r="F129" s="92">
        <v>57375.000000000007</v>
      </c>
      <c r="G129" s="92">
        <v>57375.000000000007</v>
      </c>
    </row>
    <row r="130" spans="1:7">
      <c r="A130" s="33" t="s">
        <v>590</v>
      </c>
      <c r="B130" s="33" t="s">
        <v>54</v>
      </c>
      <c r="C130" s="48" t="s">
        <v>43</v>
      </c>
      <c r="D130" s="33" t="s">
        <v>61</v>
      </c>
      <c r="E130" s="93">
        <v>46788</v>
      </c>
      <c r="F130" s="92">
        <v>57375.000000000007</v>
      </c>
      <c r="G130" s="92">
        <v>57375.000000000007</v>
      </c>
    </row>
    <row r="131" spans="1:7">
      <c r="A131" s="33" t="s">
        <v>590</v>
      </c>
      <c r="B131" s="33" t="s">
        <v>54</v>
      </c>
      <c r="C131" s="48" t="s">
        <v>43</v>
      </c>
      <c r="D131" s="33" t="s">
        <v>61</v>
      </c>
      <c r="E131" s="93">
        <v>46970</v>
      </c>
      <c r="F131" s="92">
        <v>57375.000000000007</v>
      </c>
      <c r="G131" s="92">
        <v>57375.000000000007</v>
      </c>
    </row>
    <row r="132" spans="1:7">
      <c r="A132" s="33" t="s">
        <v>590</v>
      </c>
      <c r="B132" s="33" t="s">
        <v>54</v>
      </c>
      <c r="C132" s="48" t="s">
        <v>43</v>
      </c>
      <c r="D132" s="33" t="s">
        <v>61</v>
      </c>
      <c r="E132" s="93">
        <v>47154</v>
      </c>
      <c r="F132" s="92">
        <v>57375.000000000007</v>
      </c>
      <c r="G132" s="92">
        <v>57375.000000000007</v>
      </c>
    </row>
    <row r="133" spans="1:7">
      <c r="A133" s="33" t="s">
        <v>590</v>
      </c>
      <c r="B133" s="33" t="s">
        <v>54</v>
      </c>
      <c r="C133" s="48" t="s">
        <v>43</v>
      </c>
      <c r="D133" s="33" t="s">
        <v>61</v>
      </c>
      <c r="E133" s="93">
        <v>47335</v>
      </c>
      <c r="F133" s="92">
        <v>57375.000000000007</v>
      </c>
      <c r="G133" s="92">
        <v>57375.000000000007</v>
      </c>
    </row>
    <row r="134" spans="1:7">
      <c r="A134" s="33" t="s">
        <v>590</v>
      </c>
      <c r="B134" s="33" t="s">
        <v>54</v>
      </c>
      <c r="C134" s="48" t="s">
        <v>43</v>
      </c>
      <c r="D134" s="33" t="s">
        <v>61</v>
      </c>
      <c r="E134" s="93">
        <v>47519</v>
      </c>
      <c r="F134" s="92">
        <v>57375.000000000007</v>
      </c>
      <c r="G134" s="92">
        <v>57375.000000000007</v>
      </c>
    </row>
    <row r="135" spans="1:7">
      <c r="A135" s="33" t="s">
        <v>590</v>
      </c>
      <c r="B135" s="33" t="s">
        <v>54</v>
      </c>
      <c r="C135" s="48" t="s">
        <v>43</v>
      </c>
      <c r="D135" s="33" t="s">
        <v>61</v>
      </c>
      <c r="E135" s="93">
        <v>47700</v>
      </c>
      <c r="F135" s="92">
        <v>57375.000000000007</v>
      </c>
      <c r="G135" s="92">
        <v>57375.000000000007</v>
      </c>
    </row>
    <row r="136" spans="1:7">
      <c r="A136" s="33" t="s">
        <v>590</v>
      </c>
      <c r="B136" s="33" t="s">
        <v>54</v>
      </c>
      <c r="C136" s="48" t="s">
        <v>43</v>
      </c>
      <c r="D136" s="33" t="s">
        <v>61</v>
      </c>
      <c r="E136" s="93">
        <v>47884</v>
      </c>
      <c r="F136" s="92">
        <v>57375.000000000007</v>
      </c>
      <c r="G136" s="92">
        <v>57375.000000000007</v>
      </c>
    </row>
    <row r="137" spans="1:7">
      <c r="A137" s="33" t="s">
        <v>590</v>
      </c>
      <c r="B137" s="33" t="s">
        <v>54</v>
      </c>
      <c r="C137" s="48" t="s">
        <v>43</v>
      </c>
      <c r="D137" s="33" t="s">
        <v>61</v>
      </c>
      <c r="E137" s="93">
        <v>48065</v>
      </c>
      <c r="F137" s="92">
        <v>57375.000000000007</v>
      </c>
      <c r="G137" s="92">
        <v>6807375</v>
      </c>
    </row>
    <row r="138" spans="1:7">
      <c r="A138" s="87" t="s">
        <v>732</v>
      </c>
      <c r="B138" s="87" t="s">
        <v>77</v>
      </c>
      <c r="C138" s="88" t="s">
        <v>43</v>
      </c>
      <c r="D138" s="87" t="s">
        <v>61</v>
      </c>
      <c r="E138" s="89">
        <v>45526</v>
      </c>
      <c r="F138" s="90">
        <v>49000</v>
      </c>
      <c r="G138" s="90">
        <v>49000</v>
      </c>
    </row>
    <row r="139" spans="1:7">
      <c r="A139" s="33" t="s">
        <v>732</v>
      </c>
      <c r="B139" s="33" t="s">
        <v>77</v>
      </c>
      <c r="C139" s="48" t="s">
        <v>43</v>
      </c>
      <c r="D139" s="33" t="s">
        <v>61</v>
      </c>
      <c r="E139" s="91">
        <v>45710</v>
      </c>
      <c r="F139" s="92">
        <v>49000</v>
      </c>
      <c r="G139" s="92">
        <v>49000</v>
      </c>
    </row>
    <row r="140" spans="1:7">
      <c r="A140" s="33" t="s">
        <v>752</v>
      </c>
      <c r="B140" s="33" t="s">
        <v>77</v>
      </c>
      <c r="C140" s="48" t="s">
        <v>43</v>
      </c>
      <c r="D140" s="33" t="s">
        <v>61</v>
      </c>
      <c r="E140" s="93">
        <v>45891</v>
      </c>
      <c r="F140" s="92">
        <v>49000</v>
      </c>
      <c r="G140" s="92">
        <v>49000</v>
      </c>
    </row>
    <row r="141" spans="1:7">
      <c r="A141" s="33" t="s">
        <v>752</v>
      </c>
      <c r="B141" s="33" t="s">
        <v>77</v>
      </c>
      <c r="C141" s="48" t="s">
        <v>43</v>
      </c>
      <c r="D141" s="33" t="s">
        <v>61</v>
      </c>
      <c r="E141" s="91">
        <v>46075</v>
      </c>
      <c r="F141" s="92">
        <v>49000</v>
      </c>
      <c r="G141" s="92">
        <v>49000</v>
      </c>
    </row>
    <row r="142" spans="1:7">
      <c r="A142" s="33" t="s">
        <v>752</v>
      </c>
      <c r="B142" s="33" t="s">
        <v>77</v>
      </c>
      <c r="C142" s="48" t="s">
        <v>43</v>
      </c>
      <c r="D142" s="33" t="s">
        <v>61</v>
      </c>
      <c r="E142" s="93">
        <v>46256</v>
      </c>
      <c r="F142" s="92">
        <v>49000</v>
      </c>
      <c r="G142" s="92">
        <v>49000</v>
      </c>
    </row>
    <row r="143" spans="1:7">
      <c r="A143" s="33" t="s">
        <v>752</v>
      </c>
      <c r="B143" s="33" t="s">
        <v>77</v>
      </c>
      <c r="C143" s="48" t="s">
        <v>43</v>
      </c>
      <c r="D143" s="33" t="s">
        <v>61</v>
      </c>
      <c r="E143" s="91">
        <v>46440</v>
      </c>
      <c r="F143" s="92">
        <v>49000</v>
      </c>
      <c r="G143" s="92">
        <v>49000</v>
      </c>
    </row>
    <row r="144" spans="1:7">
      <c r="A144" s="33" t="s">
        <v>752</v>
      </c>
      <c r="B144" s="33" t="s">
        <v>77</v>
      </c>
      <c r="C144" s="48" t="s">
        <v>43</v>
      </c>
      <c r="D144" s="33" t="s">
        <v>61</v>
      </c>
      <c r="E144" s="93">
        <v>46621</v>
      </c>
      <c r="F144" s="92">
        <v>49000</v>
      </c>
      <c r="G144" s="92">
        <v>49000</v>
      </c>
    </row>
    <row r="145" spans="1:7">
      <c r="A145" s="33" t="s">
        <v>752</v>
      </c>
      <c r="B145" s="33" t="s">
        <v>77</v>
      </c>
      <c r="C145" s="48" t="s">
        <v>43</v>
      </c>
      <c r="D145" s="33" t="s">
        <v>61</v>
      </c>
      <c r="E145" s="91">
        <v>46805</v>
      </c>
      <c r="F145" s="92">
        <v>49000</v>
      </c>
      <c r="G145" s="92">
        <v>49000</v>
      </c>
    </row>
    <row r="146" spans="1:7">
      <c r="A146" s="33" t="s">
        <v>752</v>
      </c>
      <c r="B146" s="33" t="s">
        <v>77</v>
      </c>
      <c r="C146" s="48" t="s">
        <v>43</v>
      </c>
      <c r="D146" s="33" t="s">
        <v>61</v>
      </c>
      <c r="E146" s="93">
        <v>46987</v>
      </c>
      <c r="F146" s="92">
        <v>49000</v>
      </c>
      <c r="G146" s="92">
        <v>49000</v>
      </c>
    </row>
    <row r="147" spans="1:7">
      <c r="A147" s="33" t="s">
        <v>752</v>
      </c>
      <c r="B147" s="33" t="s">
        <v>77</v>
      </c>
      <c r="C147" s="48" t="s">
        <v>43</v>
      </c>
      <c r="D147" s="33" t="s">
        <v>61</v>
      </c>
      <c r="E147" s="91">
        <v>47171</v>
      </c>
      <c r="F147" s="92">
        <v>49000</v>
      </c>
      <c r="G147" s="92">
        <v>49000</v>
      </c>
    </row>
    <row r="148" spans="1:7">
      <c r="A148" s="33" t="s">
        <v>752</v>
      </c>
      <c r="B148" s="33" t="s">
        <v>77</v>
      </c>
      <c r="C148" s="48" t="s">
        <v>43</v>
      </c>
      <c r="D148" s="33" t="s">
        <v>61</v>
      </c>
      <c r="E148" s="93">
        <v>47352</v>
      </c>
      <c r="F148" s="92">
        <v>49000</v>
      </c>
      <c r="G148" s="92">
        <v>49000</v>
      </c>
    </row>
    <row r="149" spans="1:7">
      <c r="A149" s="33" t="s">
        <v>752</v>
      </c>
      <c r="B149" s="33" t="s">
        <v>77</v>
      </c>
      <c r="C149" s="48" t="s">
        <v>43</v>
      </c>
      <c r="D149" s="33" t="s">
        <v>61</v>
      </c>
      <c r="E149" s="91">
        <v>47536</v>
      </c>
      <c r="F149" s="92">
        <v>49000</v>
      </c>
      <c r="G149" s="92">
        <v>49000</v>
      </c>
    </row>
    <row r="150" spans="1:7">
      <c r="A150" s="33" t="s">
        <v>752</v>
      </c>
      <c r="B150" s="33" t="s">
        <v>77</v>
      </c>
      <c r="C150" s="48" t="s">
        <v>43</v>
      </c>
      <c r="D150" s="33" t="s">
        <v>61</v>
      </c>
      <c r="E150" s="93">
        <v>47717</v>
      </c>
      <c r="F150" s="92">
        <v>49000</v>
      </c>
      <c r="G150" s="92">
        <v>49000</v>
      </c>
    </row>
    <row r="151" spans="1:7">
      <c r="A151" s="33" t="s">
        <v>752</v>
      </c>
      <c r="B151" s="33" t="s">
        <v>77</v>
      </c>
      <c r="C151" s="48" t="s">
        <v>43</v>
      </c>
      <c r="D151" s="33" t="s">
        <v>61</v>
      </c>
      <c r="E151" s="91">
        <v>47901</v>
      </c>
      <c r="F151" s="92">
        <v>49000</v>
      </c>
      <c r="G151" s="92">
        <v>49000</v>
      </c>
    </row>
    <row r="152" spans="1:7">
      <c r="A152" s="33" t="s">
        <v>752</v>
      </c>
      <c r="B152" s="33" t="s">
        <v>77</v>
      </c>
      <c r="C152" s="48" t="s">
        <v>43</v>
      </c>
      <c r="D152" s="33" t="s">
        <v>61</v>
      </c>
      <c r="E152" s="93">
        <v>48082</v>
      </c>
      <c r="F152" s="92">
        <v>49000</v>
      </c>
      <c r="G152" s="92">
        <v>49000</v>
      </c>
    </row>
    <row r="153" spans="1:7">
      <c r="A153" s="33" t="s">
        <v>752</v>
      </c>
      <c r="B153" s="33" t="s">
        <v>77</v>
      </c>
      <c r="C153" s="48" t="s">
        <v>43</v>
      </c>
      <c r="D153" s="33" t="s">
        <v>61</v>
      </c>
      <c r="E153" s="91">
        <v>48266</v>
      </c>
      <c r="F153" s="92">
        <v>49000</v>
      </c>
      <c r="G153" s="92">
        <v>49000</v>
      </c>
    </row>
    <row r="154" spans="1:7">
      <c r="A154" s="33" t="s">
        <v>752</v>
      </c>
      <c r="B154" s="33" t="s">
        <v>77</v>
      </c>
      <c r="C154" s="48" t="s">
        <v>43</v>
      </c>
      <c r="D154" s="33" t="s">
        <v>61</v>
      </c>
      <c r="E154" s="93">
        <v>48448</v>
      </c>
      <c r="F154" s="92">
        <v>49000</v>
      </c>
      <c r="G154" s="92">
        <v>49000</v>
      </c>
    </row>
    <row r="155" spans="1:7">
      <c r="A155" s="33" t="s">
        <v>752</v>
      </c>
      <c r="B155" s="33" t="s">
        <v>77</v>
      </c>
      <c r="C155" s="48" t="s">
        <v>43</v>
      </c>
      <c r="D155" s="33" t="s">
        <v>61</v>
      </c>
      <c r="E155" s="91">
        <v>48638</v>
      </c>
      <c r="F155" s="92">
        <v>49000</v>
      </c>
      <c r="G155" s="92">
        <v>2049000</v>
      </c>
    </row>
    <row r="156" spans="1:7">
      <c r="A156" s="87" t="s">
        <v>732</v>
      </c>
      <c r="B156" s="87" t="s">
        <v>54</v>
      </c>
      <c r="C156" s="88" t="s">
        <v>43</v>
      </c>
      <c r="D156" s="87" t="s">
        <v>61</v>
      </c>
      <c r="E156" s="89">
        <v>45526</v>
      </c>
      <c r="F156" s="90">
        <v>49000</v>
      </c>
      <c r="G156" s="90">
        <v>49000</v>
      </c>
    </row>
    <row r="157" spans="1:7">
      <c r="A157" s="33" t="s">
        <v>732</v>
      </c>
      <c r="B157" s="33" t="s">
        <v>54</v>
      </c>
      <c r="C157" s="48" t="s">
        <v>43</v>
      </c>
      <c r="D157" s="33" t="s">
        <v>61</v>
      </c>
      <c r="E157" s="91">
        <v>45710</v>
      </c>
      <c r="F157" s="92">
        <v>49000</v>
      </c>
      <c r="G157" s="92">
        <v>49000</v>
      </c>
    </row>
    <row r="158" spans="1:7">
      <c r="A158" s="33" t="s">
        <v>752</v>
      </c>
      <c r="B158" s="33" t="s">
        <v>54</v>
      </c>
      <c r="C158" s="48" t="s">
        <v>43</v>
      </c>
      <c r="D158" s="33" t="s">
        <v>61</v>
      </c>
      <c r="E158" s="93">
        <v>45891</v>
      </c>
      <c r="F158" s="92">
        <v>49000</v>
      </c>
      <c r="G158" s="92">
        <v>49000</v>
      </c>
    </row>
    <row r="159" spans="1:7">
      <c r="A159" s="33" t="s">
        <v>752</v>
      </c>
      <c r="B159" s="33" t="s">
        <v>54</v>
      </c>
      <c r="C159" s="48" t="s">
        <v>43</v>
      </c>
      <c r="D159" s="33" t="s">
        <v>61</v>
      </c>
      <c r="E159" s="91">
        <v>46075</v>
      </c>
      <c r="F159" s="92">
        <v>49000</v>
      </c>
      <c r="G159" s="92">
        <v>49000</v>
      </c>
    </row>
    <row r="160" spans="1:7">
      <c r="A160" s="33" t="s">
        <v>752</v>
      </c>
      <c r="B160" s="33" t="s">
        <v>54</v>
      </c>
      <c r="C160" s="48" t="s">
        <v>43</v>
      </c>
      <c r="D160" s="33" t="s">
        <v>61</v>
      </c>
      <c r="E160" s="93">
        <v>46256</v>
      </c>
      <c r="F160" s="92">
        <v>49000</v>
      </c>
      <c r="G160" s="92">
        <v>49000</v>
      </c>
    </row>
    <row r="161" spans="1:7">
      <c r="A161" s="33" t="s">
        <v>752</v>
      </c>
      <c r="B161" s="33" t="s">
        <v>54</v>
      </c>
      <c r="C161" s="48" t="s">
        <v>43</v>
      </c>
      <c r="D161" s="33" t="s">
        <v>61</v>
      </c>
      <c r="E161" s="91">
        <v>46440</v>
      </c>
      <c r="F161" s="92">
        <v>49000</v>
      </c>
      <c r="G161" s="92">
        <v>49000</v>
      </c>
    </row>
    <row r="162" spans="1:7">
      <c r="A162" s="33" t="s">
        <v>752</v>
      </c>
      <c r="B162" s="33" t="s">
        <v>54</v>
      </c>
      <c r="C162" s="48" t="s">
        <v>43</v>
      </c>
      <c r="D162" s="33" t="s">
        <v>61</v>
      </c>
      <c r="E162" s="93">
        <v>46621</v>
      </c>
      <c r="F162" s="92">
        <v>49000</v>
      </c>
      <c r="G162" s="92">
        <v>49000</v>
      </c>
    </row>
    <row r="163" spans="1:7">
      <c r="A163" s="33" t="s">
        <v>752</v>
      </c>
      <c r="B163" s="33" t="s">
        <v>54</v>
      </c>
      <c r="C163" s="48" t="s">
        <v>43</v>
      </c>
      <c r="D163" s="33" t="s">
        <v>61</v>
      </c>
      <c r="E163" s="91">
        <v>46805</v>
      </c>
      <c r="F163" s="92">
        <v>49000</v>
      </c>
      <c r="G163" s="92">
        <v>49000</v>
      </c>
    </row>
    <row r="164" spans="1:7">
      <c r="A164" s="33" t="s">
        <v>752</v>
      </c>
      <c r="B164" s="33" t="s">
        <v>54</v>
      </c>
      <c r="C164" s="48" t="s">
        <v>43</v>
      </c>
      <c r="D164" s="33" t="s">
        <v>61</v>
      </c>
      <c r="E164" s="93">
        <v>46987</v>
      </c>
      <c r="F164" s="92">
        <v>49000</v>
      </c>
      <c r="G164" s="92">
        <v>49000</v>
      </c>
    </row>
    <row r="165" spans="1:7">
      <c r="A165" s="33" t="s">
        <v>752</v>
      </c>
      <c r="B165" s="33" t="s">
        <v>54</v>
      </c>
      <c r="C165" s="48" t="s">
        <v>43</v>
      </c>
      <c r="D165" s="33" t="s">
        <v>61</v>
      </c>
      <c r="E165" s="91">
        <v>47171</v>
      </c>
      <c r="F165" s="92">
        <v>49000</v>
      </c>
      <c r="G165" s="92">
        <v>49000</v>
      </c>
    </row>
    <row r="166" spans="1:7">
      <c r="A166" s="33" t="s">
        <v>752</v>
      </c>
      <c r="B166" s="33" t="s">
        <v>54</v>
      </c>
      <c r="C166" s="48" t="s">
        <v>43</v>
      </c>
      <c r="D166" s="33" t="s">
        <v>61</v>
      </c>
      <c r="E166" s="93">
        <v>47352</v>
      </c>
      <c r="F166" s="92">
        <v>49000</v>
      </c>
      <c r="G166" s="92">
        <v>49000</v>
      </c>
    </row>
    <row r="167" spans="1:7">
      <c r="A167" s="33" t="s">
        <v>752</v>
      </c>
      <c r="B167" s="33" t="s">
        <v>54</v>
      </c>
      <c r="C167" s="48" t="s">
        <v>43</v>
      </c>
      <c r="D167" s="33" t="s">
        <v>61</v>
      </c>
      <c r="E167" s="91">
        <v>47536</v>
      </c>
      <c r="F167" s="92">
        <v>49000</v>
      </c>
      <c r="G167" s="92">
        <v>49000</v>
      </c>
    </row>
    <row r="168" spans="1:7">
      <c r="A168" s="33" t="s">
        <v>752</v>
      </c>
      <c r="B168" s="33" t="s">
        <v>54</v>
      </c>
      <c r="C168" s="48" t="s">
        <v>43</v>
      </c>
      <c r="D168" s="33" t="s">
        <v>61</v>
      </c>
      <c r="E168" s="93">
        <v>47717</v>
      </c>
      <c r="F168" s="92">
        <v>49000</v>
      </c>
      <c r="G168" s="92">
        <v>49000</v>
      </c>
    </row>
    <row r="169" spans="1:7">
      <c r="A169" s="33" t="s">
        <v>752</v>
      </c>
      <c r="B169" s="33" t="s">
        <v>54</v>
      </c>
      <c r="C169" s="48" t="s">
        <v>43</v>
      </c>
      <c r="D169" s="33" t="s">
        <v>61</v>
      </c>
      <c r="E169" s="91">
        <v>47901</v>
      </c>
      <c r="F169" s="92">
        <v>49000</v>
      </c>
      <c r="G169" s="92">
        <v>49000</v>
      </c>
    </row>
    <row r="170" spans="1:7">
      <c r="A170" s="33" t="s">
        <v>752</v>
      </c>
      <c r="B170" s="33" t="s">
        <v>54</v>
      </c>
      <c r="C170" s="48" t="s">
        <v>43</v>
      </c>
      <c r="D170" s="33" t="s">
        <v>61</v>
      </c>
      <c r="E170" s="93">
        <v>48082</v>
      </c>
      <c r="F170" s="92">
        <v>49000</v>
      </c>
      <c r="G170" s="92">
        <v>49000</v>
      </c>
    </row>
    <row r="171" spans="1:7">
      <c r="A171" s="33" t="s">
        <v>752</v>
      </c>
      <c r="B171" s="33" t="s">
        <v>54</v>
      </c>
      <c r="C171" s="48" t="s">
        <v>43</v>
      </c>
      <c r="D171" s="33" t="s">
        <v>61</v>
      </c>
      <c r="E171" s="91">
        <v>48266</v>
      </c>
      <c r="F171" s="92">
        <v>49000</v>
      </c>
      <c r="G171" s="92">
        <v>49000</v>
      </c>
    </row>
    <row r="172" spans="1:7">
      <c r="A172" s="33" t="s">
        <v>752</v>
      </c>
      <c r="B172" s="33" t="s">
        <v>54</v>
      </c>
      <c r="C172" s="48" t="s">
        <v>43</v>
      </c>
      <c r="D172" s="33" t="s">
        <v>61</v>
      </c>
      <c r="E172" s="93">
        <v>48448</v>
      </c>
      <c r="F172" s="92">
        <v>49000</v>
      </c>
      <c r="G172" s="92">
        <v>49000</v>
      </c>
    </row>
    <row r="173" spans="1:7">
      <c r="A173" s="33" t="s">
        <v>752</v>
      </c>
      <c r="B173" s="33" t="s">
        <v>54</v>
      </c>
      <c r="C173" s="48" t="s">
        <v>43</v>
      </c>
      <c r="D173" s="33" t="s">
        <v>61</v>
      </c>
      <c r="E173" s="91">
        <v>48638</v>
      </c>
      <c r="F173" s="92">
        <v>49000</v>
      </c>
      <c r="G173" s="92">
        <v>2049000</v>
      </c>
    </row>
    <row r="174" spans="1:7">
      <c r="A174" s="87" t="s">
        <v>473</v>
      </c>
      <c r="B174" s="87" t="s">
        <v>54</v>
      </c>
      <c r="C174" s="88" t="s">
        <v>43</v>
      </c>
      <c r="D174" s="87" t="s">
        <v>61</v>
      </c>
      <c r="E174" s="89">
        <v>45543</v>
      </c>
      <c r="F174" s="90">
        <v>144375</v>
      </c>
      <c r="G174" s="90">
        <v>144375</v>
      </c>
    </row>
    <row r="175" spans="1:7">
      <c r="A175" s="33" t="s">
        <v>473</v>
      </c>
      <c r="B175" s="33" t="s">
        <v>54</v>
      </c>
      <c r="C175" s="48" t="s">
        <v>43</v>
      </c>
      <c r="D175" s="33" t="s">
        <v>61</v>
      </c>
      <c r="E175" s="91">
        <v>45724</v>
      </c>
      <c r="F175" s="92">
        <v>144375</v>
      </c>
      <c r="G175" s="92">
        <v>144375</v>
      </c>
    </row>
    <row r="176" spans="1:7">
      <c r="A176" s="33" t="s">
        <v>753</v>
      </c>
      <c r="B176" s="33" t="s">
        <v>54</v>
      </c>
      <c r="C176" s="48" t="s">
        <v>43</v>
      </c>
      <c r="D176" s="33" t="s">
        <v>61</v>
      </c>
      <c r="E176" s="91">
        <v>45908</v>
      </c>
      <c r="F176" s="92">
        <v>144375</v>
      </c>
      <c r="G176" s="92">
        <v>144375</v>
      </c>
    </row>
    <row r="177" spans="1:7">
      <c r="A177" s="33" t="s">
        <v>753</v>
      </c>
      <c r="B177" s="33" t="s">
        <v>54</v>
      </c>
      <c r="C177" s="48" t="s">
        <v>43</v>
      </c>
      <c r="D177" s="33" t="s">
        <v>61</v>
      </c>
      <c r="E177" s="91">
        <v>46089</v>
      </c>
      <c r="F177" s="92">
        <v>144375</v>
      </c>
      <c r="G177" s="92">
        <v>144375</v>
      </c>
    </row>
    <row r="178" spans="1:7">
      <c r="A178" s="33" t="s">
        <v>753</v>
      </c>
      <c r="B178" s="33" t="s">
        <v>54</v>
      </c>
      <c r="C178" s="48" t="s">
        <v>43</v>
      </c>
      <c r="D178" s="33" t="s">
        <v>61</v>
      </c>
      <c r="E178" s="91">
        <v>46273</v>
      </c>
      <c r="F178" s="92">
        <v>144375</v>
      </c>
      <c r="G178" s="92">
        <v>144375</v>
      </c>
    </row>
    <row r="179" spans="1:7">
      <c r="A179" s="33" t="s">
        <v>753</v>
      </c>
      <c r="B179" s="33" t="s">
        <v>54</v>
      </c>
      <c r="C179" s="48" t="s">
        <v>43</v>
      </c>
      <c r="D179" s="33" t="s">
        <v>61</v>
      </c>
      <c r="E179" s="91">
        <v>46454</v>
      </c>
      <c r="F179" s="92">
        <v>144375</v>
      </c>
      <c r="G179" s="92">
        <v>144375</v>
      </c>
    </row>
    <row r="180" spans="1:7">
      <c r="A180" s="33" t="s">
        <v>753</v>
      </c>
      <c r="B180" s="33" t="s">
        <v>54</v>
      </c>
      <c r="C180" s="48" t="s">
        <v>43</v>
      </c>
      <c r="D180" s="33" t="s">
        <v>61</v>
      </c>
      <c r="E180" s="91">
        <v>46638</v>
      </c>
      <c r="F180" s="92">
        <v>144375</v>
      </c>
      <c r="G180" s="92">
        <v>144375</v>
      </c>
    </row>
    <row r="181" spans="1:7">
      <c r="A181" s="33" t="s">
        <v>753</v>
      </c>
      <c r="B181" s="33" t="s">
        <v>54</v>
      </c>
      <c r="C181" s="48" t="s">
        <v>43</v>
      </c>
      <c r="D181" s="33" t="s">
        <v>61</v>
      </c>
      <c r="E181" s="91">
        <v>46820</v>
      </c>
      <c r="F181" s="92">
        <v>144375</v>
      </c>
      <c r="G181" s="92">
        <v>144375</v>
      </c>
    </row>
    <row r="182" spans="1:7">
      <c r="A182" s="33" t="s">
        <v>753</v>
      </c>
      <c r="B182" s="33" t="s">
        <v>54</v>
      </c>
      <c r="C182" s="48" t="s">
        <v>43</v>
      </c>
      <c r="D182" s="33" t="s">
        <v>61</v>
      </c>
      <c r="E182" s="91">
        <v>47004</v>
      </c>
      <c r="F182" s="92">
        <v>144375</v>
      </c>
      <c r="G182" s="92">
        <v>144375</v>
      </c>
    </row>
    <row r="183" spans="1:7">
      <c r="A183" s="33" t="s">
        <v>753</v>
      </c>
      <c r="B183" s="33" t="s">
        <v>54</v>
      </c>
      <c r="C183" s="48" t="s">
        <v>43</v>
      </c>
      <c r="D183" s="33" t="s">
        <v>61</v>
      </c>
      <c r="E183" s="91">
        <v>47185</v>
      </c>
      <c r="F183" s="92">
        <v>144375</v>
      </c>
      <c r="G183" s="92">
        <v>144375</v>
      </c>
    </row>
    <row r="184" spans="1:7">
      <c r="A184" s="33" t="s">
        <v>753</v>
      </c>
      <c r="B184" s="33" t="s">
        <v>54</v>
      </c>
      <c r="C184" s="48" t="s">
        <v>43</v>
      </c>
      <c r="D184" s="33" t="s">
        <v>61</v>
      </c>
      <c r="E184" s="91">
        <v>47369</v>
      </c>
      <c r="F184" s="92">
        <v>144375</v>
      </c>
      <c r="G184" s="92">
        <v>144375</v>
      </c>
    </row>
    <row r="185" spans="1:7">
      <c r="A185" s="33" t="s">
        <v>753</v>
      </c>
      <c r="B185" s="33" t="s">
        <v>54</v>
      </c>
      <c r="C185" s="48" t="s">
        <v>43</v>
      </c>
      <c r="D185" s="33" t="s">
        <v>61</v>
      </c>
      <c r="E185" s="91">
        <v>47550</v>
      </c>
      <c r="F185" s="92">
        <v>144375</v>
      </c>
      <c r="G185" s="92">
        <v>144375</v>
      </c>
    </row>
    <row r="186" spans="1:7">
      <c r="A186" s="33" t="s">
        <v>753</v>
      </c>
      <c r="B186" s="33" t="s">
        <v>54</v>
      </c>
      <c r="C186" s="48" t="s">
        <v>43</v>
      </c>
      <c r="D186" s="33" t="s">
        <v>61</v>
      </c>
      <c r="E186" s="91">
        <v>47734</v>
      </c>
      <c r="F186" s="92">
        <v>144375</v>
      </c>
      <c r="G186" s="92">
        <v>5644375</v>
      </c>
    </row>
    <row r="187" spans="1:7">
      <c r="A187" s="87" t="s">
        <v>118</v>
      </c>
      <c r="B187" s="87" t="s">
        <v>754</v>
      </c>
      <c r="C187" s="88" t="s">
        <v>67</v>
      </c>
      <c r="D187" s="87" t="s">
        <v>61</v>
      </c>
      <c r="E187" s="89">
        <v>45118</v>
      </c>
      <c r="F187" s="90">
        <v>40625</v>
      </c>
      <c r="G187" s="90">
        <v>40625</v>
      </c>
    </row>
    <row r="188" spans="1:7">
      <c r="A188" s="33" t="s">
        <v>755</v>
      </c>
      <c r="B188" s="33" t="s">
        <v>754</v>
      </c>
      <c r="C188" s="48" t="s">
        <v>67</v>
      </c>
      <c r="D188" s="33" t="s">
        <v>61</v>
      </c>
      <c r="E188" s="91">
        <v>45302</v>
      </c>
      <c r="F188" s="92">
        <v>40625</v>
      </c>
      <c r="G188" s="92">
        <v>40625</v>
      </c>
    </row>
    <row r="189" spans="1:7">
      <c r="A189" s="33" t="s">
        <v>755</v>
      </c>
      <c r="B189" s="33" t="s">
        <v>754</v>
      </c>
      <c r="C189" s="48" t="s">
        <v>67</v>
      </c>
      <c r="D189" s="33" t="s">
        <v>61</v>
      </c>
      <c r="E189" s="91">
        <v>45484</v>
      </c>
      <c r="F189" s="92">
        <v>40625</v>
      </c>
      <c r="G189" s="92">
        <v>40625</v>
      </c>
    </row>
    <row r="190" spans="1:7">
      <c r="A190" s="33" t="s">
        <v>755</v>
      </c>
      <c r="B190" s="33" t="s">
        <v>754</v>
      </c>
      <c r="C190" s="48" t="s">
        <v>67</v>
      </c>
      <c r="D190" s="33" t="s">
        <v>61</v>
      </c>
      <c r="E190" s="91">
        <v>45668</v>
      </c>
      <c r="F190" s="92">
        <v>40625</v>
      </c>
      <c r="G190" s="92">
        <v>40625</v>
      </c>
    </row>
    <row r="191" spans="1:7">
      <c r="A191" s="33" t="s">
        <v>755</v>
      </c>
      <c r="B191" s="33" t="s">
        <v>754</v>
      </c>
      <c r="C191" s="48" t="s">
        <v>67</v>
      </c>
      <c r="D191" s="33" t="s">
        <v>61</v>
      </c>
      <c r="E191" s="91">
        <v>45849</v>
      </c>
      <c r="F191" s="92">
        <v>40625</v>
      </c>
      <c r="G191" s="92">
        <v>40625</v>
      </c>
    </row>
    <row r="192" spans="1:7">
      <c r="A192" s="33" t="s">
        <v>755</v>
      </c>
      <c r="B192" s="33" t="s">
        <v>754</v>
      </c>
      <c r="C192" s="48" t="s">
        <v>67</v>
      </c>
      <c r="D192" s="33" t="s">
        <v>61</v>
      </c>
      <c r="E192" s="91">
        <v>46033</v>
      </c>
      <c r="F192" s="92">
        <v>40625</v>
      </c>
      <c r="G192" s="92">
        <v>40625</v>
      </c>
    </row>
    <row r="193" spans="1:7">
      <c r="A193" s="33" t="s">
        <v>755</v>
      </c>
      <c r="B193" s="33" t="s">
        <v>754</v>
      </c>
      <c r="C193" s="48" t="s">
        <v>67</v>
      </c>
      <c r="D193" s="33" t="s">
        <v>61</v>
      </c>
      <c r="E193" s="91">
        <v>46214</v>
      </c>
      <c r="F193" s="92">
        <v>40625</v>
      </c>
      <c r="G193" s="92">
        <v>40625</v>
      </c>
    </row>
    <row r="194" spans="1:7">
      <c r="A194" s="33" t="s">
        <v>755</v>
      </c>
      <c r="B194" s="33" t="s">
        <v>754</v>
      </c>
      <c r="C194" s="48" t="s">
        <v>67</v>
      </c>
      <c r="D194" s="33" t="s">
        <v>61</v>
      </c>
      <c r="E194" s="91">
        <v>46398</v>
      </c>
      <c r="F194" s="92">
        <v>40625</v>
      </c>
      <c r="G194" s="92">
        <v>40625</v>
      </c>
    </row>
    <row r="195" spans="1:7">
      <c r="A195" s="33" t="s">
        <v>755</v>
      </c>
      <c r="B195" s="33" t="s">
        <v>754</v>
      </c>
      <c r="C195" s="48" t="s">
        <v>67</v>
      </c>
      <c r="D195" s="33" t="s">
        <v>61</v>
      </c>
      <c r="E195" s="91">
        <v>46579</v>
      </c>
      <c r="F195" s="92">
        <v>40625</v>
      </c>
      <c r="G195" s="92">
        <v>40625</v>
      </c>
    </row>
    <row r="196" spans="1:7">
      <c r="A196" s="33" t="s">
        <v>755</v>
      </c>
      <c r="B196" s="33" t="s">
        <v>754</v>
      </c>
      <c r="C196" s="48" t="s">
        <v>67</v>
      </c>
      <c r="D196" s="33" t="s">
        <v>61</v>
      </c>
      <c r="E196" s="91">
        <v>46763</v>
      </c>
      <c r="F196" s="92">
        <v>40625</v>
      </c>
      <c r="G196" s="92">
        <v>2540625</v>
      </c>
    </row>
    <row r="197" spans="1:7">
      <c r="A197" s="87" t="s">
        <v>118</v>
      </c>
      <c r="B197" s="87" t="s">
        <v>119</v>
      </c>
      <c r="C197" s="88" t="s">
        <v>67</v>
      </c>
      <c r="D197" s="87" t="s">
        <v>61</v>
      </c>
      <c r="E197" s="89">
        <v>45118</v>
      </c>
      <c r="F197" s="90">
        <v>19500</v>
      </c>
      <c r="G197" s="90">
        <v>19500</v>
      </c>
    </row>
    <row r="198" spans="1:7">
      <c r="A198" s="33" t="s">
        <v>755</v>
      </c>
      <c r="B198" s="33" t="s">
        <v>119</v>
      </c>
      <c r="C198" s="33" t="s">
        <v>35</v>
      </c>
      <c r="D198" s="36" t="s">
        <v>61</v>
      </c>
      <c r="E198" s="93">
        <v>45302</v>
      </c>
      <c r="F198" s="94">
        <v>19500</v>
      </c>
      <c r="G198" s="94">
        <v>19500</v>
      </c>
    </row>
    <row r="199" spans="1:7">
      <c r="A199" s="33" t="s">
        <v>755</v>
      </c>
      <c r="B199" s="33" t="s">
        <v>119</v>
      </c>
      <c r="C199" s="33" t="s">
        <v>35</v>
      </c>
      <c r="D199" s="36" t="s">
        <v>61</v>
      </c>
      <c r="E199" s="93">
        <v>45484</v>
      </c>
      <c r="F199" s="94">
        <v>19500</v>
      </c>
      <c r="G199" s="94">
        <v>19500</v>
      </c>
    </row>
    <row r="200" spans="1:7">
      <c r="A200" s="33" t="s">
        <v>755</v>
      </c>
      <c r="B200" s="33" t="s">
        <v>119</v>
      </c>
      <c r="C200" s="33" t="s">
        <v>35</v>
      </c>
      <c r="D200" s="36" t="s">
        <v>61</v>
      </c>
      <c r="E200" s="93">
        <v>45668</v>
      </c>
      <c r="F200" s="94">
        <v>19500</v>
      </c>
      <c r="G200" s="94">
        <v>19500</v>
      </c>
    </row>
    <row r="201" spans="1:7">
      <c r="A201" s="33" t="s">
        <v>755</v>
      </c>
      <c r="B201" s="33" t="s">
        <v>119</v>
      </c>
      <c r="C201" s="33" t="s">
        <v>35</v>
      </c>
      <c r="D201" s="36" t="s">
        <v>61</v>
      </c>
      <c r="E201" s="93">
        <v>45849</v>
      </c>
      <c r="F201" s="94">
        <v>19500</v>
      </c>
      <c r="G201" s="94">
        <v>19500</v>
      </c>
    </row>
    <row r="202" spans="1:7">
      <c r="A202" s="33" t="s">
        <v>755</v>
      </c>
      <c r="B202" s="33" t="s">
        <v>119</v>
      </c>
      <c r="C202" s="33" t="s">
        <v>35</v>
      </c>
      <c r="D202" s="36" t="s">
        <v>61</v>
      </c>
      <c r="E202" s="93">
        <v>46033</v>
      </c>
      <c r="F202" s="94">
        <v>19500</v>
      </c>
      <c r="G202" s="94">
        <v>19500</v>
      </c>
    </row>
    <row r="203" spans="1:7">
      <c r="A203" s="33" t="s">
        <v>755</v>
      </c>
      <c r="B203" s="33" t="s">
        <v>119</v>
      </c>
      <c r="C203" s="33" t="s">
        <v>35</v>
      </c>
      <c r="D203" s="36" t="s">
        <v>61</v>
      </c>
      <c r="E203" s="93">
        <v>46214</v>
      </c>
      <c r="F203" s="94">
        <v>19500</v>
      </c>
      <c r="G203" s="94">
        <v>19500</v>
      </c>
    </row>
    <row r="204" spans="1:7">
      <c r="A204" s="33" t="s">
        <v>755</v>
      </c>
      <c r="B204" s="33" t="s">
        <v>119</v>
      </c>
      <c r="C204" s="33" t="s">
        <v>35</v>
      </c>
      <c r="D204" s="36" t="s">
        <v>61</v>
      </c>
      <c r="E204" s="93">
        <v>46398</v>
      </c>
      <c r="F204" s="94">
        <v>19500</v>
      </c>
      <c r="G204" s="94">
        <v>19500</v>
      </c>
    </row>
    <row r="205" spans="1:7">
      <c r="A205" s="33" t="s">
        <v>755</v>
      </c>
      <c r="B205" s="33" t="s">
        <v>119</v>
      </c>
      <c r="C205" s="33" t="s">
        <v>35</v>
      </c>
      <c r="D205" s="36" t="s">
        <v>61</v>
      </c>
      <c r="E205" s="93">
        <v>46579</v>
      </c>
      <c r="F205" s="94">
        <v>19500</v>
      </c>
      <c r="G205" s="94">
        <v>19500</v>
      </c>
    </row>
    <row r="206" spans="1:7">
      <c r="A206" s="33" t="s">
        <v>755</v>
      </c>
      <c r="B206" s="33" t="s">
        <v>119</v>
      </c>
      <c r="C206" s="33" t="s">
        <v>35</v>
      </c>
      <c r="D206" s="36" t="s">
        <v>61</v>
      </c>
      <c r="E206" s="93">
        <v>46763</v>
      </c>
      <c r="F206" s="94">
        <v>19500</v>
      </c>
      <c r="G206" s="94">
        <v>1219500</v>
      </c>
    </row>
    <row r="207" spans="1:7">
      <c r="A207" s="87" t="s">
        <v>124</v>
      </c>
      <c r="B207" s="87" t="s">
        <v>54</v>
      </c>
      <c r="C207" s="88" t="s">
        <v>67</v>
      </c>
      <c r="D207" s="87" t="s">
        <v>61</v>
      </c>
      <c r="E207" s="89">
        <v>45125</v>
      </c>
      <c r="F207" s="90">
        <v>230625</v>
      </c>
      <c r="G207" s="90">
        <v>230625</v>
      </c>
    </row>
    <row r="208" spans="1:7">
      <c r="A208" s="33" t="s">
        <v>124</v>
      </c>
      <c r="B208" s="33" t="s">
        <v>54</v>
      </c>
      <c r="C208" s="33" t="s">
        <v>35</v>
      </c>
      <c r="D208" s="36" t="s">
        <v>61</v>
      </c>
      <c r="E208" s="93">
        <v>45309</v>
      </c>
      <c r="F208" s="94">
        <v>230625</v>
      </c>
      <c r="G208" s="94">
        <v>230625</v>
      </c>
    </row>
    <row r="209" spans="1:7">
      <c r="A209" s="33" t="s">
        <v>124</v>
      </c>
      <c r="B209" s="33" t="s">
        <v>54</v>
      </c>
      <c r="C209" s="33" t="s">
        <v>35</v>
      </c>
      <c r="D209" s="36" t="s">
        <v>61</v>
      </c>
      <c r="E209" s="93">
        <v>45491</v>
      </c>
      <c r="F209" s="94">
        <v>230625</v>
      </c>
      <c r="G209" s="94">
        <v>230625</v>
      </c>
    </row>
    <row r="210" spans="1:7">
      <c r="A210" s="33" t="s">
        <v>124</v>
      </c>
      <c r="B210" s="33" t="s">
        <v>54</v>
      </c>
      <c r="C210" s="33" t="s">
        <v>35</v>
      </c>
      <c r="D210" s="36" t="s">
        <v>61</v>
      </c>
      <c r="E210" s="93">
        <v>45675</v>
      </c>
      <c r="F210" s="94">
        <v>230625</v>
      </c>
      <c r="G210" s="94">
        <v>230625</v>
      </c>
    </row>
    <row r="211" spans="1:7">
      <c r="A211" s="33" t="s">
        <v>124</v>
      </c>
      <c r="B211" s="33" t="s">
        <v>54</v>
      </c>
      <c r="C211" s="33" t="s">
        <v>35</v>
      </c>
      <c r="D211" s="36" t="s">
        <v>61</v>
      </c>
      <c r="E211" s="93">
        <v>45856</v>
      </c>
      <c r="F211" s="94">
        <v>230625</v>
      </c>
      <c r="G211" s="94">
        <v>230625</v>
      </c>
    </row>
    <row r="212" spans="1:7">
      <c r="A212" s="33" t="s">
        <v>124</v>
      </c>
      <c r="B212" s="33" t="s">
        <v>54</v>
      </c>
      <c r="C212" s="33" t="s">
        <v>35</v>
      </c>
      <c r="D212" s="36" t="s">
        <v>61</v>
      </c>
      <c r="E212" s="93">
        <v>46040</v>
      </c>
      <c r="F212" s="94">
        <v>230625</v>
      </c>
      <c r="G212" s="94">
        <v>230625</v>
      </c>
    </row>
    <row r="213" spans="1:7">
      <c r="A213" s="33" t="s">
        <v>124</v>
      </c>
      <c r="B213" s="33" t="s">
        <v>54</v>
      </c>
      <c r="C213" s="33" t="s">
        <v>35</v>
      </c>
      <c r="D213" s="36" t="s">
        <v>61</v>
      </c>
      <c r="E213" s="93">
        <v>46221</v>
      </c>
      <c r="F213" s="94">
        <v>230625</v>
      </c>
      <c r="G213" s="94">
        <v>230625</v>
      </c>
    </row>
    <row r="214" spans="1:7">
      <c r="A214" s="33" t="s">
        <v>124</v>
      </c>
      <c r="B214" s="33" t="s">
        <v>54</v>
      </c>
      <c r="C214" s="33" t="s">
        <v>35</v>
      </c>
      <c r="D214" s="36" t="s">
        <v>61</v>
      </c>
      <c r="E214" s="93">
        <v>46405</v>
      </c>
      <c r="F214" s="94">
        <v>230625</v>
      </c>
      <c r="G214" s="94">
        <v>230625</v>
      </c>
    </row>
    <row r="215" spans="1:7">
      <c r="A215" s="33" t="s">
        <v>124</v>
      </c>
      <c r="B215" s="33" t="s">
        <v>54</v>
      </c>
      <c r="C215" s="33" t="s">
        <v>35</v>
      </c>
      <c r="D215" s="36" t="s">
        <v>61</v>
      </c>
      <c r="E215" s="93">
        <v>46586</v>
      </c>
      <c r="F215" s="94">
        <v>230625</v>
      </c>
      <c r="G215" s="94">
        <v>230625</v>
      </c>
    </row>
    <row r="216" spans="1:7">
      <c r="A216" s="33" t="s">
        <v>124</v>
      </c>
      <c r="B216" s="33" t="s">
        <v>54</v>
      </c>
      <c r="C216" s="33" t="s">
        <v>35</v>
      </c>
      <c r="D216" s="36" t="s">
        <v>61</v>
      </c>
      <c r="E216" s="93">
        <v>46770</v>
      </c>
      <c r="F216" s="94">
        <v>230625</v>
      </c>
      <c r="G216" s="94">
        <v>9230625</v>
      </c>
    </row>
    <row r="217" spans="1:7">
      <c r="A217" s="87" t="s">
        <v>124</v>
      </c>
      <c r="B217" s="87" t="s">
        <v>101</v>
      </c>
      <c r="C217" s="88" t="s">
        <v>67</v>
      </c>
      <c r="D217" s="87" t="s">
        <v>61</v>
      </c>
      <c r="E217" s="89">
        <v>45125</v>
      </c>
      <c r="F217" s="90">
        <v>76875</v>
      </c>
      <c r="G217" s="90">
        <v>76875</v>
      </c>
    </row>
    <row r="218" spans="1:7">
      <c r="A218" s="33" t="s">
        <v>124</v>
      </c>
      <c r="B218" s="33" t="s">
        <v>101</v>
      </c>
      <c r="C218" s="33" t="s">
        <v>35</v>
      </c>
      <c r="D218" s="36" t="s">
        <v>61</v>
      </c>
      <c r="E218" s="93">
        <v>45309</v>
      </c>
      <c r="F218" s="92">
        <v>76875</v>
      </c>
      <c r="G218" s="92">
        <v>76875</v>
      </c>
    </row>
    <row r="219" spans="1:7">
      <c r="A219" s="33" t="s">
        <v>124</v>
      </c>
      <c r="B219" s="33" t="s">
        <v>101</v>
      </c>
      <c r="C219" s="33" t="s">
        <v>35</v>
      </c>
      <c r="D219" s="36" t="s">
        <v>61</v>
      </c>
      <c r="E219" s="93">
        <v>45491</v>
      </c>
      <c r="F219" s="92">
        <v>76875</v>
      </c>
      <c r="G219" s="92">
        <v>76875</v>
      </c>
    </row>
    <row r="220" spans="1:7">
      <c r="A220" s="33" t="s">
        <v>124</v>
      </c>
      <c r="B220" s="33" t="s">
        <v>101</v>
      </c>
      <c r="C220" s="33" t="s">
        <v>35</v>
      </c>
      <c r="D220" s="36" t="s">
        <v>61</v>
      </c>
      <c r="E220" s="93">
        <v>45675</v>
      </c>
      <c r="F220" s="92">
        <v>76875</v>
      </c>
      <c r="G220" s="92">
        <v>76875</v>
      </c>
    </row>
    <row r="221" spans="1:7">
      <c r="A221" s="33" t="s">
        <v>124</v>
      </c>
      <c r="B221" s="33" t="s">
        <v>101</v>
      </c>
      <c r="C221" s="33" t="s">
        <v>35</v>
      </c>
      <c r="D221" s="36" t="s">
        <v>61</v>
      </c>
      <c r="E221" s="93">
        <v>45856</v>
      </c>
      <c r="F221" s="92">
        <v>76875</v>
      </c>
      <c r="G221" s="92">
        <v>76875</v>
      </c>
    </row>
    <row r="222" spans="1:7">
      <c r="A222" s="33" t="s">
        <v>124</v>
      </c>
      <c r="B222" s="33" t="s">
        <v>101</v>
      </c>
      <c r="C222" s="33" t="s">
        <v>35</v>
      </c>
      <c r="D222" s="36" t="s">
        <v>61</v>
      </c>
      <c r="E222" s="93">
        <v>46040</v>
      </c>
      <c r="F222" s="92">
        <v>76875</v>
      </c>
      <c r="G222" s="92">
        <v>76875</v>
      </c>
    </row>
    <row r="223" spans="1:7">
      <c r="A223" s="33" t="s">
        <v>124</v>
      </c>
      <c r="B223" s="33" t="s">
        <v>101</v>
      </c>
      <c r="C223" s="33" t="s">
        <v>35</v>
      </c>
      <c r="D223" s="36" t="s">
        <v>61</v>
      </c>
      <c r="E223" s="93">
        <v>46221</v>
      </c>
      <c r="F223" s="92">
        <v>76875</v>
      </c>
      <c r="G223" s="92">
        <v>76875</v>
      </c>
    </row>
    <row r="224" spans="1:7">
      <c r="A224" s="33" t="s">
        <v>124</v>
      </c>
      <c r="B224" s="33" t="s">
        <v>101</v>
      </c>
      <c r="C224" s="33" t="s">
        <v>35</v>
      </c>
      <c r="D224" s="36" t="s">
        <v>61</v>
      </c>
      <c r="E224" s="93">
        <v>46405</v>
      </c>
      <c r="F224" s="92">
        <v>76875</v>
      </c>
      <c r="G224" s="92">
        <v>76875</v>
      </c>
    </row>
    <row r="225" spans="1:7">
      <c r="A225" s="33" t="s">
        <v>124</v>
      </c>
      <c r="B225" s="33" t="s">
        <v>101</v>
      </c>
      <c r="C225" s="33" t="s">
        <v>35</v>
      </c>
      <c r="D225" s="36" t="s">
        <v>61</v>
      </c>
      <c r="E225" s="93">
        <v>46586</v>
      </c>
      <c r="F225" s="92">
        <v>76875</v>
      </c>
      <c r="G225" s="92">
        <v>76875</v>
      </c>
    </row>
    <row r="226" spans="1:7">
      <c r="A226" s="33" t="s">
        <v>124</v>
      </c>
      <c r="B226" s="33" t="s">
        <v>101</v>
      </c>
      <c r="C226" s="33" t="s">
        <v>35</v>
      </c>
      <c r="D226" s="36" t="s">
        <v>61</v>
      </c>
      <c r="E226" s="93">
        <v>46770</v>
      </c>
      <c r="F226" s="92">
        <v>76875</v>
      </c>
      <c r="G226" s="92">
        <v>3076875</v>
      </c>
    </row>
    <row r="227" spans="1:7">
      <c r="A227" s="87" t="s">
        <v>292</v>
      </c>
      <c r="B227" s="87" t="s">
        <v>77</v>
      </c>
      <c r="C227" s="88" t="s">
        <v>67</v>
      </c>
      <c r="D227" s="87" t="s">
        <v>61</v>
      </c>
      <c r="E227" s="89">
        <v>45455</v>
      </c>
      <c r="F227" s="90">
        <v>106700</v>
      </c>
      <c r="G227" s="90">
        <v>106700</v>
      </c>
    </row>
    <row r="228" spans="1:7">
      <c r="A228" s="33" t="s">
        <v>292</v>
      </c>
      <c r="B228" s="33" t="s">
        <v>77</v>
      </c>
      <c r="C228" s="33" t="s">
        <v>35</v>
      </c>
      <c r="D228" s="36" t="s">
        <v>61</v>
      </c>
      <c r="E228" s="93">
        <v>45638</v>
      </c>
      <c r="F228" s="94">
        <v>106700</v>
      </c>
      <c r="G228" s="94">
        <v>106700</v>
      </c>
    </row>
    <row r="229" spans="1:7">
      <c r="A229" s="33" t="s">
        <v>756</v>
      </c>
      <c r="B229" s="33" t="s">
        <v>77</v>
      </c>
      <c r="C229" s="33" t="s">
        <v>35</v>
      </c>
      <c r="D229" s="36" t="s">
        <v>61</v>
      </c>
      <c r="E229" s="91">
        <v>45820</v>
      </c>
      <c r="F229" s="94">
        <v>106700</v>
      </c>
      <c r="G229" s="94">
        <v>106700</v>
      </c>
    </row>
    <row r="230" spans="1:7">
      <c r="A230" s="33" t="s">
        <v>756</v>
      </c>
      <c r="B230" s="33" t="s">
        <v>77</v>
      </c>
      <c r="C230" s="33" t="s">
        <v>35</v>
      </c>
      <c r="D230" s="36" t="s">
        <v>61</v>
      </c>
      <c r="E230" s="93">
        <v>46003</v>
      </c>
      <c r="F230" s="94">
        <v>106700</v>
      </c>
      <c r="G230" s="94">
        <v>106700</v>
      </c>
    </row>
    <row r="231" spans="1:7">
      <c r="A231" s="33" t="s">
        <v>756</v>
      </c>
      <c r="B231" s="33" t="s">
        <v>77</v>
      </c>
      <c r="C231" s="33" t="s">
        <v>35</v>
      </c>
      <c r="D231" s="36" t="s">
        <v>61</v>
      </c>
      <c r="E231" s="91">
        <v>46185</v>
      </c>
      <c r="F231" s="94">
        <v>106700</v>
      </c>
      <c r="G231" s="94">
        <v>106700</v>
      </c>
    </row>
    <row r="232" spans="1:7">
      <c r="A232" s="33" t="s">
        <v>756</v>
      </c>
      <c r="B232" s="33" t="s">
        <v>77</v>
      </c>
      <c r="C232" s="33" t="s">
        <v>35</v>
      </c>
      <c r="D232" s="36" t="s">
        <v>61</v>
      </c>
      <c r="E232" s="93">
        <v>46368</v>
      </c>
      <c r="F232" s="94">
        <v>106700</v>
      </c>
      <c r="G232" s="94">
        <v>106700</v>
      </c>
    </row>
    <row r="233" spans="1:7">
      <c r="A233" s="33" t="s">
        <v>756</v>
      </c>
      <c r="B233" s="33" t="s">
        <v>77</v>
      </c>
      <c r="C233" s="33" t="s">
        <v>35</v>
      </c>
      <c r="D233" s="36" t="s">
        <v>61</v>
      </c>
      <c r="E233" s="91">
        <v>46550</v>
      </c>
      <c r="F233" s="94">
        <v>106700</v>
      </c>
      <c r="G233" s="94">
        <v>106700</v>
      </c>
    </row>
    <row r="234" spans="1:7">
      <c r="A234" s="33" t="s">
        <v>756</v>
      </c>
      <c r="B234" s="33" t="s">
        <v>77</v>
      </c>
      <c r="C234" s="33" t="s">
        <v>35</v>
      </c>
      <c r="D234" s="36" t="s">
        <v>61</v>
      </c>
      <c r="E234" s="93">
        <v>46733</v>
      </c>
      <c r="F234" s="94">
        <v>106700</v>
      </c>
      <c r="G234" s="94">
        <v>106700</v>
      </c>
    </row>
    <row r="235" spans="1:7">
      <c r="A235" s="33" t="s">
        <v>756</v>
      </c>
      <c r="B235" s="33" t="s">
        <v>77</v>
      </c>
      <c r="C235" s="33" t="s">
        <v>35</v>
      </c>
      <c r="D235" s="36" t="s">
        <v>61</v>
      </c>
      <c r="E235" s="91">
        <v>46916</v>
      </c>
      <c r="F235" s="94">
        <v>106700</v>
      </c>
      <c r="G235" s="94">
        <v>106700</v>
      </c>
    </row>
    <row r="236" spans="1:7">
      <c r="A236" s="33" t="s">
        <v>756</v>
      </c>
      <c r="B236" s="33" t="s">
        <v>77</v>
      </c>
      <c r="C236" s="33" t="s">
        <v>35</v>
      </c>
      <c r="D236" s="36" t="s">
        <v>61</v>
      </c>
      <c r="E236" s="93">
        <v>47099</v>
      </c>
      <c r="F236" s="94">
        <v>106700</v>
      </c>
      <c r="G236" s="94">
        <v>106700</v>
      </c>
    </row>
    <row r="237" spans="1:7">
      <c r="A237" s="33" t="s">
        <v>756</v>
      </c>
      <c r="B237" s="33" t="s">
        <v>77</v>
      </c>
      <c r="C237" s="33" t="s">
        <v>35</v>
      </c>
      <c r="D237" s="36" t="s">
        <v>61</v>
      </c>
      <c r="E237" s="91">
        <v>47281</v>
      </c>
      <c r="F237" s="94">
        <v>106700</v>
      </c>
      <c r="G237" s="94">
        <v>4106700</v>
      </c>
    </row>
    <row r="238" spans="1:7">
      <c r="A238" s="87" t="s">
        <v>292</v>
      </c>
      <c r="B238" s="87" t="s">
        <v>223</v>
      </c>
      <c r="C238" s="88" t="s">
        <v>67</v>
      </c>
      <c r="D238" s="87" t="s">
        <v>61</v>
      </c>
      <c r="E238" s="89">
        <v>45455</v>
      </c>
      <c r="F238" s="90">
        <v>18139</v>
      </c>
      <c r="G238" s="90">
        <v>18139</v>
      </c>
    </row>
    <row r="239" spans="1:7">
      <c r="A239" s="33" t="s">
        <v>292</v>
      </c>
      <c r="B239" s="33" t="s">
        <v>223</v>
      </c>
      <c r="C239" s="48" t="s">
        <v>67</v>
      </c>
      <c r="D239" s="33" t="s">
        <v>61</v>
      </c>
      <c r="E239" s="93">
        <v>45638</v>
      </c>
      <c r="F239" s="92">
        <v>18139</v>
      </c>
      <c r="G239" s="92">
        <v>18139</v>
      </c>
    </row>
    <row r="240" spans="1:7">
      <c r="A240" s="33" t="s">
        <v>756</v>
      </c>
      <c r="B240" s="33" t="s">
        <v>223</v>
      </c>
      <c r="C240" s="48" t="s">
        <v>67</v>
      </c>
      <c r="D240" s="33" t="s">
        <v>61</v>
      </c>
      <c r="E240" s="91">
        <v>45820</v>
      </c>
      <c r="F240" s="92">
        <v>18139</v>
      </c>
      <c r="G240" s="92">
        <v>18139</v>
      </c>
    </row>
    <row r="241" spans="1:7">
      <c r="A241" s="33" t="s">
        <v>756</v>
      </c>
      <c r="B241" s="33" t="s">
        <v>223</v>
      </c>
      <c r="C241" s="48" t="s">
        <v>67</v>
      </c>
      <c r="D241" s="33" t="s">
        <v>61</v>
      </c>
      <c r="E241" s="93">
        <v>46003</v>
      </c>
      <c r="F241" s="92">
        <v>18139</v>
      </c>
      <c r="G241" s="92">
        <v>18139</v>
      </c>
    </row>
    <row r="242" spans="1:7">
      <c r="A242" s="33" t="s">
        <v>756</v>
      </c>
      <c r="B242" s="33" t="s">
        <v>223</v>
      </c>
      <c r="C242" s="48" t="s">
        <v>67</v>
      </c>
      <c r="D242" s="33" t="s">
        <v>61</v>
      </c>
      <c r="E242" s="91">
        <v>46185</v>
      </c>
      <c r="F242" s="92">
        <v>18139</v>
      </c>
      <c r="G242" s="92">
        <v>18139</v>
      </c>
    </row>
    <row r="243" spans="1:7">
      <c r="A243" s="33" t="s">
        <v>756</v>
      </c>
      <c r="B243" s="33" t="s">
        <v>223</v>
      </c>
      <c r="C243" s="48" t="s">
        <v>67</v>
      </c>
      <c r="D243" s="33" t="s">
        <v>61</v>
      </c>
      <c r="E243" s="93">
        <v>46368</v>
      </c>
      <c r="F243" s="92">
        <v>18139</v>
      </c>
      <c r="G243" s="92">
        <v>18139</v>
      </c>
    </row>
    <row r="244" spans="1:7">
      <c r="A244" s="33" t="s">
        <v>756</v>
      </c>
      <c r="B244" s="33" t="s">
        <v>223</v>
      </c>
      <c r="C244" s="48" t="s">
        <v>67</v>
      </c>
      <c r="D244" s="33" t="s">
        <v>61</v>
      </c>
      <c r="E244" s="91">
        <v>46550</v>
      </c>
      <c r="F244" s="92">
        <v>18139</v>
      </c>
      <c r="G244" s="92">
        <v>18139</v>
      </c>
    </row>
    <row r="245" spans="1:7">
      <c r="A245" s="33" t="s">
        <v>756</v>
      </c>
      <c r="B245" s="33" t="s">
        <v>223</v>
      </c>
      <c r="C245" s="48" t="s">
        <v>67</v>
      </c>
      <c r="D245" s="33" t="s">
        <v>61</v>
      </c>
      <c r="E245" s="93">
        <v>46733</v>
      </c>
      <c r="F245" s="92">
        <v>18139</v>
      </c>
      <c r="G245" s="92">
        <v>18139</v>
      </c>
    </row>
    <row r="246" spans="1:7">
      <c r="A246" s="33" t="s">
        <v>756</v>
      </c>
      <c r="B246" s="33" t="s">
        <v>223</v>
      </c>
      <c r="C246" s="48" t="s">
        <v>67</v>
      </c>
      <c r="D246" s="33" t="s">
        <v>61</v>
      </c>
      <c r="E246" s="91">
        <v>46916</v>
      </c>
      <c r="F246" s="92">
        <v>18139</v>
      </c>
      <c r="G246" s="92">
        <v>18139</v>
      </c>
    </row>
    <row r="247" spans="1:7">
      <c r="A247" s="33" t="s">
        <v>756</v>
      </c>
      <c r="B247" s="33" t="s">
        <v>223</v>
      </c>
      <c r="C247" s="48" t="s">
        <v>67</v>
      </c>
      <c r="D247" s="33" t="s">
        <v>61</v>
      </c>
      <c r="E247" s="93">
        <v>47099</v>
      </c>
      <c r="F247" s="92">
        <v>18139</v>
      </c>
      <c r="G247" s="92">
        <v>18139</v>
      </c>
    </row>
    <row r="248" spans="1:7">
      <c r="A248" s="33" t="s">
        <v>756</v>
      </c>
      <c r="B248" s="33" t="s">
        <v>223</v>
      </c>
      <c r="C248" s="48" t="s">
        <v>67</v>
      </c>
      <c r="D248" s="33" t="s">
        <v>61</v>
      </c>
      <c r="E248" s="91">
        <v>47281</v>
      </c>
      <c r="F248" s="92">
        <v>18139</v>
      </c>
      <c r="G248" s="92">
        <v>698139</v>
      </c>
    </row>
    <row r="249" spans="1:7">
      <c r="A249" s="87" t="s">
        <v>292</v>
      </c>
      <c r="B249" s="87" t="s">
        <v>223</v>
      </c>
      <c r="C249" s="88" t="s">
        <v>67</v>
      </c>
      <c r="D249" s="87" t="s">
        <v>61</v>
      </c>
      <c r="E249" s="89">
        <v>45455</v>
      </c>
      <c r="F249" s="90">
        <v>38678.75</v>
      </c>
      <c r="G249" s="90">
        <v>38678.75</v>
      </c>
    </row>
    <row r="250" spans="1:7">
      <c r="A250" s="33" t="s">
        <v>292</v>
      </c>
      <c r="B250" s="33" t="s">
        <v>223</v>
      </c>
      <c r="C250" s="33" t="s">
        <v>35</v>
      </c>
      <c r="D250" s="36" t="s">
        <v>61</v>
      </c>
      <c r="E250" s="93">
        <v>45638</v>
      </c>
      <c r="F250" s="92">
        <v>38678.75</v>
      </c>
      <c r="G250" s="92">
        <v>38678.75</v>
      </c>
    </row>
    <row r="251" spans="1:7">
      <c r="A251" s="33" t="s">
        <v>756</v>
      </c>
      <c r="B251" s="33" t="s">
        <v>223</v>
      </c>
      <c r="C251" s="33" t="s">
        <v>35</v>
      </c>
      <c r="D251" s="36" t="s">
        <v>61</v>
      </c>
      <c r="E251" s="91">
        <v>45820</v>
      </c>
      <c r="F251" s="94">
        <v>38678.75</v>
      </c>
      <c r="G251" s="94">
        <v>38678.75</v>
      </c>
    </row>
    <row r="252" spans="1:7">
      <c r="A252" s="33" t="s">
        <v>756</v>
      </c>
      <c r="B252" s="33" t="s">
        <v>223</v>
      </c>
      <c r="C252" s="33" t="s">
        <v>35</v>
      </c>
      <c r="D252" s="36" t="s">
        <v>61</v>
      </c>
      <c r="E252" s="93">
        <v>46003</v>
      </c>
      <c r="F252" s="94">
        <v>38678.75</v>
      </c>
      <c r="G252" s="94">
        <v>38678.75</v>
      </c>
    </row>
    <row r="253" spans="1:7">
      <c r="A253" s="33" t="s">
        <v>756</v>
      </c>
      <c r="B253" s="33" t="s">
        <v>223</v>
      </c>
      <c r="C253" s="33" t="s">
        <v>35</v>
      </c>
      <c r="D253" s="36" t="s">
        <v>61</v>
      </c>
      <c r="E253" s="91">
        <v>46185</v>
      </c>
      <c r="F253" s="94">
        <v>38678.75</v>
      </c>
      <c r="G253" s="94">
        <v>38678.75</v>
      </c>
    </row>
    <row r="254" spans="1:7">
      <c r="A254" s="33" t="s">
        <v>756</v>
      </c>
      <c r="B254" s="33" t="s">
        <v>223</v>
      </c>
      <c r="C254" s="33" t="s">
        <v>35</v>
      </c>
      <c r="D254" s="36" t="s">
        <v>61</v>
      </c>
      <c r="E254" s="93">
        <v>46368</v>
      </c>
      <c r="F254" s="94">
        <v>38678.75</v>
      </c>
      <c r="G254" s="94">
        <v>38678.75</v>
      </c>
    </row>
    <row r="255" spans="1:7">
      <c r="A255" s="33" t="s">
        <v>756</v>
      </c>
      <c r="B255" s="33" t="s">
        <v>223</v>
      </c>
      <c r="C255" s="33" t="s">
        <v>35</v>
      </c>
      <c r="D255" s="36" t="s">
        <v>61</v>
      </c>
      <c r="E255" s="91">
        <v>46550</v>
      </c>
      <c r="F255" s="94">
        <v>38678.75</v>
      </c>
      <c r="G255" s="94">
        <v>38678.75</v>
      </c>
    </row>
    <row r="256" spans="1:7">
      <c r="A256" s="33" t="s">
        <v>756</v>
      </c>
      <c r="B256" s="33" t="s">
        <v>223</v>
      </c>
      <c r="C256" s="33" t="s">
        <v>35</v>
      </c>
      <c r="D256" s="36" t="s">
        <v>61</v>
      </c>
      <c r="E256" s="93">
        <v>46733</v>
      </c>
      <c r="F256" s="94">
        <v>38678.75</v>
      </c>
      <c r="G256" s="94">
        <v>38678.75</v>
      </c>
    </row>
    <row r="257" spans="1:7">
      <c r="A257" s="33" t="s">
        <v>756</v>
      </c>
      <c r="B257" s="33" t="s">
        <v>223</v>
      </c>
      <c r="C257" s="33" t="s">
        <v>35</v>
      </c>
      <c r="D257" s="36" t="s">
        <v>61</v>
      </c>
      <c r="E257" s="91">
        <v>46916</v>
      </c>
      <c r="F257" s="94">
        <v>38678.75</v>
      </c>
      <c r="G257" s="94">
        <v>38678.75</v>
      </c>
    </row>
    <row r="258" spans="1:7">
      <c r="A258" s="33" t="s">
        <v>756</v>
      </c>
      <c r="B258" s="33" t="s">
        <v>223</v>
      </c>
      <c r="C258" s="33" t="s">
        <v>35</v>
      </c>
      <c r="D258" s="36" t="s">
        <v>61</v>
      </c>
      <c r="E258" s="93">
        <v>47099</v>
      </c>
      <c r="F258" s="94">
        <v>38678.75</v>
      </c>
      <c r="G258" s="94">
        <v>38678.75</v>
      </c>
    </row>
    <row r="259" spans="1:7">
      <c r="A259" s="33" t="s">
        <v>756</v>
      </c>
      <c r="B259" s="33" t="s">
        <v>223</v>
      </c>
      <c r="C259" s="33" t="s">
        <v>35</v>
      </c>
      <c r="D259" s="36" t="s">
        <v>61</v>
      </c>
      <c r="E259" s="91">
        <v>47281</v>
      </c>
      <c r="F259" s="94">
        <v>38678.75</v>
      </c>
      <c r="G259" s="94">
        <v>1488678.75</v>
      </c>
    </row>
    <row r="260" spans="1:7">
      <c r="A260" s="87" t="s">
        <v>180</v>
      </c>
      <c r="B260" s="87" t="s">
        <v>54</v>
      </c>
      <c r="C260" s="88" t="s">
        <v>67</v>
      </c>
      <c r="D260" s="87" t="s">
        <v>61</v>
      </c>
      <c r="E260" s="89">
        <v>45512</v>
      </c>
      <c r="F260" s="90">
        <v>33528</v>
      </c>
      <c r="G260" s="90">
        <v>33528</v>
      </c>
    </row>
    <row r="261" spans="1:7">
      <c r="A261" s="33" t="s">
        <v>180</v>
      </c>
      <c r="B261" s="33" t="s">
        <v>54</v>
      </c>
      <c r="C261" s="48" t="s">
        <v>67</v>
      </c>
      <c r="D261" s="33" t="s">
        <v>61</v>
      </c>
      <c r="E261" s="91">
        <v>45696</v>
      </c>
      <c r="F261" s="92">
        <v>33528</v>
      </c>
      <c r="G261" s="92">
        <v>33528</v>
      </c>
    </row>
    <row r="262" spans="1:7">
      <c r="A262" s="33" t="s">
        <v>757</v>
      </c>
      <c r="B262" s="33" t="s">
        <v>54</v>
      </c>
      <c r="C262" s="48" t="s">
        <v>67</v>
      </c>
      <c r="D262" s="33" t="s">
        <v>61</v>
      </c>
      <c r="E262" s="91">
        <v>45877</v>
      </c>
      <c r="F262" s="92">
        <v>33528</v>
      </c>
      <c r="G262" s="92">
        <v>33528</v>
      </c>
    </row>
    <row r="263" spans="1:7">
      <c r="A263" s="33" t="s">
        <v>757</v>
      </c>
      <c r="B263" s="33" t="s">
        <v>54</v>
      </c>
      <c r="C263" s="48" t="s">
        <v>67</v>
      </c>
      <c r="D263" s="33" t="s">
        <v>61</v>
      </c>
      <c r="E263" s="91">
        <v>46061</v>
      </c>
      <c r="F263" s="92">
        <v>33528</v>
      </c>
      <c r="G263" s="92">
        <v>33528</v>
      </c>
    </row>
    <row r="264" spans="1:7">
      <c r="A264" s="33" t="s">
        <v>757</v>
      </c>
      <c r="B264" s="33" t="s">
        <v>54</v>
      </c>
      <c r="C264" s="48" t="s">
        <v>67</v>
      </c>
      <c r="D264" s="33" t="s">
        <v>61</v>
      </c>
      <c r="E264" s="91">
        <v>46242</v>
      </c>
      <c r="F264" s="92">
        <v>33528</v>
      </c>
      <c r="G264" s="92">
        <v>33528</v>
      </c>
    </row>
    <row r="265" spans="1:7">
      <c r="A265" s="33" t="s">
        <v>757</v>
      </c>
      <c r="B265" s="33" t="s">
        <v>54</v>
      </c>
      <c r="C265" s="48" t="s">
        <v>67</v>
      </c>
      <c r="D265" s="33" t="s">
        <v>61</v>
      </c>
      <c r="E265" s="91">
        <v>46426</v>
      </c>
      <c r="F265" s="92">
        <v>33528</v>
      </c>
      <c r="G265" s="92">
        <v>33528</v>
      </c>
    </row>
    <row r="266" spans="1:7">
      <c r="A266" s="33" t="s">
        <v>757</v>
      </c>
      <c r="B266" s="33" t="s">
        <v>54</v>
      </c>
      <c r="C266" s="48" t="s">
        <v>67</v>
      </c>
      <c r="D266" s="33" t="s">
        <v>61</v>
      </c>
      <c r="E266" s="91">
        <v>46607</v>
      </c>
      <c r="F266" s="92">
        <v>33528</v>
      </c>
      <c r="G266" s="92">
        <v>33528</v>
      </c>
    </row>
    <row r="267" spans="1:7">
      <c r="A267" s="33" t="s">
        <v>757</v>
      </c>
      <c r="B267" s="33" t="s">
        <v>54</v>
      </c>
      <c r="C267" s="48" t="s">
        <v>67</v>
      </c>
      <c r="D267" s="33" t="s">
        <v>61</v>
      </c>
      <c r="E267" s="91">
        <v>46791</v>
      </c>
      <c r="F267" s="92">
        <v>33528</v>
      </c>
      <c r="G267" s="92">
        <v>33528</v>
      </c>
    </row>
    <row r="268" spans="1:7">
      <c r="A268" s="33" t="s">
        <v>757</v>
      </c>
      <c r="B268" s="33" t="s">
        <v>54</v>
      </c>
      <c r="C268" s="48" t="s">
        <v>67</v>
      </c>
      <c r="D268" s="33" t="s">
        <v>61</v>
      </c>
      <c r="E268" s="91">
        <v>46973</v>
      </c>
      <c r="F268" s="92">
        <v>33528</v>
      </c>
      <c r="G268" s="92">
        <v>1233528</v>
      </c>
    </row>
    <row r="269" spans="1:7">
      <c r="A269" s="33" t="s">
        <v>575</v>
      </c>
      <c r="B269" s="33" t="s">
        <v>77</v>
      </c>
      <c r="C269" s="48" t="s">
        <v>67</v>
      </c>
      <c r="D269" s="33" t="s">
        <v>61</v>
      </c>
      <c r="E269" s="91">
        <v>46037</v>
      </c>
      <c r="F269" s="95">
        <v>190365</v>
      </c>
      <c r="G269" s="95">
        <v>190365</v>
      </c>
    </row>
    <row r="270" spans="1:7">
      <c r="A270" s="57" t="s">
        <v>758</v>
      </c>
      <c r="B270" s="57" t="s">
        <v>388</v>
      </c>
      <c r="C270" s="57" t="s">
        <v>35</v>
      </c>
      <c r="D270" s="33" t="s">
        <v>61</v>
      </c>
      <c r="E270" s="91">
        <v>46218</v>
      </c>
      <c r="F270" s="95">
        <v>190365</v>
      </c>
      <c r="G270" s="95">
        <v>190365</v>
      </c>
    </row>
    <row r="271" spans="1:7">
      <c r="A271" s="57" t="s">
        <v>758</v>
      </c>
      <c r="B271" s="57" t="s">
        <v>388</v>
      </c>
      <c r="C271" s="57" t="s">
        <v>35</v>
      </c>
      <c r="D271" s="33" t="s">
        <v>61</v>
      </c>
      <c r="E271" s="91">
        <v>46402</v>
      </c>
      <c r="F271" s="95">
        <v>190365</v>
      </c>
      <c r="G271" s="95">
        <v>190365</v>
      </c>
    </row>
    <row r="272" spans="1:7">
      <c r="A272" s="57" t="s">
        <v>758</v>
      </c>
      <c r="B272" s="57" t="s">
        <v>388</v>
      </c>
      <c r="C272" s="57" t="s">
        <v>35</v>
      </c>
      <c r="D272" s="33" t="s">
        <v>61</v>
      </c>
      <c r="E272" s="91">
        <v>46583</v>
      </c>
      <c r="F272" s="95">
        <v>190365</v>
      </c>
      <c r="G272" s="95">
        <v>190365</v>
      </c>
    </row>
    <row r="273" spans="1:7">
      <c r="A273" s="57" t="s">
        <v>758</v>
      </c>
      <c r="B273" s="57" t="s">
        <v>388</v>
      </c>
      <c r="C273" s="57" t="s">
        <v>35</v>
      </c>
      <c r="D273" s="33" t="s">
        <v>61</v>
      </c>
      <c r="E273" s="91">
        <v>46767</v>
      </c>
      <c r="F273" s="95">
        <v>190365</v>
      </c>
      <c r="G273" s="95">
        <v>190365</v>
      </c>
    </row>
    <row r="274" spans="1:7">
      <c r="A274" s="57" t="s">
        <v>758</v>
      </c>
      <c r="B274" s="57" t="s">
        <v>388</v>
      </c>
      <c r="C274" s="57" t="s">
        <v>35</v>
      </c>
      <c r="D274" s="33" t="s">
        <v>61</v>
      </c>
      <c r="E274" s="91">
        <v>46949</v>
      </c>
      <c r="F274" s="95">
        <v>190365</v>
      </c>
      <c r="G274" s="95">
        <v>190365</v>
      </c>
    </row>
    <row r="275" spans="1:7">
      <c r="A275" s="57" t="s">
        <v>758</v>
      </c>
      <c r="B275" s="57" t="s">
        <v>388</v>
      </c>
      <c r="C275" s="57" t="s">
        <v>35</v>
      </c>
      <c r="D275" s="33" t="s">
        <v>61</v>
      </c>
      <c r="E275" s="91">
        <v>47133</v>
      </c>
      <c r="F275" s="95">
        <v>190365</v>
      </c>
      <c r="G275" s="95">
        <v>190365</v>
      </c>
    </row>
    <row r="276" spans="1:7">
      <c r="A276" s="57" t="s">
        <v>758</v>
      </c>
      <c r="B276" s="57" t="s">
        <v>388</v>
      </c>
      <c r="C276" s="57" t="s">
        <v>35</v>
      </c>
      <c r="D276" s="33" t="s">
        <v>61</v>
      </c>
      <c r="E276" s="91">
        <v>47314</v>
      </c>
      <c r="F276" s="95">
        <v>190365</v>
      </c>
      <c r="G276" s="95">
        <v>190365</v>
      </c>
    </row>
    <row r="277" spans="1:7">
      <c r="A277" s="57" t="s">
        <v>758</v>
      </c>
      <c r="B277" s="57" t="s">
        <v>388</v>
      </c>
      <c r="C277" s="57" t="s">
        <v>35</v>
      </c>
      <c r="D277" s="33" t="s">
        <v>61</v>
      </c>
      <c r="E277" s="91">
        <v>47498</v>
      </c>
      <c r="F277" s="95">
        <v>190365</v>
      </c>
      <c r="G277" s="95">
        <v>190365</v>
      </c>
    </row>
    <row r="278" spans="1:7">
      <c r="A278" s="57" t="s">
        <v>758</v>
      </c>
      <c r="B278" s="57" t="s">
        <v>388</v>
      </c>
      <c r="C278" s="57" t="s">
        <v>35</v>
      </c>
      <c r="D278" s="33" t="s">
        <v>61</v>
      </c>
      <c r="E278" s="91">
        <v>47679</v>
      </c>
      <c r="F278" s="95">
        <v>190365</v>
      </c>
      <c r="G278" s="95">
        <v>190365</v>
      </c>
    </row>
    <row r="279" spans="1:7">
      <c r="A279" s="57" t="s">
        <v>758</v>
      </c>
      <c r="B279" s="57" t="s">
        <v>388</v>
      </c>
      <c r="C279" s="57" t="s">
        <v>35</v>
      </c>
      <c r="D279" s="33" t="s">
        <v>61</v>
      </c>
      <c r="E279" s="91">
        <v>47863</v>
      </c>
      <c r="F279" s="95">
        <v>190365</v>
      </c>
      <c r="G279" s="95">
        <v>190365</v>
      </c>
    </row>
    <row r="280" spans="1:7">
      <c r="A280" s="57" t="s">
        <v>758</v>
      </c>
      <c r="B280" s="57" t="s">
        <v>388</v>
      </c>
      <c r="C280" s="57" t="s">
        <v>35</v>
      </c>
      <c r="D280" s="33" t="s">
        <v>61</v>
      </c>
      <c r="E280" s="91">
        <v>48044</v>
      </c>
      <c r="F280" s="95">
        <v>190365</v>
      </c>
      <c r="G280" s="95">
        <v>190365</v>
      </c>
    </row>
    <row r="281" spans="1:7">
      <c r="A281" s="57" t="s">
        <v>758</v>
      </c>
      <c r="B281" s="57" t="s">
        <v>388</v>
      </c>
      <c r="C281" s="57" t="s">
        <v>35</v>
      </c>
      <c r="D281" s="33" t="s">
        <v>61</v>
      </c>
      <c r="E281" s="91">
        <v>48228</v>
      </c>
      <c r="F281" s="95">
        <v>190365</v>
      </c>
      <c r="G281" s="95">
        <v>190365</v>
      </c>
    </row>
    <row r="282" spans="1:7">
      <c r="A282" s="57" t="s">
        <v>758</v>
      </c>
      <c r="B282" s="57" t="s">
        <v>388</v>
      </c>
      <c r="C282" s="57" t="s">
        <v>35</v>
      </c>
      <c r="D282" s="33" t="s">
        <v>61</v>
      </c>
      <c r="E282" s="91">
        <v>48410</v>
      </c>
      <c r="F282" s="95">
        <v>190365</v>
      </c>
      <c r="G282" s="95">
        <v>7190365</v>
      </c>
    </row>
    <row r="283" spans="1:7">
      <c r="A283" s="87" t="s">
        <v>759</v>
      </c>
      <c r="B283" s="87" t="s">
        <v>77</v>
      </c>
      <c r="C283" s="88" t="s">
        <v>67</v>
      </c>
      <c r="D283" s="87" t="s">
        <v>61</v>
      </c>
      <c r="E283" s="89">
        <v>45672</v>
      </c>
      <c r="F283" s="90">
        <v>190365</v>
      </c>
      <c r="G283" s="90">
        <v>190365</v>
      </c>
    </row>
    <row r="284" spans="1:7">
      <c r="A284" s="57" t="s">
        <v>698</v>
      </c>
      <c r="B284" s="57" t="s">
        <v>388</v>
      </c>
      <c r="C284" s="57" t="s">
        <v>35</v>
      </c>
      <c r="D284" s="33" t="s">
        <v>61</v>
      </c>
      <c r="E284" s="91">
        <v>45853</v>
      </c>
      <c r="F284" s="95">
        <v>190365</v>
      </c>
      <c r="G284" s="95">
        <v>190365</v>
      </c>
    </row>
    <row r="285" spans="1:7">
      <c r="A285" s="87" t="s">
        <v>299</v>
      </c>
      <c r="B285" s="87" t="s">
        <v>54</v>
      </c>
      <c r="C285" s="88" t="s">
        <v>67</v>
      </c>
      <c r="D285" s="87" t="s">
        <v>61</v>
      </c>
      <c r="E285" s="89">
        <v>45470</v>
      </c>
      <c r="F285" s="90">
        <v>82650</v>
      </c>
      <c r="G285" s="90">
        <v>82650</v>
      </c>
    </row>
    <row r="286" spans="1:7">
      <c r="A286" s="33" t="s">
        <v>299</v>
      </c>
      <c r="B286" s="33" t="s">
        <v>54</v>
      </c>
      <c r="C286" s="33" t="s">
        <v>35</v>
      </c>
      <c r="D286" s="36" t="s">
        <v>61</v>
      </c>
      <c r="E286" s="91">
        <v>45653</v>
      </c>
      <c r="F286" s="92">
        <v>82650</v>
      </c>
      <c r="G286" s="92">
        <v>82650</v>
      </c>
    </row>
    <row r="287" spans="1:7">
      <c r="A287" s="33" t="s">
        <v>760</v>
      </c>
      <c r="B287" s="33" t="s">
        <v>54</v>
      </c>
      <c r="C287" s="33" t="s">
        <v>35</v>
      </c>
      <c r="D287" s="36" t="s">
        <v>61</v>
      </c>
      <c r="E287" s="91">
        <v>45835</v>
      </c>
      <c r="F287" s="92">
        <v>82650</v>
      </c>
      <c r="G287" s="92">
        <v>82650</v>
      </c>
    </row>
    <row r="288" spans="1:7">
      <c r="A288" s="33" t="s">
        <v>760</v>
      </c>
      <c r="B288" s="33" t="s">
        <v>54</v>
      </c>
      <c r="C288" s="33" t="s">
        <v>35</v>
      </c>
      <c r="D288" s="36" t="s">
        <v>61</v>
      </c>
      <c r="E288" s="91">
        <v>46018</v>
      </c>
      <c r="F288" s="92">
        <v>82650</v>
      </c>
      <c r="G288" s="92">
        <v>82650</v>
      </c>
    </row>
    <row r="289" spans="1:7">
      <c r="A289" s="33" t="s">
        <v>760</v>
      </c>
      <c r="B289" s="33" t="s">
        <v>54</v>
      </c>
      <c r="C289" s="33" t="s">
        <v>35</v>
      </c>
      <c r="D289" s="36" t="s">
        <v>61</v>
      </c>
      <c r="E289" s="91">
        <v>46200</v>
      </c>
      <c r="F289" s="92">
        <v>82650</v>
      </c>
      <c r="G289" s="92">
        <v>82650</v>
      </c>
    </row>
    <row r="290" spans="1:7">
      <c r="A290" s="33" t="s">
        <v>760</v>
      </c>
      <c r="B290" s="33" t="s">
        <v>54</v>
      </c>
      <c r="C290" s="33" t="s">
        <v>35</v>
      </c>
      <c r="D290" s="36" t="s">
        <v>61</v>
      </c>
      <c r="E290" s="91">
        <v>46383</v>
      </c>
      <c r="F290" s="92">
        <v>82650</v>
      </c>
      <c r="G290" s="92">
        <v>82650</v>
      </c>
    </row>
    <row r="291" spans="1:7">
      <c r="A291" s="33" t="s">
        <v>760</v>
      </c>
      <c r="B291" s="33" t="s">
        <v>54</v>
      </c>
      <c r="C291" s="33" t="s">
        <v>35</v>
      </c>
      <c r="D291" s="36" t="s">
        <v>61</v>
      </c>
      <c r="E291" s="91">
        <v>46565</v>
      </c>
      <c r="F291" s="92">
        <v>82650</v>
      </c>
      <c r="G291" s="92">
        <v>82650</v>
      </c>
    </row>
    <row r="292" spans="1:7">
      <c r="A292" s="33" t="s">
        <v>760</v>
      </c>
      <c r="B292" s="33" t="s">
        <v>54</v>
      </c>
      <c r="C292" s="33" t="s">
        <v>35</v>
      </c>
      <c r="D292" s="36" t="s">
        <v>61</v>
      </c>
      <c r="E292" s="91">
        <v>46748</v>
      </c>
      <c r="F292" s="92">
        <v>82650</v>
      </c>
      <c r="G292" s="92">
        <v>82650</v>
      </c>
    </row>
    <row r="293" spans="1:7">
      <c r="A293" s="33" t="s">
        <v>760</v>
      </c>
      <c r="B293" s="33" t="s">
        <v>54</v>
      </c>
      <c r="C293" s="33" t="s">
        <v>35</v>
      </c>
      <c r="D293" s="36" t="s">
        <v>61</v>
      </c>
      <c r="E293" s="91">
        <v>46931</v>
      </c>
      <c r="F293" s="92">
        <v>82650</v>
      </c>
      <c r="G293" s="92">
        <v>82650</v>
      </c>
    </row>
    <row r="294" spans="1:7">
      <c r="A294" s="33" t="s">
        <v>760</v>
      </c>
      <c r="B294" s="33" t="s">
        <v>54</v>
      </c>
      <c r="C294" s="33" t="s">
        <v>35</v>
      </c>
      <c r="D294" s="36" t="s">
        <v>61</v>
      </c>
      <c r="E294" s="91">
        <v>47114</v>
      </c>
      <c r="F294" s="92">
        <v>82650</v>
      </c>
      <c r="G294" s="92">
        <v>82650</v>
      </c>
    </row>
    <row r="295" spans="1:7">
      <c r="A295" s="33" t="s">
        <v>760</v>
      </c>
      <c r="B295" s="33" t="s">
        <v>54</v>
      </c>
      <c r="C295" s="33" t="s">
        <v>35</v>
      </c>
      <c r="D295" s="36" t="s">
        <v>61</v>
      </c>
      <c r="E295" s="91">
        <v>47296</v>
      </c>
      <c r="F295" s="92">
        <v>82650</v>
      </c>
      <c r="G295" s="92">
        <v>5082650</v>
      </c>
    </row>
    <row r="296" spans="1:7">
      <c r="A296" s="87" t="s">
        <v>130</v>
      </c>
      <c r="B296" s="87" t="s">
        <v>54</v>
      </c>
      <c r="C296" s="88" t="s">
        <v>67</v>
      </c>
      <c r="D296" s="87" t="s">
        <v>61</v>
      </c>
      <c r="E296" s="89">
        <v>45329</v>
      </c>
      <c r="F296" s="90">
        <v>24835.75</v>
      </c>
      <c r="G296" s="90">
        <v>24835.75</v>
      </c>
    </row>
    <row r="297" spans="1:7">
      <c r="A297" s="33" t="s">
        <v>130</v>
      </c>
      <c r="B297" s="33" t="s">
        <v>54</v>
      </c>
      <c r="C297" s="33" t="s">
        <v>35</v>
      </c>
      <c r="D297" s="36" t="s">
        <v>61</v>
      </c>
      <c r="E297" s="93">
        <v>45511</v>
      </c>
      <c r="F297" s="94">
        <v>24835.75</v>
      </c>
      <c r="G297" s="94">
        <v>24835.75</v>
      </c>
    </row>
    <row r="298" spans="1:7">
      <c r="A298" s="33" t="s">
        <v>761</v>
      </c>
      <c r="B298" s="33" t="s">
        <v>54</v>
      </c>
      <c r="C298" s="33" t="s">
        <v>35</v>
      </c>
      <c r="D298" s="36" t="s">
        <v>61</v>
      </c>
      <c r="E298" s="91">
        <v>45695</v>
      </c>
      <c r="F298" s="94">
        <v>24835.75</v>
      </c>
      <c r="G298" s="94">
        <v>24835.75</v>
      </c>
    </row>
    <row r="299" spans="1:7">
      <c r="A299" s="33" t="s">
        <v>761</v>
      </c>
      <c r="B299" s="33" t="s">
        <v>54</v>
      </c>
      <c r="C299" s="33" t="s">
        <v>35</v>
      </c>
      <c r="D299" s="36" t="s">
        <v>61</v>
      </c>
      <c r="E299" s="93">
        <v>45876</v>
      </c>
      <c r="F299" s="94">
        <v>24835.75</v>
      </c>
      <c r="G299" s="94">
        <v>24835.75</v>
      </c>
    </row>
    <row r="300" spans="1:7">
      <c r="A300" s="33" t="s">
        <v>761</v>
      </c>
      <c r="B300" s="33" t="s">
        <v>54</v>
      </c>
      <c r="C300" s="33" t="s">
        <v>35</v>
      </c>
      <c r="D300" s="36" t="s">
        <v>61</v>
      </c>
      <c r="E300" s="91">
        <v>46060</v>
      </c>
      <c r="F300" s="94">
        <v>24835.75</v>
      </c>
      <c r="G300" s="94">
        <v>24835.75</v>
      </c>
    </row>
    <row r="301" spans="1:7">
      <c r="A301" s="33" t="s">
        <v>761</v>
      </c>
      <c r="B301" s="33" t="s">
        <v>54</v>
      </c>
      <c r="C301" s="33" t="s">
        <v>35</v>
      </c>
      <c r="D301" s="36" t="s">
        <v>61</v>
      </c>
      <c r="E301" s="93">
        <v>46241</v>
      </c>
      <c r="F301" s="94">
        <v>24835.75</v>
      </c>
      <c r="G301" s="94">
        <v>24835.75</v>
      </c>
    </row>
    <row r="302" spans="1:7">
      <c r="A302" s="33" t="s">
        <v>761</v>
      </c>
      <c r="B302" s="33" t="s">
        <v>54</v>
      </c>
      <c r="C302" s="33" t="s">
        <v>35</v>
      </c>
      <c r="D302" s="36" t="s">
        <v>61</v>
      </c>
      <c r="E302" s="91">
        <v>46425</v>
      </c>
      <c r="F302" s="94">
        <v>24835.75</v>
      </c>
      <c r="G302" s="94">
        <v>24835.75</v>
      </c>
    </row>
    <row r="303" spans="1:7">
      <c r="A303" s="33" t="s">
        <v>761</v>
      </c>
      <c r="B303" s="33" t="s">
        <v>54</v>
      </c>
      <c r="C303" s="33" t="s">
        <v>35</v>
      </c>
      <c r="D303" s="36" t="s">
        <v>61</v>
      </c>
      <c r="E303" s="93">
        <v>46606</v>
      </c>
      <c r="F303" s="94">
        <v>24835.75</v>
      </c>
      <c r="G303" s="94">
        <v>24835.75</v>
      </c>
    </row>
    <row r="304" spans="1:7">
      <c r="A304" s="33" t="s">
        <v>761</v>
      </c>
      <c r="B304" s="33" t="s">
        <v>54</v>
      </c>
      <c r="C304" s="33" t="s">
        <v>35</v>
      </c>
      <c r="D304" s="36" t="s">
        <v>61</v>
      </c>
      <c r="E304" s="91">
        <v>46790</v>
      </c>
      <c r="F304" s="94">
        <v>24835.75</v>
      </c>
      <c r="G304" s="94">
        <v>1049835.75</v>
      </c>
    </row>
    <row r="305" spans="1:7">
      <c r="A305" s="87" t="s">
        <v>238</v>
      </c>
      <c r="B305" s="87" t="s">
        <v>223</v>
      </c>
      <c r="C305" s="88" t="s">
        <v>67</v>
      </c>
      <c r="D305" s="87" t="s">
        <v>61</v>
      </c>
      <c r="E305" s="89">
        <v>45503</v>
      </c>
      <c r="F305" s="90">
        <v>76140</v>
      </c>
      <c r="G305" s="90">
        <v>76140</v>
      </c>
    </row>
    <row r="306" spans="1:7">
      <c r="A306" s="33" t="s">
        <v>238</v>
      </c>
      <c r="B306" s="33" t="s">
        <v>223</v>
      </c>
      <c r="C306" s="48" t="s">
        <v>67</v>
      </c>
      <c r="D306" s="33" t="s">
        <v>61</v>
      </c>
      <c r="E306" s="93">
        <v>45687</v>
      </c>
      <c r="F306" s="94">
        <v>76140</v>
      </c>
      <c r="G306" s="94">
        <v>76140</v>
      </c>
    </row>
    <row r="307" spans="1:7">
      <c r="A307" s="33" t="s">
        <v>762</v>
      </c>
      <c r="B307" s="33" t="s">
        <v>223</v>
      </c>
      <c r="C307" s="48" t="s">
        <v>67</v>
      </c>
      <c r="D307" s="33" t="s">
        <v>61</v>
      </c>
      <c r="E307" s="93">
        <v>45868</v>
      </c>
      <c r="F307" s="94">
        <v>76140</v>
      </c>
      <c r="G307" s="94">
        <v>76140</v>
      </c>
    </row>
    <row r="308" spans="1:7">
      <c r="A308" s="33" t="s">
        <v>762</v>
      </c>
      <c r="B308" s="33" t="s">
        <v>223</v>
      </c>
      <c r="C308" s="48" t="s">
        <v>67</v>
      </c>
      <c r="D308" s="33" t="s">
        <v>61</v>
      </c>
      <c r="E308" s="93">
        <v>46052</v>
      </c>
      <c r="F308" s="94">
        <v>76140</v>
      </c>
      <c r="G308" s="94">
        <v>76140</v>
      </c>
    </row>
    <row r="309" spans="1:7">
      <c r="A309" s="33" t="s">
        <v>762</v>
      </c>
      <c r="B309" s="33" t="s">
        <v>223</v>
      </c>
      <c r="C309" s="48" t="s">
        <v>67</v>
      </c>
      <c r="D309" s="33" t="s">
        <v>61</v>
      </c>
      <c r="E309" s="93">
        <v>46233</v>
      </c>
      <c r="F309" s="94">
        <v>76140</v>
      </c>
      <c r="G309" s="94">
        <v>76140</v>
      </c>
    </row>
    <row r="310" spans="1:7">
      <c r="A310" s="33" t="s">
        <v>762</v>
      </c>
      <c r="B310" s="33" t="s">
        <v>223</v>
      </c>
      <c r="C310" s="48" t="s">
        <v>67</v>
      </c>
      <c r="D310" s="33" t="s">
        <v>61</v>
      </c>
      <c r="E310" s="93">
        <v>46417</v>
      </c>
      <c r="F310" s="94">
        <v>76140</v>
      </c>
      <c r="G310" s="94">
        <v>76140</v>
      </c>
    </row>
    <row r="311" spans="1:7">
      <c r="A311" s="33" t="s">
        <v>762</v>
      </c>
      <c r="B311" s="33" t="s">
        <v>223</v>
      </c>
      <c r="C311" s="48" t="s">
        <v>67</v>
      </c>
      <c r="D311" s="33" t="s">
        <v>61</v>
      </c>
      <c r="E311" s="93">
        <v>46598</v>
      </c>
      <c r="F311" s="94">
        <v>76140</v>
      </c>
      <c r="G311" s="94">
        <v>76140</v>
      </c>
    </row>
    <row r="312" spans="1:7">
      <c r="A312" s="33" t="s">
        <v>762</v>
      </c>
      <c r="B312" s="33" t="s">
        <v>223</v>
      </c>
      <c r="C312" s="48" t="s">
        <v>67</v>
      </c>
      <c r="D312" s="33" t="s">
        <v>61</v>
      </c>
      <c r="E312" s="93">
        <v>46782</v>
      </c>
      <c r="F312" s="94">
        <v>76140</v>
      </c>
      <c r="G312" s="94">
        <v>76140</v>
      </c>
    </row>
    <row r="313" spans="1:7">
      <c r="A313" s="33" t="s">
        <v>762</v>
      </c>
      <c r="B313" s="33" t="s">
        <v>223</v>
      </c>
      <c r="C313" s="48" t="s">
        <v>67</v>
      </c>
      <c r="D313" s="33" t="s">
        <v>61</v>
      </c>
      <c r="E313" s="93">
        <v>46964</v>
      </c>
      <c r="F313" s="94">
        <v>76140</v>
      </c>
      <c r="G313" s="94">
        <v>76140</v>
      </c>
    </row>
    <row r="314" spans="1:7">
      <c r="A314" s="33" t="s">
        <v>762</v>
      </c>
      <c r="B314" s="33" t="s">
        <v>223</v>
      </c>
      <c r="C314" s="48" t="s">
        <v>67</v>
      </c>
      <c r="D314" s="33" t="s">
        <v>61</v>
      </c>
      <c r="E314" s="93">
        <v>47148</v>
      </c>
      <c r="F314" s="94">
        <v>76140</v>
      </c>
      <c r="G314" s="94">
        <v>3076140</v>
      </c>
    </row>
    <row r="315" spans="1:7">
      <c r="A315" s="87" t="s">
        <v>668</v>
      </c>
      <c r="B315" s="87" t="s">
        <v>77</v>
      </c>
      <c r="C315" s="88" t="s">
        <v>43</v>
      </c>
      <c r="D315" s="87" t="s">
        <v>61</v>
      </c>
      <c r="E315" s="89">
        <v>45184</v>
      </c>
      <c r="F315" s="90">
        <v>57500</v>
      </c>
      <c r="G315" s="90">
        <v>57500</v>
      </c>
    </row>
    <row r="316" spans="1:7">
      <c r="A316" s="33" t="s">
        <v>668</v>
      </c>
      <c r="B316" s="33" t="s">
        <v>77</v>
      </c>
      <c r="C316" s="48" t="s">
        <v>43</v>
      </c>
      <c r="D316" s="33" t="s">
        <v>61</v>
      </c>
      <c r="E316" s="91">
        <v>45366</v>
      </c>
      <c r="F316" s="92">
        <v>57500</v>
      </c>
      <c r="G316" s="92">
        <v>57500</v>
      </c>
    </row>
    <row r="317" spans="1:7">
      <c r="A317" s="33" t="s">
        <v>668</v>
      </c>
      <c r="B317" s="33" t="s">
        <v>77</v>
      </c>
      <c r="C317" s="48" t="s">
        <v>43</v>
      </c>
      <c r="D317" s="33" t="s">
        <v>61</v>
      </c>
      <c r="E317" s="91">
        <v>45550</v>
      </c>
      <c r="F317" s="92">
        <v>57500</v>
      </c>
      <c r="G317" s="92">
        <v>57500</v>
      </c>
    </row>
    <row r="318" spans="1:7">
      <c r="A318" s="33" t="s">
        <v>668</v>
      </c>
      <c r="B318" s="33" t="s">
        <v>77</v>
      </c>
      <c r="C318" s="48" t="s">
        <v>43</v>
      </c>
      <c r="D318" s="33" t="s">
        <v>61</v>
      </c>
      <c r="E318" s="91">
        <v>45731</v>
      </c>
      <c r="F318" s="92">
        <v>57500</v>
      </c>
      <c r="G318" s="92">
        <v>57500</v>
      </c>
    </row>
    <row r="319" spans="1:7">
      <c r="A319" s="33" t="s">
        <v>668</v>
      </c>
      <c r="B319" s="33" t="s">
        <v>77</v>
      </c>
      <c r="C319" s="48" t="s">
        <v>43</v>
      </c>
      <c r="D319" s="33" t="s">
        <v>61</v>
      </c>
      <c r="E319" s="91">
        <v>45915</v>
      </c>
      <c r="F319" s="94">
        <v>57500</v>
      </c>
      <c r="G319" s="94">
        <v>57500</v>
      </c>
    </row>
    <row r="320" spans="1:7">
      <c r="A320" s="33" t="s">
        <v>668</v>
      </c>
      <c r="B320" s="33" t="s">
        <v>77</v>
      </c>
      <c r="C320" s="48" t="s">
        <v>43</v>
      </c>
      <c r="D320" s="33" t="s">
        <v>61</v>
      </c>
      <c r="E320" s="91">
        <v>46096</v>
      </c>
      <c r="F320" s="94">
        <v>57500</v>
      </c>
      <c r="G320" s="94">
        <v>57500</v>
      </c>
    </row>
    <row r="321" spans="1:7">
      <c r="A321" s="33" t="s">
        <v>668</v>
      </c>
      <c r="B321" s="33" t="s">
        <v>77</v>
      </c>
      <c r="C321" s="48" t="s">
        <v>43</v>
      </c>
      <c r="D321" s="33" t="s">
        <v>61</v>
      </c>
      <c r="E321" s="91">
        <v>46280</v>
      </c>
      <c r="F321" s="94">
        <v>57500</v>
      </c>
      <c r="G321" s="94">
        <v>57500</v>
      </c>
    </row>
    <row r="322" spans="1:7">
      <c r="A322" s="33" t="s">
        <v>668</v>
      </c>
      <c r="B322" s="33" t="s">
        <v>77</v>
      </c>
      <c r="C322" s="48" t="s">
        <v>43</v>
      </c>
      <c r="D322" s="33" t="s">
        <v>61</v>
      </c>
      <c r="E322" s="91">
        <v>46461</v>
      </c>
      <c r="F322" s="94">
        <v>57500</v>
      </c>
      <c r="G322" s="94">
        <v>57500</v>
      </c>
    </row>
    <row r="323" spans="1:7">
      <c r="A323" s="33" t="s">
        <v>668</v>
      </c>
      <c r="B323" s="33" t="s">
        <v>77</v>
      </c>
      <c r="C323" s="48" t="s">
        <v>43</v>
      </c>
      <c r="D323" s="33" t="s">
        <v>61</v>
      </c>
      <c r="E323" s="91">
        <v>46645</v>
      </c>
      <c r="F323" s="94">
        <v>57500</v>
      </c>
      <c r="G323" s="94">
        <v>57500</v>
      </c>
    </row>
    <row r="324" spans="1:7">
      <c r="A324" s="33" t="s">
        <v>668</v>
      </c>
      <c r="B324" s="33" t="s">
        <v>77</v>
      </c>
      <c r="C324" s="48" t="s">
        <v>43</v>
      </c>
      <c r="D324" s="33" t="s">
        <v>61</v>
      </c>
      <c r="E324" s="91">
        <v>46827</v>
      </c>
      <c r="F324" s="94">
        <v>57500</v>
      </c>
      <c r="G324" s="94">
        <v>57500</v>
      </c>
    </row>
    <row r="325" spans="1:7">
      <c r="A325" s="33" t="s">
        <v>668</v>
      </c>
      <c r="B325" s="33" t="s">
        <v>77</v>
      </c>
      <c r="C325" s="48" t="s">
        <v>43</v>
      </c>
      <c r="D325" s="33" t="s">
        <v>61</v>
      </c>
      <c r="E325" s="91">
        <v>47011</v>
      </c>
      <c r="F325" s="94">
        <v>57500</v>
      </c>
      <c r="G325" s="94">
        <v>57500</v>
      </c>
    </row>
    <row r="326" spans="1:7">
      <c r="A326" s="33" t="s">
        <v>668</v>
      </c>
      <c r="B326" s="33" t="s">
        <v>77</v>
      </c>
      <c r="C326" s="48" t="s">
        <v>43</v>
      </c>
      <c r="D326" s="33" t="s">
        <v>61</v>
      </c>
      <c r="E326" s="91">
        <v>47192</v>
      </c>
      <c r="F326" s="94">
        <v>57500</v>
      </c>
      <c r="G326" s="94">
        <v>57500</v>
      </c>
    </row>
    <row r="327" spans="1:7">
      <c r="A327" s="33" t="s">
        <v>668</v>
      </c>
      <c r="B327" s="33" t="s">
        <v>77</v>
      </c>
      <c r="C327" s="48" t="s">
        <v>43</v>
      </c>
      <c r="D327" s="33" t="s">
        <v>61</v>
      </c>
      <c r="E327" s="91">
        <v>47376</v>
      </c>
      <c r="F327" s="94">
        <v>57500</v>
      </c>
      <c r="G327" s="94">
        <v>57500</v>
      </c>
    </row>
    <row r="328" spans="1:7">
      <c r="A328" s="33" t="s">
        <v>668</v>
      </c>
      <c r="B328" s="33" t="s">
        <v>77</v>
      </c>
      <c r="C328" s="48" t="s">
        <v>43</v>
      </c>
      <c r="D328" s="33" t="s">
        <v>61</v>
      </c>
      <c r="E328" s="91">
        <v>47557</v>
      </c>
      <c r="F328" s="94">
        <v>57500</v>
      </c>
      <c r="G328" s="94">
        <v>57500</v>
      </c>
    </row>
    <row r="329" spans="1:7">
      <c r="A329" s="33" t="s">
        <v>668</v>
      </c>
      <c r="B329" s="33" t="s">
        <v>77</v>
      </c>
      <c r="C329" s="48" t="s">
        <v>43</v>
      </c>
      <c r="D329" s="33" t="s">
        <v>61</v>
      </c>
      <c r="E329" s="91">
        <v>47741</v>
      </c>
      <c r="F329" s="94">
        <v>57500</v>
      </c>
      <c r="G329" s="94">
        <v>57500</v>
      </c>
    </row>
    <row r="330" spans="1:7">
      <c r="A330" s="33" t="s">
        <v>668</v>
      </c>
      <c r="B330" s="33" t="s">
        <v>77</v>
      </c>
      <c r="C330" s="48" t="s">
        <v>43</v>
      </c>
      <c r="D330" s="33" t="s">
        <v>61</v>
      </c>
      <c r="E330" s="91">
        <v>47922</v>
      </c>
      <c r="F330" s="94">
        <v>57500</v>
      </c>
      <c r="G330" s="94">
        <v>57500</v>
      </c>
    </row>
    <row r="331" spans="1:7">
      <c r="A331" s="33" t="s">
        <v>668</v>
      </c>
      <c r="B331" s="33" t="s">
        <v>77</v>
      </c>
      <c r="C331" s="48" t="s">
        <v>43</v>
      </c>
      <c r="D331" s="33" t="s">
        <v>61</v>
      </c>
      <c r="E331" s="91">
        <v>48106</v>
      </c>
      <c r="F331" s="94">
        <v>57500</v>
      </c>
      <c r="G331" s="94">
        <v>57500</v>
      </c>
    </row>
    <row r="332" spans="1:7">
      <c r="A332" s="33" t="s">
        <v>668</v>
      </c>
      <c r="B332" s="33" t="s">
        <v>77</v>
      </c>
      <c r="C332" s="48" t="s">
        <v>43</v>
      </c>
      <c r="D332" s="33" t="s">
        <v>61</v>
      </c>
      <c r="E332" s="91">
        <v>48288</v>
      </c>
      <c r="F332" s="94">
        <v>57500</v>
      </c>
      <c r="G332" s="94">
        <v>4057500</v>
      </c>
    </row>
    <row r="333" spans="1:7">
      <c r="A333" s="87" t="s">
        <v>520</v>
      </c>
      <c r="B333" s="87" t="s">
        <v>54</v>
      </c>
      <c r="C333" s="88" t="s">
        <v>43</v>
      </c>
      <c r="D333" s="87" t="s">
        <v>61</v>
      </c>
      <c r="E333" s="89">
        <v>45526</v>
      </c>
      <c r="F333" s="90">
        <v>127499.99999999999</v>
      </c>
      <c r="G333" s="90">
        <v>127499.99999999999</v>
      </c>
    </row>
    <row r="334" spans="1:7">
      <c r="A334" s="33" t="s">
        <v>520</v>
      </c>
      <c r="B334" s="33" t="s">
        <v>54</v>
      </c>
      <c r="C334" s="33" t="s">
        <v>60</v>
      </c>
      <c r="D334" s="36" t="s">
        <v>61</v>
      </c>
      <c r="E334" s="91">
        <v>45710</v>
      </c>
      <c r="F334" s="92">
        <v>127499.99999999999</v>
      </c>
      <c r="G334" s="92">
        <v>127499.99999999999</v>
      </c>
    </row>
    <row r="335" spans="1:7">
      <c r="A335" s="33" t="s">
        <v>763</v>
      </c>
      <c r="B335" s="33" t="s">
        <v>54</v>
      </c>
      <c r="C335" s="33" t="s">
        <v>60</v>
      </c>
      <c r="D335" s="36" t="s">
        <v>61</v>
      </c>
      <c r="E335" s="93">
        <v>45891</v>
      </c>
      <c r="F335" s="92">
        <v>127499.99999999999</v>
      </c>
      <c r="G335" s="92">
        <v>127499.99999999999</v>
      </c>
    </row>
    <row r="336" spans="1:7">
      <c r="A336" s="33" t="s">
        <v>763</v>
      </c>
      <c r="B336" s="33" t="s">
        <v>54</v>
      </c>
      <c r="C336" s="33" t="s">
        <v>60</v>
      </c>
      <c r="D336" s="36" t="s">
        <v>61</v>
      </c>
      <c r="E336" s="91">
        <v>46075</v>
      </c>
      <c r="F336" s="92">
        <v>127499.99999999999</v>
      </c>
      <c r="G336" s="92">
        <v>127499.99999999999</v>
      </c>
    </row>
    <row r="337" spans="1:7">
      <c r="A337" s="33" t="s">
        <v>763</v>
      </c>
      <c r="B337" s="33" t="s">
        <v>54</v>
      </c>
      <c r="C337" s="33" t="s">
        <v>60</v>
      </c>
      <c r="D337" s="36" t="s">
        <v>61</v>
      </c>
      <c r="E337" s="93">
        <v>46256</v>
      </c>
      <c r="F337" s="92">
        <v>127499.99999999999</v>
      </c>
      <c r="G337" s="92">
        <v>127499.99999999999</v>
      </c>
    </row>
    <row r="338" spans="1:7">
      <c r="A338" s="33" t="s">
        <v>763</v>
      </c>
      <c r="B338" s="33" t="s">
        <v>54</v>
      </c>
      <c r="C338" s="33" t="s">
        <v>60</v>
      </c>
      <c r="D338" s="36" t="s">
        <v>61</v>
      </c>
      <c r="E338" s="91">
        <v>46440</v>
      </c>
      <c r="F338" s="94">
        <v>127499.99999999999</v>
      </c>
      <c r="G338" s="94">
        <v>127499.99999999999</v>
      </c>
    </row>
    <row r="339" spans="1:7">
      <c r="A339" s="33" t="s">
        <v>763</v>
      </c>
      <c r="B339" s="33" t="s">
        <v>54</v>
      </c>
      <c r="C339" s="33" t="s">
        <v>60</v>
      </c>
      <c r="D339" s="36" t="s">
        <v>61</v>
      </c>
      <c r="E339" s="93">
        <v>46621</v>
      </c>
      <c r="F339" s="94">
        <v>127499.99999999999</v>
      </c>
      <c r="G339" s="94">
        <v>127499.99999999999</v>
      </c>
    </row>
    <row r="340" spans="1:7">
      <c r="A340" s="33" t="s">
        <v>763</v>
      </c>
      <c r="B340" s="33" t="s">
        <v>54</v>
      </c>
      <c r="C340" s="33" t="s">
        <v>60</v>
      </c>
      <c r="D340" s="36" t="s">
        <v>61</v>
      </c>
      <c r="E340" s="91">
        <v>46805</v>
      </c>
      <c r="F340" s="94">
        <v>127499.99999999999</v>
      </c>
      <c r="G340" s="94">
        <v>127499.99999999999</v>
      </c>
    </row>
    <row r="341" spans="1:7">
      <c r="A341" s="33" t="s">
        <v>763</v>
      </c>
      <c r="B341" s="33" t="s">
        <v>54</v>
      </c>
      <c r="C341" s="33" t="s">
        <v>60</v>
      </c>
      <c r="D341" s="36" t="s">
        <v>61</v>
      </c>
      <c r="E341" s="93">
        <v>46987</v>
      </c>
      <c r="F341" s="94">
        <v>127499.99999999999</v>
      </c>
      <c r="G341" s="94">
        <v>127499.99999999999</v>
      </c>
    </row>
    <row r="342" spans="1:7">
      <c r="A342" s="33" t="s">
        <v>763</v>
      </c>
      <c r="B342" s="33" t="s">
        <v>54</v>
      </c>
      <c r="C342" s="33" t="s">
        <v>60</v>
      </c>
      <c r="D342" s="36" t="s">
        <v>61</v>
      </c>
      <c r="E342" s="91">
        <v>47171</v>
      </c>
      <c r="F342" s="94">
        <v>127499.99999999999</v>
      </c>
      <c r="G342" s="94">
        <v>127499.99999999999</v>
      </c>
    </row>
    <row r="343" spans="1:7">
      <c r="A343" s="33" t="s">
        <v>763</v>
      </c>
      <c r="B343" s="33" t="s">
        <v>54</v>
      </c>
      <c r="C343" s="33" t="s">
        <v>60</v>
      </c>
      <c r="D343" s="36" t="s">
        <v>61</v>
      </c>
      <c r="E343" s="93">
        <v>47352</v>
      </c>
      <c r="F343" s="94">
        <v>127499.99999999999</v>
      </c>
      <c r="G343" s="94">
        <v>127499.99999999999</v>
      </c>
    </row>
    <row r="344" spans="1:7">
      <c r="A344" s="33" t="s">
        <v>763</v>
      </c>
      <c r="B344" s="33" t="s">
        <v>54</v>
      </c>
      <c r="C344" s="33" t="s">
        <v>60</v>
      </c>
      <c r="D344" s="36" t="s">
        <v>61</v>
      </c>
      <c r="E344" s="91">
        <v>47536</v>
      </c>
      <c r="F344" s="94">
        <v>127499.99999999999</v>
      </c>
      <c r="G344" s="94">
        <v>127499.99999999999</v>
      </c>
    </row>
    <row r="345" spans="1:7">
      <c r="A345" s="33" t="s">
        <v>763</v>
      </c>
      <c r="B345" s="33" t="s">
        <v>54</v>
      </c>
      <c r="C345" s="33" t="s">
        <v>60</v>
      </c>
      <c r="D345" s="36" t="s">
        <v>61</v>
      </c>
      <c r="E345" s="93">
        <v>47717</v>
      </c>
      <c r="F345" s="94">
        <v>127499.99999999999</v>
      </c>
      <c r="G345" s="94">
        <v>127499.99999999999</v>
      </c>
    </row>
    <row r="346" spans="1:7">
      <c r="A346" s="33" t="s">
        <v>763</v>
      </c>
      <c r="B346" s="33" t="s">
        <v>54</v>
      </c>
      <c r="C346" s="33" t="s">
        <v>60</v>
      </c>
      <c r="D346" s="36" t="s">
        <v>61</v>
      </c>
      <c r="E346" s="91">
        <v>47901</v>
      </c>
      <c r="F346" s="94">
        <v>127499.99999999999</v>
      </c>
      <c r="G346" s="94">
        <v>5127500</v>
      </c>
    </row>
    <row r="347" spans="1:7">
      <c r="A347" s="87" t="s">
        <v>213</v>
      </c>
      <c r="B347" s="87" t="s">
        <v>754</v>
      </c>
      <c r="C347" s="88" t="s">
        <v>43</v>
      </c>
      <c r="D347" s="87" t="s">
        <v>61</v>
      </c>
      <c r="E347" s="89">
        <v>45081</v>
      </c>
      <c r="F347" s="90">
        <v>38437.5</v>
      </c>
      <c r="G347" s="90">
        <v>38437.5</v>
      </c>
    </row>
    <row r="348" spans="1:7">
      <c r="A348" s="33" t="s">
        <v>764</v>
      </c>
      <c r="B348" s="33" t="s">
        <v>754</v>
      </c>
      <c r="C348" s="48" t="s">
        <v>43</v>
      </c>
      <c r="D348" s="33" t="s">
        <v>61</v>
      </c>
      <c r="E348" s="91">
        <v>45264</v>
      </c>
      <c r="F348" s="92">
        <v>38437.5</v>
      </c>
      <c r="G348" s="92">
        <v>38437.5</v>
      </c>
    </row>
    <row r="349" spans="1:7">
      <c r="A349" s="33" t="s">
        <v>764</v>
      </c>
      <c r="B349" s="33" t="s">
        <v>754</v>
      </c>
      <c r="C349" s="48" t="s">
        <v>43</v>
      </c>
      <c r="D349" s="33" t="s">
        <v>61</v>
      </c>
      <c r="E349" s="91">
        <v>45447</v>
      </c>
      <c r="F349" s="92">
        <v>38437.5</v>
      </c>
      <c r="G349" s="92">
        <v>38437.5</v>
      </c>
    </row>
    <row r="350" spans="1:7">
      <c r="A350" s="33" t="s">
        <v>764</v>
      </c>
      <c r="B350" s="33" t="s">
        <v>754</v>
      </c>
      <c r="C350" s="48" t="s">
        <v>43</v>
      </c>
      <c r="D350" s="33" t="s">
        <v>61</v>
      </c>
      <c r="E350" s="91">
        <v>45630</v>
      </c>
      <c r="F350" s="92">
        <v>38437.5</v>
      </c>
      <c r="G350" s="92">
        <v>38437.5</v>
      </c>
    </row>
    <row r="351" spans="1:7">
      <c r="A351" s="33" t="s">
        <v>764</v>
      </c>
      <c r="B351" s="33" t="s">
        <v>754</v>
      </c>
      <c r="C351" s="48" t="s">
        <v>43</v>
      </c>
      <c r="D351" s="33" t="s">
        <v>61</v>
      </c>
      <c r="E351" s="91">
        <v>45812</v>
      </c>
      <c r="F351" s="92">
        <v>38437.5</v>
      </c>
      <c r="G351" s="92">
        <v>38437.5</v>
      </c>
    </row>
    <row r="352" spans="1:7">
      <c r="A352" s="33" t="s">
        <v>764</v>
      </c>
      <c r="B352" s="33" t="s">
        <v>754</v>
      </c>
      <c r="C352" s="48" t="s">
        <v>43</v>
      </c>
      <c r="D352" s="33" t="s">
        <v>61</v>
      </c>
      <c r="E352" s="91">
        <v>45995</v>
      </c>
      <c r="F352" s="92">
        <v>38437.5</v>
      </c>
      <c r="G352" s="92">
        <v>38437.5</v>
      </c>
    </row>
    <row r="353" spans="1:7">
      <c r="A353" s="33" t="s">
        <v>764</v>
      </c>
      <c r="B353" s="33" t="s">
        <v>754</v>
      </c>
      <c r="C353" s="48" t="s">
        <v>43</v>
      </c>
      <c r="D353" s="33" t="s">
        <v>61</v>
      </c>
      <c r="E353" s="91">
        <v>46177</v>
      </c>
      <c r="F353" s="92">
        <v>38437.5</v>
      </c>
      <c r="G353" s="92">
        <v>38437.5</v>
      </c>
    </row>
    <row r="354" spans="1:7">
      <c r="A354" s="33" t="s">
        <v>764</v>
      </c>
      <c r="B354" s="33" t="s">
        <v>754</v>
      </c>
      <c r="C354" s="48" t="s">
        <v>43</v>
      </c>
      <c r="D354" s="33" t="s">
        <v>61</v>
      </c>
      <c r="E354" s="91">
        <v>46360</v>
      </c>
      <c r="F354" s="92">
        <v>38437.5</v>
      </c>
      <c r="G354" s="92">
        <v>38437.5</v>
      </c>
    </row>
    <row r="355" spans="1:7">
      <c r="A355" s="33" t="s">
        <v>764</v>
      </c>
      <c r="B355" s="33" t="s">
        <v>754</v>
      </c>
      <c r="C355" s="48" t="s">
        <v>43</v>
      </c>
      <c r="D355" s="33" t="s">
        <v>61</v>
      </c>
      <c r="E355" s="91">
        <v>46542</v>
      </c>
      <c r="F355" s="92">
        <v>38437.5</v>
      </c>
      <c r="G355" s="92">
        <v>38437.5</v>
      </c>
    </row>
    <row r="356" spans="1:7">
      <c r="A356" s="33" t="s">
        <v>764</v>
      </c>
      <c r="B356" s="33" t="s">
        <v>754</v>
      </c>
      <c r="C356" s="48" t="s">
        <v>43</v>
      </c>
      <c r="D356" s="33" t="s">
        <v>61</v>
      </c>
      <c r="E356" s="91">
        <v>46725</v>
      </c>
      <c r="F356" s="92">
        <v>38437.5</v>
      </c>
      <c r="G356" s="92">
        <v>38437.5</v>
      </c>
    </row>
    <row r="357" spans="1:7">
      <c r="A357" s="33" t="s">
        <v>764</v>
      </c>
      <c r="B357" s="33" t="s">
        <v>754</v>
      </c>
      <c r="C357" s="48" t="s">
        <v>43</v>
      </c>
      <c r="D357" s="33" t="s">
        <v>61</v>
      </c>
      <c r="E357" s="91">
        <v>46908</v>
      </c>
      <c r="F357" s="92">
        <v>38437.5</v>
      </c>
      <c r="G357" s="92">
        <v>38437.5</v>
      </c>
    </row>
    <row r="358" spans="1:7">
      <c r="A358" s="33" t="s">
        <v>764</v>
      </c>
      <c r="B358" s="33" t="s">
        <v>754</v>
      </c>
      <c r="C358" s="48" t="s">
        <v>43</v>
      </c>
      <c r="D358" s="33" t="s">
        <v>61</v>
      </c>
      <c r="E358" s="91">
        <v>47091</v>
      </c>
      <c r="F358" s="92">
        <v>38437.5</v>
      </c>
      <c r="G358" s="92">
        <v>1538437.5</v>
      </c>
    </row>
    <row r="359" spans="1:7">
      <c r="A359" s="87" t="s">
        <v>264</v>
      </c>
      <c r="B359" s="87" t="s">
        <v>54</v>
      </c>
      <c r="C359" s="88" t="s">
        <v>43</v>
      </c>
      <c r="D359" s="87" t="s">
        <v>61</v>
      </c>
      <c r="E359" s="89">
        <v>45564</v>
      </c>
      <c r="F359" s="90">
        <v>48500</v>
      </c>
      <c r="G359" s="90">
        <v>48500</v>
      </c>
    </row>
    <row r="360" spans="1:7">
      <c r="A360" s="33" t="s">
        <v>264</v>
      </c>
      <c r="B360" s="33" t="s">
        <v>54</v>
      </c>
      <c r="C360" s="48" t="s">
        <v>43</v>
      </c>
      <c r="D360" s="33" t="s">
        <v>61</v>
      </c>
      <c r="E360" s="91">
        <v>45745</v>
      </c>
      <c r="F360" s="92">
        <v>48500</v>
      </c>
      <c r="G360" s="92">
        <v>48500</v>
      </c>
    </row>
    <row r="361" spans="1:7">
      <c r="A361" s="33" t="s">
        <v>765</v>
      </c>
      <c r="B361" s="33" t="s">
        <v>54</v>
      </c>
      <c r="C361" s="48" t="s">
        <v>43</v>
      </c>
      <c r="D361" s="33" t="s">
        <v>61</v>
      </c>
      <c r="E361" s="91">
        <v>45929</v>
      </c>
      <c r="F361" s="92">
        <v>48500</v>
      </c>
      <c r="G361" s="92">
        <v>48500</v>
      </c>
    </row>
    <row r="362" spans="1:7">
      <c r="A362" s="33" t="s">
        <v>765</v>
      </c>
      <c r="B362" s="33" t="s">
        <v>54</v>
      </c>
      <c r="C362" s="48" t="s">
        <v>43</v>
      </c>
      <c r="D362" s="33" t="s">
        <v>61</v>
      </c>
      <c r="E362" s="91">
        <v>46110</v>
      </c>
      <c r="F362" s="92">
        <v>48500</v>
      </c>
      <c r="G362" s="92">
        <v>48500</v>
      </c>
    </row>
    <row r="363" spans="1:7">
      <c r="A363" s="33" t="s">
        <v>765</v>
      </c>
      <c r="B363" s="33" t="s">
        <v>54</v>
      </c>
      <c r="C363" s="48" t="s">
        <v>43</v>
      </c>
      <c r="D363" s="33" t="s">
        <v>61</v>
      </c>
      <c r="E363" s="91">
        <v>46294</v>
      </c>
      <c r="F363" s="92">
        <v>48500</v>
      </c>
      <c r="G363" s="92">
        <v>48500</v>
      </c>
    </row>
    <row r="364" spans="1:7">
      <c r="A364" s="33" t="s">
        <v>765</v>
      </c>
      <c r="B364" s="33" t="s">
        <v>54</v>
      </c>
      <c r="C364" s="48" t="s">
        <v>43</v>
      </c>
      <c r="D364" s="33" t="s">
        <v>61</v>
      </c>
      <c r="E364" s="91">
        <v>46475</v>
      </c>
      <c r="F364" s="92">
        <v>48500</v>
      </c>
      <c r="G364" s="92">
        <v>48500</v>
      </c>
    </row>
    <row r="365" spans="1:7">
      <c r="A365" s="33" t="s">
        <v>765</v>
      </c>
      <c r="B365" s="33" t="s">
        <v>54</v>
      </c>
      <c r="C365" s="48" t="s">
        <v>43</v>
      </c>
      <c r="D365" s="33" t="s">
        <v>61</v>
      </c>
      <c r="E365" s="91">
        <v>46659</v>
      </c>
      <c r="F365" s="92">
        <v>48500</v>
      </c>
      <c r="G365" s="92">
        <v>48500</v>
      </c>
    </row>
    <row r="366" spans="1:7">
      <c r="A366" s="33" t="s">
        <v>765</v>
      </c>
      <c r="B366" s="33" t="s">
        <v>54</v>
      </c>
      <c r="C366" s="48" t="s">
        <v>43</v>
      </c>
      <c r="D366" s="33" t="s">
        <v>61</v>
      </c>
      <c r="E366" s="91">
        <v>46841</v>
      </c>
      <c r="F366" s="92">
        <v>48500</v>
      </c>
      <c r="G366" s="92">
        <v>48500</v>
      </c>
    </row>
    <row r="367" spans="1:7">
      <c r="A367" s="33" t="s">
        <v>765</v>
      </c>
      <c r="B367" s="33" t="s">
        <v>54</v>
      </c>
      <c r="C367" s="48" t="s">
        <v>43</v>
      </c>
      <c r="D367" s="33" t="s">
        <v>61</v>
      </c>
      <c r="E367" s="91">
        <v>47025</v>
      </c>
      <c r="F367" s="92">
        <v>48500</v>
      </c>
      <c r="G367" s="92">
        <v>48500</v>
      </c>
    </row>
    <row r="368" spans="1:7">
      <c r="A368" s="33" t="s">
        <v>765</v>
      </c>
      <c r="B368" s="33" t="s">
        <v>54</v>
      </c>
      <c r="C368" s="48" t="s">
        <v>43</v>
      </c>
      <c r="D368" s="33" t="s">
        <v>61</v>
      </c>
      <c r="E368" s="91">
        <v>47206</v>
      </c>
      <c r="F368" s="92">
        <v>48500</v>
      </c>
      <c r="G368" s="92">
        <v>2048500</v>
      </c>
    </row>
    <row r="369" spans="1:7">
      <c r="A369" s="87" t="s">
        <v>264</v>
      </c>
      <c r="B369" s="87" t="s">
        <v>77</v>
      </c>
      <c r="C369" s="88" t="s">
        <v>43</v>
      </c>
      <c r="D369" s="87" t="s">
        <v>61</v>
      </c>
      <c r="E369" s="89">
        <v>45564</v>
      </c>
      <c r="F369" s="90">
        <v>48500</v>
      </c>
      <c r="G369" s="90">
        <v>48500</v>
      </c>
    </row>
    <row r="370" spans="1:7">
      <c r="A370" s="33" t="s">
        <v>264</v>
      </c>
      <c r="B370" s="33" t="s">
        <v>77</v>
      </c>
      <c r="C370" s="33" t="s">
        <v>60</v>
      </c>
      <c r="D370" s="36" t="s">
        <v>61</v>
      </c>
      <c r="E370" s="91">
        <v>45745</v>
      </c>
      <c r="F370" s="92">
        <v>48500</v>
      </c>
      <c r="G370" s="92">
        <v>48500</v>
      </c>
    </row>
    <row r="371" spans="1:7">
      <c r="A371" s="33" t="s">
        <v>765</v>
      </c>
      <c r="B371" s="33" t="s">
        <v>77</v>
      </c>
      <c r="C371" s="33" t="s">
        <v>60</v>
      </c>
      <c r="D371" s="36" t="s">
        <v>61</v>
      </c>
      <c r="E371" s="91">
        <v>45929</v>
      </c>
      <c r="F371" s="92">
        <v>48500</v>
      </c>
      <c r="G371" s="92">
        <v>48500</v>
      </c>
    </row>
    <row r="372" spans="1:7">
      <c r="A372" s="33" t="s">
        <v>765</v>
      </c>
      <c r="B372" s="33" t="s">
        <v>77</v>
      </c>
      <c r="C372" s="33" t="s">
        <v>60</v>
      </c>
      <c r="D372" s="36" t="s">
        <v>61</v>
      </c>
      <c r="E372" s="91">
        <v>46110</v>
      </c>
      <c r="F372" s="92">
        <v>48500</v>
      </c>
      <c r="G372" s="92">
        <v>48500</v>
      </c>
    </row>
    <row r="373" spans="1:7">
      <c r="A373" s="33" t="s">
        <v>765</v>
      </c>
      <c r="B373" s="33" t="s">
        <v>77</v>
      </c>
      <c r="C373" s="33" t="s">
        <v>60</v>
      </c>
      <c r="D373" s="36" t="s">
        <v>61</v>
      </c>
      <c r="E373" s="91">
        <v>46294</v>
      </c>
      <c r="F373" s="92">
        <v>48500</v>
      </c>
      <c r="G373" s="92">
        <v>48500</v>
      </c>
    </row>
    <row r="374" spans="1:7">
      <c r="A374" s="33" t="s">
        <v>765</v>
      </c>
      <c r="B374" s="33" t="s">
        <v>77</v>
      </c>
      <c r="C374" s="33" t="s">
        <v>60</v>
      </c>
      <c r="D374" s="36" t="s">
        <v>61</v>
      </c>
      <c r="E374" s="91">
        <v>46475</v>
      </c>
      <c r="F374" s="92">
        <v>48500</v>
      </c>
      <c r="G374" s="92">
        <v>48500</v>
      </c>
    </row>
    <row r="375" spans="1:7">
      <c r="A375" s="33" t="s">
        <v>765</v>
      </c>
      <c r="B375" s="33" t="s">
        <v>77</v>
      </c>
      <c r="C375" s="33" t="s">
        <v>60</v>
      </c>
      <c r="D375" s="36" t="s">
        <v>61</v>
      </c>
      <c r="E375" s="91">
        <v>46659</v>
      </c>
      <c r="F375" s="92">
        <v>48500</v>
      </c>
      <c r="G375" s="92">
        <v>48500</v>
      </c>
    </row>
    <row r="376" spans="1:7">
      <c r="A376" s="33" t="s">
        <v>765</v>
      </c>
      <c r="B376" s="33" t="s">
        <v>77</v>
      </c>
      <c r="C376" s="33" t="s">
        <v>60</v>
      </c>
      <c r="D376" s="36" t="s">
        <v>61</v>
      </c>
      <c r="E376" s="91">
        <v>46841</v>
      </c>
      <c r="F376" s="92">
        <v>48500</v>
      </c>
      <c r="G376" s="92">
        <v>48500</v>
      </c>
    </row>
    <row r="377" spans="1:7">
      <c r="A377" s="33" t="s">
        <v>765</v>
      </c>
      <c r="B377" s="33" t="s">
        <v>77</v>
      </c>
      <c r="C377" s="33" t="s">
        <v>60</v>
      </c>
      <c r="D377" s="36" t="s">
        <v>61</v>
      </c>
      <c r="E377" s="91">
        <v>47025</v>
      </c>
      <c r="F377" s="92">
        <v>48500</v>
      </c>
      <c r="G377" s="92">
        <v>48500</v>
      </c>
    </row>
    <row r="378" spans="1:7">
      <c r="A378" s="33" t="s">
        <v>765</v>
      </c>
      <c r="B378" s="33" t="s">
        <v>77</v>
      </c>
      <c r="C378" s="33" t="s">
        <v>60</v>
      </c>
      <c r="D378" s="36" t="s">
        <v>61</v>
      </c>
      <c r="E378" s="91">
        <v>47206</v>
      </c>
      <c r="F378" s="92">
        <v>48500</v>
      </c>
      <c r="G378" s="92">
        <v>2048500</v>
      </c>
    </row>
    <row r="379" spans="1:7">
      <c r="A379" s="87" t="s">
        <v>59</v>
      </c>
      <c r="B379" s="87" t="s">
        <v>54</v>
      </c>
      <c r="C379" s="88" t="s">
        <v>43</v>
      </c>
      <c r="D379" s="87" t="s">
        <v>61</v>
      </c>
      <c r="E379" s="89">
        <v>45062</v>
      </c>
      <c r="F379" s="90">
        <v>132930</v>
      </c>
      <c r="G379" s="90">
        <v>132930</v>
      </c>
    </row>
    <row r="380" spans="1:7">
      <c r="A380" s="33" t="s">
        <v>59</v>
      </c>
      <c r="B380" s="33" t="s">
        <v>54</v>
      </c>
      <c r="C380" s="33" t="s">
        <v>60</v>
      </c>
      <c r="D380" s="36" t="s">
        <v>61</v>
      </c>
      <c r="E380" s="91">
        <v>45236</v>
      </c>
      <c r="F380" s="92">
        <v>132930</v>
      </c>
      <c r="G380" s="92">
        <v>132930</v>
      </c>
    </row>
    <row r="381" spans="1:7">
      <c r="A381" s="33" t="s">
        <v>59</v>
      </c>
      <c r="B381" s="33" t="s">
        <v>54</v>
      </c>
      <c r="C381" s="33" t="s">
        <v>60</v>
      </c>
      <c r="D381" s="36" t="s">
        <v>61</v>
      </c>
      <c r="E381" s="91">
        <v>45428</v>
      </c>
      <c r="F381" s="92">
        <v>132930</v>
      </c>
      <c r="G381" s="92">
        <v>132930</v>
      </c>
    </row>
    <row r="382" spans="1:7">
      <c r="A382" s="33" t="s">
        <v>59</v>
      </c>
      <c r="B382" s="33" t="s">
        <v>54</v>
      </c>
      <c r="C382" s="33" t="s">
        <v>60</v>
      </c>
      <c r="D382" s="36" t="s">
        <v>61</v>
      </c>
      <c r="E382" s="91">
        <v>45602</v>
      </c>
      <c r="F382" s="92">
        <v>132930</v>
      </c>
      <c r="G382" s="92">
        <v>132930</v>
      </c>
    </row>
    <row r="383" spans="1:7">
      <c r="A383" s="33" t="s">
        <v>59</v>
      </c>
      <c r="B383" s="33" t="s">
        <v>54</v>
      </c>
      <c r="C383" s="33" t="s">
        <v>60</v>
      </c>
      <c r="D383" s="36" t="s">
        <v>61</v>
      </c>
      <c r="E383" s="91">
        <v>45793</v>
      </c>
      <c r="F383" s="92">
        <v>132930</v>
      </c>
      <c r="G383" s="92">
        <v>132930</v>
      </c>
    </row>
    <row r="384" spans="1:7">
      <c r="A384" s="33" t="s">
        <v>59</v>
      </c>
      <c r="B384" s="33" t="s">
        <v>54</v>
      </c>
      <c r="C384" s="33" t="s">
        <v>60</v>
      </c>
      <c r="D384" s="36" t="s">
        <v>61</v>
      </c>
      <c r="E384" s="91">
        <v>45967</v>
      </c>
      <c r="F384" s="92">
        <v>132930</v>
      </c>
      <c r="G384" s="92">
        <v>132930</v>
      </c>
    </row>
    <row r="385" spans="1:7">
      <c r="A385" s="33" t="s">
        <v>59</v>
      </c>
      <c r="B385" s="33" t="s">
        <v>54</v>
      </c>
      <c r="C385" s="33" t="s">
        <v>60</v>
      </c>
      <c r="D385" s="36" t="s">
        <v>61</v>
      </c>
      <c r="E385" s="91">
        <v>46158</v>
      </c>
      <c r="F385" s="92">
        <v>132930</v>
      </c>
      <c r="G385" s="92">
        <v>9132930</v>
      </c>
    </row>
    <row r="386" spans="1:7">
      <c r="A386" s="87" t="s">
        <v>49</v>
      </c>
      <c r="B386" s="87" t="s">
        <v>754</v>
      </c>
      <c r="C386" s="87" t="s">
        <v>35</v>
      </c>
      <c r="D386" s="96" t="s">
        <v>36</v>
      </c>
      <c r="E386" s="89">
        <v>44501</v>
      </c>
      <c r="F386" s="90">
        <v>17000</v>
      </c>
      <c r="G386" s="90">
        <v>17000</v>
      </c>
    </row>
    <row r="387" spans="1:7">
      <c r="A387" s="33" t="s">
        <v>49</v>
      </c>
      <c r="B387" s="33" t="s">
        <v>754</v>
      </c>
      <c r="C387" s="33" t="s">
        <v>35</v>
      </c>
      <c r="D387" s="36" t="s">
        <v>36</v>
      </c>
      <c r="E387" s="91">
        <v>44682</v>
      </c>
      <c r="F387" s="92">
        <v>17000</v>
      </c>
      <c r="G387" s="92">
        <v>17000</v>
      </c>
    </row>
    <row r="388" spans="1:7">
      <c r="A388" s="33" t="s">
        <v>766</v>
      </c>
      <c r="B388" s="33" t="s">
        <v>754</v>
      </c>
      <c r="C388" s="33" t="s">
        <v>35</v>
      </c>
      <c r="D388" s="36" t="s">
        <v>36</v>
      </c>
      <c r="E388" s="91">
        <v>44866</v>
      </c>
      <c r="F388" s="92">
        <v>17000</v>
      </c>
      <c r="G388" s="92">
        <v>17000</v>
      </c>
    </row>
    <row r="389" spans="1:7">
      <c r="A389" s="33" t="s">
        <v>766</v>
      </c>
      <c r="B389" s="33" t="s">
        <v>754</v>
      </c>
      <c r="C389" s="33" t="s">
        <v>35</v>
      </c>
      <c r="D389" s="36" t="s">
        <v>36</v>
      </c>
      <c r="E389" s="91">
        <v>45047</v>
      </c>
      <c r="F389" s="92">
        <v>17000</v>
      </c>
      <c r="G389" s="92">
        <v>17000</v>
      </c>
    </row>
    <row r="390" spans="1:7">
      <c r="A390" s="33" t="s">
        <v>766</v>
      </c>
      <c r="B390" s="33" t="s">
        <v>754</v>
      </c>
      <c r="C390" s="33" t="s">
        <v>35</v>
      </c>
      <c r="D390" s="36" t="s">
        <v>36</v>
      </c>
      <c r="E390" s="91">
        <v>45231</v>
      </c>
      <c r="F390" s="92">
        <v>17000</v>
      </c>
      <c r="G390" s="92">
        <v>17000</v>
      </c>
    </row>
    <row r="391" spans="1:7">
      <c r="A391" s="33" t="s">
        <v>766</v>
      </c>
      <c r="B391" s="33" t="s">
        <v>754</v>
      </c>
      <c r="C391" s="33" t="s">
        <v>35</v>
      </c>
      <c r="D391" s="36" t="s">
        <v>36</v>
      </c>
      <c r="E391" s="91">
        <v>45413</v>
      </c>
      <c r="F391" s="92">
        <v>17000</v>
      </c>
      <c r="G391" s="92">
        <v>17000</v>
      </c>
    </row>
    <row r="392" spans="1:7">
      <c r="A392" s="33" t="s">
        <v>766</v>
      </c>
      <c r="B392" s="33" t="s">
        <v>754</v>
      </c>
      <c r="C392" s="33" t="s">
        <v>35</v>
      </c>
      <c r="D392" s="36" t="s">
        <v>36</v>
      </c>
      <c r="E392" s="91">
        <v>45597</v>
      </c>
      <c r="F392" s="92">
        <v>17000</v>
      </c>
      <c r="G392" s="92">
        <v>17000</v>
      </c>
    </row>
    <row r="393" spans="1:7">
      <c r="A393" s="33" t="s">
        <v>766</v>
      </c>
      <c r="B393" s="33" t="s">
        <v>754</v>
      </c>
      <c r="C393" s="33" t="s">
        <v>35</v>
      </c>
      <c r="D393" s="36" t="s">
        <v>36</v>
      </c>
      <c r="E393" s="91">
        <v>45778</v>
      </c>
      <c r="F393" s="92">
        <v>17000</v>
      </c>
      <c r="G393" s="92">
        <v>17000</v>
      </c>
    </row>
    <row r="394" spans="1:7">
      <c r="A394" s="33" t="s">
        <v>766</v>
      </c>
      <c r="B394" s="33" t="s">
        <v>754</v>
      </c>
      <c r="C394" s="33" t="s">
        <v>35</v>
      </c>
      <c r="D394" s="36" t="s">
        <v>36</v>
      </c>
      <c r="E394" s="91">
        <v>45962</v>
      </c>
      <c r="F394" s="92">
        <v>17000</v>
      </c>
      <c r="G394" s="92">
        <v>17000</v>
      </c>
    </row>
    <row r="395" spans="1:7">
      <c r="A395" s="33" t="s">
        <v>766</v>
      </c>
      <c r="B395" s="33" t="s">
        <v>754</v>
      </c>
      <c r="C395" s="33" t="s">
        <v>35</v>
      </c>
      <c r="D395" s="36" t="s">
        <v>36</v>
      </c>
      <c r="E395" s="91">
        <v>46143</v>
      </c>
      <c r="F395" s="92">
        <v>17000</v>
      </c>
      <c r="G395" s="92">
        <v>1017000</v>
      </c>
    </row>
    <row r="396" spans="1:7">
      <c r="A396" s="87" t="s">
        <v>737</v>
      </c>
      <c r="B396" s="87" t="s">
        <v>54</v>
      </c>
      <c r="C396" s="88" t="s">
        <v>67</v>
      </c>
      <c r="D396" s="87" t="s">
        <v>61</v>
      </c>
      <c r="E396" s="89">
        <v>45672</v>
      </c>
      <c r="F396" s="90">
        <v>165420</v>
      </c>
      <c r="G396" s="97">
        <v>165420</v>
      </c>
    </row>
    <row r="397" spans="1:7">
      <c r="A397" s="56" t="s">
        <v>767</v>
      </c>
      <c r="B397" s="56" t="s">
        <v>233</v>
      </c>
      <c r="C397" s="57" t="s">
        <v>35</v>
      </c>
      <c r="D397" s="36" t="s">
        <v>61</v>
      </c>
      <c r="E397" s="93">
        <v>45843</v>
      </c>
      <c r="F397" s="46">
        <v>165420</v>
      </c>
      <c r="G397" s="46">
        <v>165420</v>
      </c>
    </row>
    <row r="398" spans="1:7">
      <c r="A398" s="56" t="s">
        <v>768</v>
      </c>
      <c r="B398" s="56" t="s">
        <v>233</v>
      </c>
      <c r="C398" s="57" t="s">
        <v>35</v>
      </c>
      <c r="D398" s="36" t="s">
        <v>61</v>
      </c>
      <c r="E398" s="93">
        <v>46027</v>
      </c>
      <c r="F398" s="46">
        <v>165420</v>
      </c>
      <c r="G398" s="46">
        <v>165420</v>
      </c>
    </row>
    <row r="399" spans="1:7">
      <c r="A399" s="56" t="s">
        <v>768</v>
      </c>
      <c r="B399" s="56" t="s">
        <v>233</v>
      </c>
      <c r="C399" s="57" t="s">
        <v>35</v>
      </c>
      <c r="D399" s="36" t="s">
        <v>61</v>
      </c>
      <c r="E399" s="93">
        <v>46208</v>
      </c>
      <c r="F399" s="46">
        <v>165420</v>
      </c>
      <c r="G399" s="46">
        <v>165420</v>
      </c>
    </row>
    <row r="400" spans="1:7">
      <c r="A400" s="56" t="s">
        <v>768</v>
      </c>
      <c r="B400" s="56" t="s">
        <v>233</v>
      </c>
      <c r="C400" s="57" t="s">
        <v>35</v>
      </c>
      <c r="D400" s="36" t="s">
        <v>61</v>
      </c>
      <c r="E400" s="93">
        <v>46392</v>
      </c>
      <c r="F400" s="46">
        <v>165420</v>
      </c>
      <c r="G400" s="46">
        <v>165420</v>
      </c>
    </row>
    <row r="401" spans="1:7">
      <c r="A401" s="56" t="s">
        <v>768</v>
      </c>
      <c r="B401" s="56" t="s">
        <v>233</v>
      </c>
      <c r="C401" s="57" t="s">
        <v>35</v>
      </c>
      <c r="D401" s="36" t="s">
        <v>61</v>
      </c>
      <c r="E401" s="93">
        <v>46573</v>
      </c>
      <c r="F401" s="46">
        <v>165420</v>
      </c>
      <c r="G401" s="46">
        <v>165420</v>
      </c>
    </row>
    <row r="402" spans="1:7">
      <c r="A402" s="56" t="s">
        <v>768</v>
      </c>
      <c r="B402" s="56" t="s">
        <v>233</v>
      </c>
      <c r="C402" s="57" t="s">
        <v>35</v>
      </c>
      <c r="D402" s="36" t="s">
        <v>61</v>
      </c>
      <c r="E402" s="93">
        <v>46757</v>
      </c>
      <c r="F402" s="46">
        <v>165420</v>
      </c>
      <c r="G402" s="46">
        <v>165420</v>
      </c>
    </row>
    <row r="403" spans="1:7">
      <c r="A403" s="56" t="s">
        <v>768</v>
      </c>
      <c r="B403" s="56" t="s">
        <v>233</v>
      </c>
      <c r="C403" s="57" t="s">
        <v>35</v>
      </c>
      <c r="D403" s="36" t="s">
        <v>61</v>
      </c>
      <c r="E403" s="93">
        <v>46939</v>
      </c>
      <c r="F403" s="46">
        <v>165420</v>
      </c>
      <c r="G403" s="46">
        <v>165420</v>
      </c>
    </row>
    <row r="404" spans="1:7">
      <c r="A404" s="56" t="s">
        <v>768</v>
      </c>
      <c r="B404" s="56" t="s">
        <v>233</v>
      </c>
      <c r="C404" s="57" t="s">
        <v>35</v>
      </c>
      <c r="D404" s="36" t="s">
        <v>61</v>
      </c>
      <c r="E404" s="93">
        <v>47123</v>
      </c>
      <c r="F404" s="46">
        <v>165420</v>
      </c>
      <c r="G404" s="46">
        <v>165420</v>
      </c>
    </row>
    <row r="405" spans="1:7">
      <c r="A405" s="56" t="s">
        <v>768</v>
      </c>
      <c r="B405" s="56" t="s">
        <v>233</v>
      </c>
      <c r="C405" s="57" t="s">
        <v>35</v>
      </c>
      <c r="D405" s="36" t="s">
        <v>61</v>
      </c>
      <c r="E405" s="93">
        <v>47304</v>
      </c>
      <c r="F405" s="46">
        <v>165420</v>
      </c>
      <c r="G405" s="46">
        <v>165420</v>
      </c>
    </row>
    <row r="406" spans="1:7">
      <c r="A406" s="56" t="s">
        <v>768</v>
      </c>
      <c r="B406" s="56" t="s">
        <v>233</v>
      </c>
      <c r="C406" s="57" t="s">
        <v>35</v>
      </c>
      <c r="D406" s="36" t="s">
        <v>61</v>
      </c>
      <c r="E406" s="93">
        <v>47488</v>
      </c>
      <c r="F406" s="46">
        <v>165420</v>
      </c>
      <c r="G406" s="46">
        <v>165420</v>
      </c>
    </row>
    <row r="407" spans="1:7">
      <c r="A407" s="56" t="s">
        <v>768</v>
      </c>
      <c r="B407" s="56" t="s">
        <v>233</v>
      </c>
      <c r="C407" s="57" t="s">
        <v>35</v>
      </c>
      <c r="D407" s="36" t="s">
        <v>61</v>
      </c>
      <c r="E407" s="93">
        <v>47669</v>
      </c>
      <c r="F407" s="46">
        <v>165420</v>
      </c>
      <c r="G407" s="46">
        <v>165420</v>
      </c>
    </row>
    <row r="408" spans="1:7">
      <c r="A408" s="56" t="s">
        <v>768</v>
      </c>
      <c r="B408" s="56" t="s">
        <v>233</v>
      </c>
      <c r="C408" s="57" t="s">
        <v>35</v>
      </c>
      <c r="D408" s="36" t="s">
        <v>61</v>
      </c>
      <c r="E408" s="93">
        <v>47853</v>
      </c>
      <c r="F408" s="46">
        <v>165420</v>
      </c>
      <c r="G408" s="46">
        <v>165420</v>
      </c>
    </row>
    <row r="409" spans="1:7">
      <c r="A409" s="56" t="s">
        <v>768</v>
      </c>
      <c r="B409" s="56" t="s">
        <v>233</v>
      </c>
      <c r="C409" s="57" t="s">
        <v>35</v>
      </c>
      <c r="D409" s="36" t="s">
        <v>61</v>
      </c>
      <c r="E409" s="93">
        <v>48034</v>
      </c>
      <c r="F409" s="46">
        <v>165420</v>
      </c>
      <c r="G409" s="46">
        <v>165420</v>
      </c>
    </row>
    <row r="410" spans="1:7">
      <c r="A410" s="56" t="s">
        <v>768</v>
      </c>
      <c r="B410" s="56" t="s">
        <v>233</v>
      </c>
      <c r="C410" s="57" t="s">
        <v>35</v>
      </c>
      <c r="D410" s="36" t="s">
        <v>61</v>
      </c>
      <c r="E410" s="93">
        <v>48218</v>
      </c>
      <c r="F410" s="46">
        <v>165420</v>
      </c>
      <c r="G410" s="46">
        <v>165420</v>
      </c>
    </row>
    <row r="411" spans="1:7">
      <c r="A411" s="56" t="s">
        <v>768</v>
      </c>
      <c r="B411" s="56" t="s">
        <v>233</v>
      </c>
      <c r="C411" s="57" t="s">
        <v>35</v>
      </c>
      <c r="D411" s="36" t="s">
        <v>61</v>
      </c>
      <c r="E411" s="93">
        <v>48400</v>
      </c>
      <c r="F411" s="46">
        <v>165420</v>
      </c>
      <c r="G411" s="46">
        <v>165420</v>
      </c>
    </row>
    <row r="412" spans="1:7">
      <c r="A412" s="56" t="s">
        <v>768</v>
      </c>
      <c r="B412" s="56" t="s">
        <v>233</v>
      </c>
      <c r="C412" s="57" t="s">
        <v>35</v>
      </c>
      <c r="D412" s="36" t="s">
        <v>61</v>
      </c>
      <c r="E412" s="93">
        <v>48584</v>
      </c>
      <c r="F412" s="46">
        <v>165420</v>
      </c>
      <c r="G412" s="46">
        <v>165420</v>
      </c>
    </row>
    <row r="413" spans="1:7">
      <c r="A413" s="56" t="s">
        <v>768</v>
      </c>
      <c r="B413" s="56" t="s">
        <v>233</v>
      </c>
      <c r="C413" s="57" t="s">
        <v>35</v>
      </c>
      <c r="D413" s="36" t="s">
        <v>61</v>
      </c>
      <c r="E413" s="93">
        <v>48765</v>
      </c>
      <c r="F413" s="46">
        <v>165420</v>
      </c>
      <c r="G413" s="46">
        <v>6165420</v>
      </c>
    </row>
    <row r="414" spans="1:7">
      <c r="A414" s="87" t="s">
        <v>737</v>
      </c>
      <c r="B414" s="87" t="s">
        <v>54</v>
      </c>
      <c r="C414" s="88" t="s">
        <v>67</v>
      </c>
      <c r="D414" s="87" t="s">
        <v>61</v>
      </c>
      <c r="E414" s="89">
        <v>45672</v>
      </c>
      <c r="F414" s="90">
        <v>55140</v>
      </c>
      <c r="G414" s="90">
        <v>55140</v>
      </c>
    </row>
    <row r="415" spans="1:7">
      <c r="A415" s="56" t="s">
        <v>767</v>
      </c>
      <c r="B415" s="56" t="s">
        <v>233</v>
      </c>
      <c r="C415" s="57" t="s">
        <v>35</v>
      </c>
      <c r="D415" s="36" t="s">
        <v>61</v>
      </c>
      <c r="E415" s="93">
        <v>45843</v>
      </c>
      <c r="F415" s="46">
        <v>55140</v>
      </c>
      <c r="G415" s="46">
        <v>55140</v>
      </c>
    </row>
    <row r="416" spans="1:7">
      <c r="A416" s="56" t="s">
        <v>768</v>
      </c>
      <c r="B416" s="56" t="s">
        <v>233</v>
      </c>
      <c r="C416" s="57" t="s">
        <v>35</v>
      </c>
      <c r="D416" s="36" t="s">
        <v>61</v>
      </c>
      <c r="E416" s="93">
        <v>46027</v>
      </c>
      <c r="F416" s="46">
        <v>55140</v>
      </c>
      <c r="G416" s="46">
        <v>55140</v>
      </c>
    </row>
    <row r="417" spans="1:7">
      <c r="A417" s="56" t="s">
        <v>768</v>
      </c>
      <c r="B417" s="56" t="s">
        <v>233</v>
      </c>
      <c r="C417" s="57" t="s">
        <v>35</v>
      </c>
      <c r="D417" s="36" t="s">
        <v>61</v>
      </c>
      <c r="E417" s="93">
        <v>46208</v>
      </c>
      <c r="F417" s="46">
        <v>55140</v>
      </c>
      <c r="G417" s="46">
        <v>55140</v>
      </c>
    </row>
    <row r="418" spans="1:7">
      <c r="A418" s="56" t="s">
        <v>768</v>
      </c>
      <c r="B418" s="56" t="s">
        <v>233</v>
      </c>
      <c r="C418" s="57" t="s">
        <v>35</v>
      </c>
      <c r="D418" s="36" t="s">
        <v>61</v>
      </c>
      <c r="E418" s="93">
        <v>46392</v>
      </c>
      <c r="F418" s="46">
        <v>55140</v>
      </c>
      <c r="G418" s="46">
        <v>55140</v>
      </c>
    </row>
    <row r="419" spans="1:7">
      <c r="A419" s="56" t="s">
        <v>768</v>
      </c>
      <c r="B419" s="56" t="s">
        <v>233</v>
      </c>
      <c r="C419" s="57" t="s">
        <v>35</v>
      </c>
      <c r="D419" s="36" t="s">
        <v>61</v>
      </c>
      <c r="E419" s="93">
        <v>46573</v>
      </c>
      <c r="F419" s="46">
        <v>55140</v>
      </c>
      <c r="G419" s="46">
        <v>55140</v>
      </c>
    </row>
    <row r="420" spans="1:7">
      <c r="A420" s="56" t="s">
        <v>768</v>
      </c>
      <c r="B420" s="56" t="s">
        <v>233</v>
      </c>
      <c r="C420" s="57" t="s">
        <v>35</v>
      </c>
      <c r="D420" s="36" t="s">
        <v>61</v>
      </c>
      <c r="E420" s="93">
        <v>46757</v>
      </c>
      <c r="F420" s="46">
        <v>55140</v>
      </c>
      <c r="G420" s="46">
        <v>55140</v>
      </c>
    </row>
    <row r="421" spans="1:7">
      <c r="A421" s="56" t="s">
        <v>768</v>
      </c>
      <c r="B421" s="56" t="s">
        <v>233</v>
      </c>
      <c r="C421" s="57" t="s">
        <v>35</v>
      </c>
      <c r="D421" s="36" t="s">
        <v>61</v>
      </c>
      <c r="E421" s="93">
        <v>46939</v>
      </c>
      <c r="F421" s="46">
        <v>55140</v>
      </c>
      <c r="G421" s="46">
        <v>55140</v>
      </c>
    </row>
    <row r="422" spans="1:7">
      <c r="A422" s="56" t="s">
        <v>768</v>
      </c>
      <c r="B422" s="56" t="s">
        <v>233</v>
      </c>
      <c r="C422" s="57" t="s">
        <v>35</v>
      </c>
      <c r="D422" s="36" t="s">
        <v>61</v>
      </c>
      <c r="E422" s="93">
        <v>47123</v>
      </c>
      <c r="F422" s="46">
        <v>55140</v>
      </c>
      <c r="G422" s="46">
        <v>55140</v>
      </c>
    </row>
    <row r="423" spans="1:7">
      <c r="A423" s="56" t="s">
        <v>768</v>
      </c>
      <c r="B423" s="56" t="s">
        <v>233</v>
      </c>
      <c r="C423" s="57" t="s">
        <v>35</v>
      </c>
      <c r="D423" s="36" t="s">
        <v>61</v>
      </c>
      <c r="E423" s="93">
        <v>47304</v>
      </c>
      <c r="F423" s="46">
        <v>55140</v>
      </c>
      <c r="G423" s="46">
        <v>55140</v>
      </c>
    </row>
    <row r="424" spans="1:7">
      <c r="A424" s="56" t="s">
        <v>768</v>
      </c>
      <c r="B424" s="56" t="s">
        <v>233</v>
      </c>
      <c r="C424" s="57" t="s">
        <v>35</v>
      </c>
      <c r="D424" s="36" t="s">
        <v>61</v>
      </c>
      <c r="E424" s="93">
        <v>47488</v>
      </c>
      <c r="F424" s="46">
        <v>55140</v>
      </c>
      <c r="G424" s="46">
        <v>55140</v>
      </c>
    </row>
    <row r="425" spans="1:7">
      <c r="A425" s="56" t="s">
        <v>768</v>
      </c>
      <c r="B425" s="56" t="s">
        <v>233</v>
      </c>
      <c r="C425" s="57" t="s">
        <v>35</v>
      </c>
      <c r="D425" s="36" t="s">
        <v>61</v>
      </c>
      <c r="E425" s="93">
        <v>47669</v>
      </c>
      <c r="F425" s="46">
        <v>55140</v>
      </c>
      <c r="G425" s="46">
        <v>55140</v>
      </c>
    </row>
    <row r="426" spans="1:7">
      <c r="A426" s="56" t="s">
        <v>768</v>
      </c>
      <c r="B426" s="56" t="s">
        <v>233</v>
      </c>
      <c r="C426" s="57" t="s">
        <v>35</v>
      </c>
      <c r="D426" s="36" t="s">
        <v>61</v>
      </c>
      <c r="E426" s="93">
        <v>47853</v>
      </c>
      <c r="F426" s="46">
        <v>55140</v>
      </c>
      <c r="G426" s="46">
        <v>55140</v>
      </c>
    </row>
    <row r="427" spans="1:7">
      <c r="A427" s="56" t="s">
        <v>768</v>
      </c>
      <c r="B427" s="56" t="s">
        <v>233</v>
      </c>
      <c r="C427" s="57" t="s">
        <v>35</v>
      </c>
      <c r="D427" s="36" t="s">
        <v>61</v>
      </c>
      <c r="E427" s="93">
        <v>48034</v>
      </c>
      <c r="F427" s="46">
        <v>55140</v>
      </c>
      <c r="G427" s="46">
        <v>55140</v>
      </c>
    </row>
    <row r="428" spans="1:7">
      <c r="A428" s="56" t="s">
        <v>768</v>
      </c>
      <c r="B428" s="56" t="s">
        <v>233</v>
      </c>
      <c r="C428" s="57" t="s">
        <v>35</v>
      </c>
      <c r="D428" s="36" t="s">
        <v>61</v>
      </c>
      <c r="E428" s="93">
        <v>48218</v>
      </c>
      <c r="F428" s="46">
        <v>55140</v>
      </c>
      <c r="G428" s="46">
        <v>55140</v>
      </c>
    </row>
    <row r="429" spans="1:7">
      <c r="A429" s="56" t="s">
        <v>768</v>
      </c>
      <c r="B429" s="56" t="s">
        <v>233</v>
      </c>
      <c r="C429" s="57" t="s">
        <v>35</v>
      </c>
      <c r="D429" s="36" t="s">
        <v>61</v>
      </c>
      <c r="E429" s="93">
        <v>48400</v>
      </c>
      <c r="F429" s="46">
        <v>55140</v>
      </c>
      <c r="G429" s="46">
        <v>55140</v>
      </c>
    </row>
    <row r="430" spans="1:7">
      <c r="A430" s="56" t="s">
        <v>768</v>
      </c>
      <c r="B430" s="56" t="s">
        <v>233</v>
      </c>
      <c r="C430" s="57" t="s">
        <v>35</v>
      </c>
      <c r="D430" s="36" t="s">
        <v>61</v>
      </c>
      <c r="E430" s="93">
        <v>48584</v>
      </c>
      <c r="F430" s="46">
        <v>55140</v>
      </c>
      <c r="G430" s="46">
        <v>55140</v>
      </c>
    </row>
    <row r="431" spans="1:7">
      <c r="A431" s="56" t="s">
        <v>768</v>
      </c>
      <c r="B431" s="56" t="s">
        <v>233</v>
      </c>
      <c r="C431" s="57" t="s">
        <v>35</v>
      </c>
      <c r="D431" s="36" t="s">
        <v>61</v>
      </c>
      <c r="E431" s="93">
        <v>48765</v>
      </c>
      <c r="F431" s="46">
        <v>55140</v>
      </c>
      <c r="G431" s="46">
        <v>2055140</v>
      </c>
    </row>
    <row r="432" spans="1:7">
      <c r="A432" s="87" t="s">
        <v>689</v>
      </c>
      <c r="B432" s="87" t="s">
        <v>54</v>
      </c>
      <c r="C432" s="88" t="s">
        <v>67</v>
      </c>
      <c r="D432" s="87" t="s">
        <v>61</v>
      </c>
      <c r="E432" s="89">
        <v>45672</v>
      </c>
      <c r="F432" s="90">
        <v>142500</v>
      </c>
      <c r="G432" s="97">
        <v>142500</v>
      </c>
    </row>
    <row r="433" spans="1:7">
      <c r="A433" s="33" t="s">
        <v>689</v>
      </c>
      <c r="B433" s="33" t="s">
        <v>54</v>
      </c>
      <c r="C433" s="48" t="s">
        <v>67</v>
      </c>
      <c r="D433" s="33" t="s">
        <v>61</v>
      </c>
      <c r="E433" s="93">
        <v>45853</v>
      </c>
      <c r="F433" s="46">
        <v>142500</v>
      </c>
      <c r="G433" s="98">
        <v>142500</v>
      </c>
    </row>
    <row r="434" spans="1:7">
      <c r="A434" s="33" t="s">
        <v>689</v>
      </c>
      <c r="B434" s="33" t="s">
        <v>54</v>
      </c>
      <c r="C434" s="48" t="s">
        <v>67</v>
      </c>
      <c r="D434" s="33" t="s">
        <v>61</v>
      </c>
      <c r="E434" s="93">
        <v>46037</v>
      </c>
      <c r="F434" s="46">
        <v>142500</v>
      </c>
      <c r="G434" s="98">
        <v>142500</v>
      </c>
    </row>
    <row r="435" spans="1:7">
      <c r="A435" s="33" t="s">
        <v>769</v>
      </c>
      <c r="B435" s="33" t="s">
        <v>54</v>
      </c>
      <c r="C435" s="48" t="s">
        <v>67</v>
      </c>
      <c r="D435" s="33" t="s">
        <v>61</v>
      </c>
      <c r="E435" s="93">
        <v>46218</v>
      </c>
      <c r="F435" s="46">
        <v>142500</v>
      </c>
      <c r="G435" s="98">
        <v>142500</v>
      </c>
    </row>
    <row r="436" spans="1:7">
      <c r="A436" s="33" t="s">
        <v>769</v>
      </c>
      <c r="B436" s="33" t="s">
        <v>54</v>
      </c>
      <c r="C436" s="48" t="s">
        <v>67</v>
      </c>
      <c r="D436" s="33" t="s">
        <v>61</v>
      </c>
      <c r="E436" s="93">
        <v>46402</v>
      </c>
      <c r="F436" s="46">
        <v>142500</v>
      </c>
      <c r="G436" s="98">
        <v>142500</v>
      </c>
    </row>
    <row r="437" spans="1:7">
      <c r="A437" s="33" t="s">
        <v>769</v>
      </c>
      <c r="B437" s="33" t="s">
        <v>54</v>
      </c>
      <c r="C437" s="48" t="s">
        <v>67</v>
      </c>
      <c r="D437" s="33" t="s">
        <v>61</v>
      </c>
      <c r="E437" s="93">
        <v>46583</v>
      </c>
      <c r="F437" s="46">
        <v>142500</v>
      </c>
      <c r="G437" s="98">
        <v>142500</v>
      </c>
    </row>
    <row r="438" spans="1:7">
      <c r="A438" s="33" t="s">
        <v>769</v>
      </c>
      <c r="B438" s="33" t="s">
        <v>54</v>
      </c>
      <c r="C438" s="48" t="s">
        <v>67</v>
      </c>
      <c r="D438" s="33" t="s">
        <v>61</v>
      </c>
      <c r="E438" s="93">
        <v>46767</v>
      </c>
      <c r="F438" s="46">
        <v>142500</v>
      </c>
      <c r="G438" s="98">
        <v>142500</v>
      </c>
    </row>
    <row r="439" spans="1:7">
      <c r="A439" s="33" t="s">
        <v>769</v>
      </c>
      <c r="B439" s="33" t="s">
        <v>54</v>
      </c>
      <c r="C439" s="48" t="s">
        <v>67</v>
      </c>
      <c r="D439" s="33" t="s">
        <v>61</v>
      </c>
      <c r="E439" s="93">
        <v>46949</v>
      </c>
      <c r="F439" s="46">
        <v>142500</v>
      </c>
      <c r="G439" s="98">
        <v>142500</v>
      </c>
    </row>
    <row r="440" spans="1:7">
      <c r="A440" s="33" t="s">
        <v>769</v>
      </c>
      <c r="B440" s="33" t="s">
        <v>54</v>
      </c>
      <c r="C440" s="48" t="s">
        <v>67</v>
      </c>
      <c r="D440" s="33" t="s">
        <v>61</v>
      </c>
      <c r="E440" s="93">
        <v>47133</v>
      </c>
      <c r="F440" s="46">
        <v>142500</v>
      </c>
      <c r="G440" s="98">
        <v>142500</v>
      </c>
    </row>
    <row r="441" spans="1:7">
      <c r="A441" s="33" t="s">
        <v>769</v>
      </c>
      <c r="B441" s="33" t="s">
        <v>54</v>
      </c>
      <c r="C441" s="48" t="s">
        <v>67</v>
      </c>
      <c r="D441" s="33" t="s">
        <v>61</v>
      </c>
      <c r="E441" s="93">
        <v>47314</v>
      </c>
      <c r="F441" s="46">
        <v>142500</v>
      </c>
      <c r="G441" s="98">
        <v>142500</v>
      </c>
    </row>
    <row r="442" spans="1:7">
      <c r="A442" s="33" t="s">
        <v>769</v>
      </c>
      <c r="B442" s="33" t="s">
        <v>54</v>
      </c>
      <c r="C442" s="48" t="s">
        <v>67</v>
      </c>
      <c r="D442" s="33" t="s">
        <v>61</v>
      </c>
      <c r="E442" s="93">
        <v>47498</v>
      </c>
      <c r="F442" s="46">
        <v>142500</v>
      </c>
      <c r="G442" s="98">
        <v>142500</v>
      </c>
    </row>
    <row r="443" spans="1:7">
      <c r="A443" s="33" t="s">
        <v>769</v>
      </c>
      <c r="B443" s="33" t="s">
        <v>54</v>
      </c>
      <c r="C443" s="48" t="s">
        <v>67</v>
      </c>
      <c r="D443" s="33" t="s">
        <v>61</v>
      </c>
      <c r="E443" s="93">
        <v>47679</v>
      </c>
      <c r="F443" s="46">
        <v>142500</v>
      </c>
      <c r="G443" s="98">
        <v>142500</v>
      </c>
    </row>
    <row r="444" spans="1:7">
      <c r="A444" s="33" t="s">
        <v>769</v>
      </c>
      <c r="B444" s="33" t="s">
        <v>54</v>
      </c>
      <c r="C444" s="48" t="s">
        <v>67</v>
      </c>
      <c r="D444" s="33" t="s">
        <v>61</v>
      </c>
      <c r="E444" s="93">
        <v>47863</v>
      </c>
      <c r="F444" s="46">
        <v>142500</v>
      </c>
      <c r="G444" s="98">
        <v>142500</v>
      </c>
    </row>
    <row r="445" spans="1:7">
      <c r="A445" s="33" t="s">
        <v>769</v>
      </c>
      <c r="B445" s="33" t="s">
        <v>54</v>
      </c>
      <c r="C445" s="48" t="s">
        <v>67</v>
      </c>
      <c r="D445" s="33" t="s">
        <v>61</v>
      </c>
      <c r="E445" s="93">
        <v>48044</v>
      </c>
      <c r="F445" s="46">
        <v>142500</v>
      </c>
      <c r="G445" s="98">
        <v>142500</v>
      </c>
    </row>
    <row r="446" spans="1:7">
      <c r="A446" s="33" t="s">
        <v>769</v>
      </c>
      <c r="B446" s="33" t="s">
        <v>54</v>
      </c>
      <c r="C446" s="48" t="s">
        <v>67</v>
      </c>
      <c r="D446" s="33" t="s">
        <v>61</v>
      </c>
      <c r="E446" s="93">
        <v>48228</v>
      </c>
      <c r="F446" s="46">
        <v>142500</v>
      </c>
      <c r="G446" s="98">
        <v>142500</v>
      </c>
    </row>
    <row r="447" spans="1:7">
      <c r="A447" s="33" t="s">
        <v>769</v>
      </c>
      <c r="B447" s="33" t="s">
        <v>54</v>
      </c>
      <c r="C447" s="48" t="s">
        <v>67</v>
      </c>
      <c r="D447" s="33" t="s">
        <v>61</v>
      </c>
      <c r="E447" s="93">
        <v>48410</v>
      </c>
      <c r="F447" s="46">
        <v>142500</v>
      </c>
      <c r="G447" s="98">
        <v>4142500</v>
      </c>
    </row>
    <row r="448" spans="1:7">
      <c r="A448" s="87" t="s">
        <v>689</v>
      </c>
      <c r="B448" s="87" t="s">
        <v>54</v>
      </c>
      <c r="C448" s="88" t="s">
        <v>67</v>
      </c>
      <c r="D448" s="87" t="s">
        <v>61</v>
      </c>
      <c r="E448" s="89">
        <v>45672</v>
      </c>
      <c r="F448" s="90">
        <v>71250</v>
      </c>
      <c r="G448" s="97">
        <v>71250</v>
      </c>
    </row>
    <row r="449" spans="1:7">
      <c r="A449" s="33" t="s">
        <v>689</v>
      </c>
      <c r="B449" s="33" t="s">
        <v>54</v>
      </c>
      <c r="C449" s="48" t="s">
        <v>67</v>
      </c>
      <c r="D449" s="33" t="s">
        <v>61</v>
      </c>
      <c r="E449" s="93">
        <v>45853</v>
      </c>
      <c r="F449" s="46">
        <v>71250</v>
      </c>
      <c r="G449" s="46">
        <v>71250</v>
      </c>
    </row>
    <row r="450" spans="1:7">
      <c r="A450" s="33" t="s">
        <v>689</v>
      </c>
      <c r="B450" s="33" t="s">
        <v>54</v>
      </c>
      <c r="C450" s="48" t="s">
        <v>67</v>
      </c>
      <c r="D450" s="33" t="s">
        <v>61</v>
      </c>
      <c r="E450" s="93">
        <v>46037</v>
      </c>
      <c r="F450" s="46">
        <v>71250</v>
      </c>
      <c r="G450" s="46">
        <v>71250</v>
      </c>
    </row>
    <row r="451" spans="1:7">
      <c r="A451" s="33" t="s">
        <v>769</v>
      </c>
      <c r="B451" s="33" t="s">
        <v>54</v>
      </c>
      <c r="C451" s="48" t="s">
        <v>67</v>
      </c>
      <c r="D451" s="33" t="s">
        <v>61</v>
      </c>
      <c r="E451" s="93">
        <v>46218</v>
      </c>
      <c r="F451" s="46">
        <v>71250</v>
      </c>
      <c r="G451" s="46">
        <v>71250</v>
      </c>
    </row>
    <row r="452" spans="1:7">
      <c r="A452" s="33" t="s">
        <v>769</v>
      </c>
      <c r="B452" s="33" t="s">
        <v>54</v>
      </c>
      <c r="C452" s="48" t="s">
        <v>67</v>
      </c>
      <c r="D452" s="33" t="s">
        <v>61</v>
      </c>
      <c r="E452" s="93">
        <v>46402</v>
      </c>
      <c r="F452" s="46">
        <v>71250</v>
      </c>
      <c r="G452" s="46">
        <v>71250</v>
      </c>
    </row>
    <row r="453" spans="1:7">
      <c r="A453" s="33" t="s">
        <v>769</v>
      </c>
      <c r="B453" s="33" t="s">
        <v>54</v>
      </c>
      <c r="C453" s="48" t="s">
        <v>67</v>
      </c>
      <c r="D453" s="33" t="s">
        <v>61</v>
      </c>
      <c r="E453" s="93">
        <v>46583</v>
      </c>
      <c r="F453" s="46">
        <v>71250</v>
      </c>
      <c r="G453" s="46">
        <v>71250</v>
      </c>
    </row>
    <row r="454" spans="1:7">
      <c r="A454" s="33" t="s">
        <v>769</v>
      </c>
      <c r="B454" s="33" t="s">
        <v>54</v>
      </c>
      <c r="C454" s="48" t="s">
        <v>67</v>
      </c>
      <c r="D454" s="33" t="s">
        <v>61</v>
      </c>
      <c r="E454" s="93">
        <v>46767</v>
      </c>
      <c r="F454" s="46">
        <v>71250</v>
      </c>
      <c r="G454" s="46">
        <v>71250</v>
      </c>
    </row>
    <row r="455" spans="1:7">
      <c r="A455" s="33" t="s">
        <v>769</v>
      </c>
      <c r="B455" s="33" t="s">
        <v>54</v>
      </c>
      <c r="C455" s="48" t="s">
        <v>67</v>
      </c>
      <c r="D455" s="33" t="s">
        <v>61</v>
      </c>
      <c r="E455" s="93">
        <v>46949</v>
      </c>
      <c r="F455" s="46">
        <v>71250</v>
      </c>
      <c r="G455" s="46">
        <v>71250</v>
      </c>
    </row>
    <row r="456" spans="1:7">
      <c r="A456" s="33" t="s">
        <v>769</v>
      </c>
      <c r="B456" s="33" t="s">
        <v>54</v>
      </c>
      <c r="C456" s="48" t="s">
        <v>67</v>
      </c>
      <c r="D456" s="33" t="s">
        <v>61</v>
      </c>
      <c r="E456" s="93">
        <v>47133</v>
      </c>
      <c r="F456" s="46">
        <v>71250</v>
      </c>
      <c r="G456" s="46">
        <v>71250</v>
      </c>
    </row>
    <row r="457" spans="1:7">
      <c r="A457" s="33" t="s">
        <v>769</v>
      </c>
      <c r="B457" s="33" t="s">
        <v>54</v>
      </c>
      <c r="C457" s="48" t="s">
        <v>67</v>
      </c>
      <c r="D457" s="33" t="s">
        <v>61</v>
      </c>
      <c r="E457" s="93">
        <v>47314</v>
      </c>
      <c r="F457" s="46">
        <v>71250</v>
      </c>
      <c r="G457" s="46">
        <v>71250</v>
      </c>
    </row>
    <row r="458" spans="1:7">
      <c r="A458" s="33" t="s">
        <v>769</v>
      </c>
      <c r="B458" s="33" t="s">
        <v>54</v>
      </c>
      <c r="C458" s="48" t="s">
        <v>67</v>
      </c>
      <c r="D458" s="33" t="s">
        <v>61</v>
      </c>
      <c r="E458" s="93">
        <v>47498</v>
      </c>
      <c r="F458" s="46">
        <v>71250</v>
      </c>
      <c r="G458" s="46">
        <v>71250</v>
      </c>
    </row>
    <row r="459" spans="1:7">
      <c r="A459" s="33" t="s">
        <v>769</v>
      </c>
      <c r="B459" s="33" t="s">
        <v>54</v>
      </c>
      <c r="C459" s="48" t="s">
        <v>67</v>
      </c>
      <c r="D459" s="33" t="s">
        <v>61</v>
      </c>
      <c r="E459" s="93">
        <v>47679</v>
      </c>
      <c r="F459" s="46">
        <v>71250</v>
      </c>
      <c r="G459" s="46">
        <v>71250</v>
      </c>
    </row>
    <row r="460" spans="1:7">
      <c r="A460" s="33" t="s">
        <v>769</v>
      </c>
      <c r="B460" s="33" t="s">
        <v>54</v>
      </c>
      <c r="C460" s="48" t="s">
        <v>67</v>
      </c>
      <c r="D460" s="33" t="s">
        <v>61</v>
      </c>
      <c r="E460" s="93">
        <v>47863</v>
      </c>
      <c r="F460" s="46">
        <v>71250</v>
      </c>
      <c r="G460" s="46">
        <v>71250</v>
      </c>
    </row>
    <row r="461" spans="1:7">
      <c r="A461" s="33" t="s">
        <v>769</v>
      </c>
      <c r="B461" s="33" t="s">
        <v>54</v>
      </c>
      <c r="C461" s="48" t="s">
        <v>67</v>
      </c>
      <c r="D461" s="33" t="s">
        <v>61</v>
      </c>
      <c r="E461" s="93">
        <v>48044</v>
      </c>
      <c r="F461" s="46">
        <v>71250</v>
      </c>
      <c r="G461" s="46">
        <v>71250</v>
      </c>
    </row>
    <row r="462" spans="1:7">
      <c r="A462" s="33" t="s">
        <v>769</v>
      </c>
      <c r="B462" s="33" t="s">
        <v>54</v>
      </c>
      <c r="C462" s="48" t="s">
        <v>67</v>
      </c>
      <c r="D462" s="33" t="s">
        <v>61</v>
      </c>
      <c r="E462" s="93">
        <v>48228</v>
      </c>
      <c r="F462" s="46">
        <v>71250</v>
      </c>
      <c r="G462" s="46">
        <v>71250</v>
      </c>
    </row>
    <row r="463" spans="1:7">
      <c r="A463" s="33" t="s">
        <v>769</v>
      </c>
      <c r="B463" s="33" t="s">
        <v>54</v>
      </c>
      <c r="C463" s="48" t="s">
        <v>67</v>
      </c>
      <c r="D463" s="33" t="s">
        <v>61</v>
      </c>
      <c r="E463" s="93">
        <v>48410</v>
      </c>
      <c r="F463" s="46">
        <v>71250</v>
      </c>
      <c r="G463" s="46">
        <v>2071250</v>
      </c>
    </row>
    <row r="464" spans="1:7">
      <c r="A464" s="57" t="s">
        <v>769</v>
      </c>
      <c r="B464" s="57" t="s">
        <v>54</v>
      </c>
      <c r="C464" s="57" t="s">
        <v>67</v>
      </c>
      <c r="D464" s="33" t="s">
        <v>61</v>
      </c>
      <c r="E464" s="93">
        <v>46218</v>
      </c>
      <c r="F464" s="95">
        <v>36337.5</v>
      </c>
      <c r="G464" s="95">
        <v>36337.5</v>
      </c>
    </row>
    <row r="465" spans="1:7">
      <c r="A465" s="57" t="s">
        <v>769</v>
      </c>
      <c r="B465" s="57" t="s">
        <v>54</v>
      </c>
      <c r="C465" s="57" t="s">
        <v>67</v>
      </c>
      <c r="D465" s="33" t="s">
        <v>61</v>
      </c>
      <c r="E465" s="93">
        <v>46402</v>
      </c>
      <c r="F465" s="95">
        <v>36337.5</v>
      </c>
      <c r="G465" s="95">
        <v>36337.5</v>
      </c>
    </row>
    <row r="466" spans="1:7">
      <c r="A466" s="57" t="s">
        <v>769</v>
      </c>
      <c r="B466" s="57" t="s">
        <v>54</v>
      </c>
      <c r="C466" s="57" t="s">
        <v>67</v>
      </c>
      <c r="D466" s="33" t="s">
        <v>61</v>
      </c>
      <c r="E466" s="93">
        <v>46583</v>
      </c>
      <c r="F466" s="95">
        <v>36337.5</v>
      </c>
      <c r="G466" s="95">
        <v>36337.5</v>
      </c>
    </row>
    <row r="467" spans="1:7">
      <c r="A467" s="57" t="s">
        <v>769</v>
      </c>
      <c r="B467" s="57" t="s">
        <v>54</v>
      </c>
      <c r="C467" s="57" t="s">
        <v>67</v>
      </c>
      <c r="D467" s="33" t="s">
        <v>61</v>
      </c>
      <c r="E467" s="93">
        <v>46767</v>
      </c>
      <c r="F467" s="95">
        <v>36337.5</v>
      </c>
      <c r="G467" s="95">
        <v>36337.5</v>
      </c>
    </row>
    <row r="468" spans="1:7">
      <c r="A468" s="57" t="s">
        <v>769</v>
      </c>
      <c r="B468" s="57" t="s">
        <v>54</v>
      </c>
      <c r="C468" s="57" t="s">
        <v>67</v>
      </c>
      <c r="D468" s="33" t="s">
        <v>61</v>
      </c>
      <c r="E468" s="93">
        <v>46949</v>
      </c>
      <c r="F468" s="95">
        <v>36337.5</v>
      </c>
      <c r="G468" s="95">
        <v>36337.5</v>
      </c>
    </row>
    <row r="469" spans="1:7">
      <c r="A469" s="57" t="s">
        <v>769</v>
      </c>
      <c r="B469" s="57" t="s">
        <v>54</v>
      </c>
      <c r="C469" s="57" t="s">
        <v>67</v>
      </c>
      <c r="D469" s="33" t="s">
        <v>61</v>
      </c>
      <c r="E469" s="93">
        <v>47133</v>
      </c>
      <c r="F469" s="95">
        <v>36337.5</v>
      </c>
      <c r="G469" s="95">
        <v>36337.5</v>
      </c>
    </row>
    <row r="470" spans="1:7">
      <c r="A470" s="57" t="s">
        <v>769</v>
      </c>
      <c r="B470" s="57" t="s">
        <v>54</v>
      </c>
      <c r="C470" s="57" t="s">
        <v>67</v>
      </c>
      <c r="D470" s="33" t="s">
        <v>61</v>
      </c>
      <c r="E470" s="93">
        <v>47314</v>
      </c>
      <c r="F470" s="95">
        <v>36337.5</v>
      </c>
      <c r="G470" s="95">
        <v>36337.5</v>
      </c>
    </row>
    <row r="471" spans="1:7">
      <c r="A471" s="57" t="s">
        <v>769</v>
      </c>
      <c r="B471" s="57" t="s">
        <v>54</v>
      </c>
      <c r="C471" s="57" t="s">
        <v>67</v>
      </c>
      <c r="D471" s="33" t="s">
        <v>61</v>
      </c>
      <c r="E471" s="93">
        <v>47498</v>
      </c>
      <c r="F471" s="95">
        <v>36337.5</v>
      </c>
      <c r="G471" s="95">
        <v>36337.5</v>
      </c>
    </row>
    <row r="472" spans="1:7">
      <c r="A472" s="57" t="s">
        <v>769</v>
      </c>
      <c r="B472" s="57" t="s">
        <v>54</v>
      </c>
      <c r="C472" s="57" t="s">
        <v>67</v>
      </c>
      <c r="D472" s="33" t="s">
        <v>61</v>
      </c>
      <c r="E472" s="93">
        <v>47679</v>
      </c>
      <c r="F472" s="95">
        <v>36337.5</v>
      </c>
      <c r="G472" s="95">
        <v>36337.5</v>
      </c>
    </row>
    <row r="473" spans="1:7">
      <c r="A473" s="57" t="s">
        <v>769</v>
      </c>
      <c r="B473" s="57" t="s">
        <v>54</v>
      </c>
      <c r="C473" s="57" t="s">
        <v>67</v>
      </c>
      <c r="D473" s="33" t="s">
        <v>61</v>
      </c>
      <c r="E473" s="93">
        <v>47863</v>
      </c>
      <c r="F473" s="95">
        <v>36337.5</v>
      </c>
      <c r="G473" s="95">
        <v>36337.5</v>
      </c>
    </row>
    <row r="474" spans="1:7">
      <c r="A474" s="57" t="s">
        <v>769</v>
      </c>
      <c r="B474" s="57" t="s">
        <v>54</v>
      </c>
      <c r="C474" s="57" t="s">
        <v>67</v>
      </c>
      <c r="D474" s="33" t="s">
        <v>61</v>
      </c>
      <c r="E474" s="93">
        <v>48044</v>
      </c>
      <c r="F474" s="95">
        <v>36337.5</v>
      </c>
      <c r="G474" s="95">
        <v>36337.5</v>
      </c>
    </row>
    <row r="475" spans="1:7">
      <c r="A475" s="57" t="s">
        <v>769</v>
      </c>
      <c r="B475" s="57" t="s">
        <v>54</v>
      </c>
      <c r="C475" s="57" t="s">
        <v>67</v>
      </c>
      <c r="D475" s="33" t="s">
        <v>61</v>
      </c>
      <c r="E475" s="93">
        <v>48228</v>
      </c>
      <c r="F475" s="95">
        <v>36337.5</v>
      </c>
      <c r="G475" s="95">
        <v>36337.5</v>
      </c>
    </row>
    <row r="476" spans="1:7">
      <c r="A476" s="57" t="s">
        <v>769</v>
      </c>
      <c r="B476" s="57" t="s">
        <v>54</v>
      </c>
      <c r="C476" s="57" t="s">
        <v>67</v>
      </c>
      <c r="D476" s="33" t="s">
        <v>61</v>
      </c>
      <c r="E476" s="93">
        <v>48410</v>
      </c>
      <c r="F476" s="95">
        <v>36337.5</v>
      </c>
      <c r="G476" s="95">
        <v>1056337.5</v>
      </c>
    </row>
    <row r="477" spans="1:7">
      <c r="A477" s="87" t="s">
        <v>770</v>
      </c>
      <c r="B477" s="87" t="s">
        <v>54</v>
      </c>
      <c r="C477" s="88" t="s">
        <v>67</v>
      </c>
      <c r="D477" s="87" t="s">
        <v>61</v>
      </c>
      <c r="E477" s="89">
        <v>45672</v>
      </c>
      <c r="F477" s="90">
        <v>36337.5</v>
      </c>
      <c r="G477" s="90">
        <v>36337.5</v>
      </c>
    </row>
    <row r="478" spans="1:7">
      <c r="A478" s="57" t="s">
        <v>770</v>
      </c>
      <c r="B478" s="57" t="s">
        <v>54</v>
      </c>
      <c r="C478" s="57" t="s">
        <v>67</v>
      </c>
      <c r="D478" s="33" t="s">
        <v>61</v>
      </c>
      <c r="E478" s="93">
        <v>45853</v>
      </c>
      <c r="F478" s="95">
        <v>36337.5</v>
      </c>
      <c r="G478" s="95">
        <v>36337.5</v>
      </c>
    </row>
    <row r="479" spans="1:7">
      <c r="A479" s="57" t="s">
        <v>770</v>
      </c>
      <c r="B479" s="57" t="s">
        <v>54</v>
      </c>
      <c r="C479" s="57" t="s">
        <v>67</v>
      </c>
      <c r="D479" s="33" t="s">
        <v>61</v>
      </c>
      <c r="E479" s="93">
        <v>46037</v>
      </c>
      <c r="F479" s="95">
        <v>36337.5</v>
      </c>
      <c r="G479" s="95">
        <v>36337.5</v>
      </c>
    </row>
    <row r="480" spans="1:7">
      <c r="A480" s="87" t="s">
        <v>139</v>
      </c>
      <c r="B480" s="87" t="s">
        <v>119</v>
      </c>
      <c r="C480" s="88" t="s">
        <v>67</v>
      </c>
      <c r="D480" s="87" t="s">
        <v>61</v>
      </c>
      <c r="E480" s="89">
        <v>45519</v>
      </c>
      <c r="F480" s="90">
        <v>105000</v>
      </c>
      <c r="G480" s="90">
        <v>105000</v>
      </c>
    </row>
    <row r="481" spans="1:7">
      <c r="A481" s="33" t="s">
        <v>139</v>
      </c>
      <c r="B481" s="33" t="s">
        <v>119</v>
      </c>
      <c r="C481" s="48" t="s">
        <v>67</v>
      </c>
      <c r="D481" s="33" t="s">
        <v>61</v>
      </c>
      <c r="E481" s="91">
        <v>45713</v>
      </c>
      <c r="F481" s="92">
        <v>105000</v>
      </c>
      <c r="G481" s="92">
        <v>105000</v>
      </c>
    </row>
    <row r="482" spans="1:7">
      <c r="A482" s="33" t="s">
        <v>771</v>
      </c>
      <c r="B482" s="33" t="s">
        <v>119</v>
      </c>
      <c r="C482" s="48" t="s">
        <v>67</v>
      </c>
      <c r="D482" s="33" t="s">
        <v>61</v>
      </c>
      <c r="E482" s="91">
        <v>45884</v>
      </c>
      <c r="F482" s="92">
        <v>105000</v>
      </c>
      <c r="G482" s="92">
        <v>105000</v>
      </c>
    </row>
    <row r="483" spans="1:7">
      <c r="A483" s="33" t="s">
        <v>771</v>
      </c>
      <c r="B483" s="33" t="s">
        <v>119</v>
      </c>
      <c r="C483" s="48" t="s">
        <v>67</v>
      </c>
      <c r="D483" s="33" t="s">
        <v>61</v>
      </c>
      <c r="E483" s="91">
        <v>46078</v>
      </c>
      <c r="F483" s="92">
        <v>105000</v>
      </c>
      <c r="G483" s="92">
        <v>105000</v>
      </c>
    </row>
    <row r="484" spans="1:7">
      <c r="A484" s="33" t="s">
        <v>771</v>
      </c>
      <c r="B484" s="33" t="s">
        <v>119</v>
      </c>
      <c r="C484" s="48" t="s">
        <v>67</v>
      </c>
      <c r="D484" s="33" t="s">
        <v>61</v>
      </c>
      <c r="E484" s="91">
        <v>46249</v>
      </c>
      <c r="F484" s="92">
        <v>105000</v>
      </c>
      <c r="G484" s="92">
        <v>105000</v>
      </c>
    </row>
    <row r="485" spans="1:7">
      <c r="A485" s="33" t="s">
        <v>771</v>
      </c>
      <c r="B485" s="33" t="s">
        <v>119</v>
      </c>
      <c r="C485" s="48" t="s">
        <v>67</v>
      </c>
      <c r="D485" s="33" t="s">
        <v>61</v>
      </c>
      <c r="E485" s="91">
        <v>46443</v>
      </c>
      <c r="F485" s="92">
        <v>105000</v>
      </c>
      <c r="G485" s="92">
        <v>105000</v>
      </c>
    </row>
    <row r="486" spans="1:7">
      <c r="A486" s="33" t="s">
        <v>771</v>
      </c>
      <c r="B486" s="33" t="s">
        <v>119</v>
      </c>
      <c r="C486" s="48" t="s">
        <v>67</v>
      </c>
      <c r="D486" s="33" t="s">
        <v>61</v>
      </c>
      <c r="E486" s="91">
        <v>46614</v>
      </c>
      <c r="F486" s="92">
        <v>105000</v>
      </c>
      <c r="G486" s="92">
        <v>105000</v>
      </c>
    </row>
    <row r="487" spans="1:7">
      <c r="A487" s="33" t="s">
        <v>771</v>
      </c>
      <c r="B487" s="33" t="s">
        <v>119</v>
      </c>
      <c r="C487" s="48" t="s">
        <v>67</v>
      </c>
      <c r="D487" s="33" t="s">
        <v>61</v>
      </c>
      <c r="E487" s="91">
        <v>46798</v>
      </c>
      <c r="F487" s="92">
        <v>105000</v>
      </c>
      <c r="G487" s="92">
        <v>2905000</v>
      </c>
    </row>
    <row r="488" spans="1:7">
      <c r="A488" s="87" t="s">
        <v>772</v>
      </c>
      <c r="B488" s="87" t="s">
        <v>54</v>
      </c>
      <c r="C488" s="88" t="s">
        <v>67</v>
      </c>
      <c r="D488" s="87" t="s">
        <v>61</v>
      </c>
      <c r="E488" s="89">
        <v>45606</v>
      </c>
      <c r="F488" s="90">
        <v>162420</v>
      </c>
      <c r="G488" s="97">
        <v>162420</v>
      </c>
    </row>
    <row r="489" spans="1:7">
      <c r="A489" s="56" t="s">
        <v>283</v>
      </c>
      <c r="B489" s="56" t="s">
        <v>233</v>
      </c>
      <c r="C489" s="57" t="s">
        <v>35</v>
      </c>
      <c r="D489" s="36" t="s">
        <v>61</v>
      </c>
      <c r="E489" s="93">
        <v>45787</v>
      </c>
      <c r="F489" s="46">
        <v>162420</v>
      </c>
      <c r="G489" s="46">
        <v>162420</v>
      </c>
    </row>
    <row r="490" spans="1:7">
      <c r="A490" s="56" t="s">
        <v>773</v>
      </c>
      <c r="B490" s="56" t="s">
        <v>233</v>
      </c>
      <c r="C490" s="57" t="s">
        <v>35</v>
      </c>
      <c r="D490" s="36" t="s">
        <v>61</v>
      </c>
      <c r="E490" s="93">
        <v>45971</v>
      </c>
      <c r="F490" s="46">
        <v>162420</v>
      </c>
      <c r="G490" s="46">
        <v>162420</v>
      </c>
    </row>
    <row r="491" spans="1:7">
      <c r="A491" s="56" t="s">
        <v>773</v>
      </c>
      <c r="B491" s="56" t="s">
        <v>233</v>
      </c>
      <c r="C491" s="57" t="s">
        <v>35</v>
      </c>
      <c r="D491" s="36" t="s">
        <v>61</v>
      </c>
      <c r="E491" s="93">
        <v>45787</v>
      </c>
      <c r="F491" s="46">
        <v>162420</v>
      </c>
      <c r="G491" s="46">
        <v>162420</v>
      </c>
    </row>
    <row r="492" spans="1:7">
      <c r="A492" s="56" t="s">
        <v>773</v>
      </c>
      <c r="B492" s="56" t="s">
        <v>233</v>
      </c>
      <c r="C492" s="57" t="s">
        <v>35</v>
      </c>
      <c r="D492" s="36" t="s">
        <v>61</v>
      </c>
      <c r="E492" s="93">
        <v>45971</v>
      </c>
      <c r="F492" s="46">
        <v>162420</v>
      </c>
      <c r="G492" s="46">
        <v>162420</v>
      </c>
    </row>
    <row r="493" spans="1:7">
      <c r="A493" s="56" t="s">
        <v>773</v>
      </c>
      <c r="B493" s="56" t="s">
        <v>233</v>
      </c>
      <c r="C493" s="57" t="s">
        <v>35</v>
      </c>
      <c r="D493" s="36" t="s">
        <v>61</v>
      </c>
      <c r="E493" s="93">
        <v>45787</v>
      </c>
      <c r="F493" s="46">
        <v>162420</v>
      </c>
      <c r="G493" s="46">
        <v>162420</v>
      </c>
    </row>
    <row r="494" spans="1:7">
      <c r="A494" s="56" t="s">
        <v>773</v>
      </c>
      <c r="B494" s="56" t="s">
        <v>233</v>
      </c>
      <c r="C494" s="57" t="s">
        <v>35</v>
      </c>
      <c r="D494" s="36" t="s">
        <v>61</v>
      </c>
      <c r="E494" s="93">
        <v>45971</v>
      </c>
      <c r="F494" s="46">
        <v>162420</v>
      </c>
      <c r="G494" s="46">
        <v>162420</v>
      </c>
    </row>
    <row r="495" spans="1:7">
      <c r="A495" s="56" t="s">
        <v>773</v>
      </c>
      <c r="B495" s="56" t="s">
        <v>233</v>
      </c>
      <c r="C495" s="57" t="s">
        <v>35</v>
      </c>
      <c r="D495" s="36" t="s">
        <v>61</v>
      </c>
      <c r="E495" s="93">
        <v>45787</v>
      </c>
      <c r="F495" s="46">
        <v>162420</v>
      </c>
      <c r="G495" s="46">
        <v>162420</v>
      </c>
    </row>
    <row r="496" spans="1:7">
      <c r="A496" s="56" t="s">
        <v>773</v>
      </c>
      <c r="B496" s="56" t="s">
        <v>233</v>
      </c>
      <c r="C496" s="57" t="s">
        <v>35</v>
      </c>
      <c r="D496" s="36" t="s">
        <v>61</v>
      </c>
      <c r="E496" s="93">
        <v>45971</v>
      </c>
      <c r="F496" s="46">
        <v>162420</v>
      </c>
      <c r="G496" s="46">
        <v>162420</v>
      </c>
    </row>
    <row r="497" spans="1:7">
      <c r="A497" s="56" t="s">
        <v>773</v>
      </c>
      <c r="B497" s="56" t="s">
        <v>233</v>
      </c>
      <c r="C497" s="57" t="s">
        <v>35</v>
      </c>
      <c r="D497" s="36" t="s">
        <v>61</v>
      </c>
      <c r="E497" s="93">
        <v>45787</v>
      </c>
      <c r="F497" s="46">
        <v>162420</v>
      </c>
      <c r="G497" s="46">
        <v>6162420</v>
      </c>
    </row>
    <row r="498" spans="1:7">
      <c r="A498" s="87" t="s">
        <v>772</v>
      </c>
      <c r="B498" s="87" t="s">
        <v>54</v>
      </c>
      <c r="C498" s="88" t="s">
        <v>67</v>
      </c>
      <c r="D498" s="87" t="s">
        <v>61</v>
      </c>
      <c r="E498" s="89">
        <v>45606</v>
      </c>
      <c r="F498" s="90">
        <v>54140</v>
      </c>
      <c r="G498" s="97">
        <v>54140</v>
      </c>
    </row>
    <row r="499" spans="1:7">
      <c r="A499" s="56" t="s">
        <v>773</v>
      </c>
      <c r="B499" s="56" t="s">
        <v>233</v>
      </c>
      <c r="C499" s="57" t="s">
        <v>35</v>
      </c>
      <c r="D499" s="36" t="s">
        <v>61</v>
      </c>
      <c r="E499" s="93">
        <v>45787</v>
      </c>
      <c r="F499" s="46">
        <v>54140</v>
      </c>
      <c r="G499" s="46">
        <v>54140</v>
      </c>
    </row>
    <row r="500" spans="1:7">
      <c r="A500" s="56" t="s">
        <v>773</v>
      </c>
      <c r="B500" s="56" t="s">
        <v>233</v>
      </c>
      <c r="C500" s="57" t="s">
        <v>35</v>
      </c>
      <c r="D500" s="36" t="s">
        <v>61</v>
      </c>
      <c r="E500" s="93">
        <v>45971</v>
      </c>
      <c r="F500" s="46">
        <v>54140</v>
      </c>
      <c r="G500" s="46">
        <v>54140</v>
      </c>
    </row>
    <row r="501" spans="1:7">
      <c r="A501" s="56" t="s">
        <v>773</v>
      </c>
      <c r="B501" s="56" t="s">
        <v>233</v>
      </c>
      <c r="C501" s="57" t="s">
        <v>35</v>
      </c>
      <c r="D501" s="36" t="s">
        <v>61</v>
      </c>
      <c r="E501" s="93">
        <v>45787</v>
      </c>
      <c r="F501" s="46">
        <v>54140</v>
      </c>
      <c r="G501" s="46">
        <v>54140</v>
      </c>
    </row>
    <row r="502" spans="1:7">
      <c r="A502" s="56" t="s">
        <v>773</v>
      </c>
      <c r="B502" s="56" t="s">
        <v>233</v>
      </c>
      <c r="C502" s="57" t="s">
        <v>35</v>
      </c>
      <c r="D502" s="36" t="s">
        <v>61</v>
      </c>
      <c r="E502" s="93">
        <v>45971</v>
      </c>
      <c r="F502" s="46">
        <v>54140</v>
      </c>
      <c r="G502" s="46">
        <v>54140</v>
      </c>
    </row>
    <row r="503" spans="1:7">
      <c r="A503" s="56" t="s">
        <v>773</v>
      </c>
      <c r="B503" s="56" t="s">
        <v>233</v>
      </c>
      <c r="C503" s="57" t="s">
        <v>35</v>
      </c>
      <c r="D503" s="36" t="s">
        <v>61</v>
      </c>
      <c r="E503" s="93">
        <v>45787</v>
      </c>
      <c r="F503" s="46">
        <v>54140</v>
      </c>
      <c r="G503" s="46">
        <v>54140</v>
      </c>
    </row>
    <row r="504" spans="1:7">
      <c r="A504" s="56" t="s">
        <v>773</v>
      </c>
      <c r="B504" s="56" t="s">
        <v>233</v>
      </c>
      <c r="C504" s="57" t="s">
        <v>35</v>
      </c>
      <c r="D504" s="36" t="s">
        <v>61</v>
      </c>
      <c r="E504" s="93">
        <v>45971</v>
      </c>
      <c r="F504" s="46">
        <v>54140</v>
      </c>
      <c r="G504" s="46">
        <v>54140</v>
      </c>
    </row>
    <row r="505" spans="1:7">
      <c r="A505" s="56" t="s">
        <v>773</v>
      </c>
      <c r="B505" s="56" t="s">
        <v>233</v>
      </c>
      <c r="C505" s="57" t="s">
        <v>35</v>
      </c>
      <c r="D505" s="36" t="s">
        <v>61</v>
      </c>
      <c r="E505" s="93">
        <v>45787</v>
      </c>
      <c r="F505" s="46">
        <v>54140</v>
      </c>
      <c r="G505" s="46">
        <v>54140</v>
      </c>
    </row>
    <row r="506" spans="1:7">
      <c r="A506" s="56" t="s">
        <v>773</v>
      </c>
      <c r="B506" s="56" t="s">
        <v>233</v>
      </c>
      <c r="C506" s="57" t="s">
        <v>35</v>
      </c>
      <c r="D506" s="36" t="s">
        <v>61</v>
      </c>
      <c r="E506" s="93">
        <v>45971</v>
      </c>
      <c r="F506" s="46">
        <v>54140</v>
      </c>
      <c r="G506" s="46">
        <v>54140</v>
      </c>
    </row>
    <row r="507" spans="1:7">
      <c r="A507" s="56" t="s">
        <v>773</v>
      </c>
      <c r="B507" s="56" t="s">
        <v>233</v>
      </c>
      <c r="C507" s="57" t="s">
        <v>35</v>
      </c>
      <c r="D507" s="36" t="s">
        <v>61</v>
      </c>
      <c r="E507" s="93">
        <v>45787</v>
      </c>
      <c r="F507" s="46">
        <v>54140</v>
      </c>
      <c r="G507" s="46">
        <v>2054140</v>
      </c>
    </row>
    <row r="508" spans="1:7">
      <c r="A508" s="87" t="s">
        <v>774</v>
      </c>
      <c r="B508" s="87" t="s">
        <v>77</v>
      </c>
      <c r="C508" s="88" t="s">
        <v>43</v>
      </c>
      <c r="D508" s="87" t="s">
        <v>61</v>
      </c>
      <c r="E508" s="89">
        <v>45641</v>
      </c>
      <c r="F508" s="90">
        <v>233624.99999999997</v>
      </c>
      <c r="G508" s="90">
        <v>233624.99999999997</v>
      </c>
    </row>
    <row r="509" spans="1:7">
      <c r="A509" s="57" t="s">
        <v>446</v>
      </c>
      <c r="B509" s="57" t="s">
        <v>388</v>
      </c>
      <c r="C509" s="57" t="s">
        <v>60</v>
      </c>
      <c r="D509" s="33" t="s">
        <v>61</v>
      </c>
      <c r="E509" s="91">
        <v>45833</v>
      </c>
      <c r="F509" s="95">
        <v>233624.99999999997</v>
      </c>
      <c r="G509" s="95">
        <v>233624.99999999997</v>
      </c>
    </row>
    <row r="510" spans="1:7">
      <c r="A510" s="57" t="s">
        <v>775</v>
      </c>
      <c r="B510" s="57" t="s">
        <v>388</v>
      </c>
      <c r="C510" s="57" t="s">
        <v>60</v>
      </c>
      <c r="D510" s="33" t="s">
        <v>61</v>
      </c>
      <c r="E510" s="91">
        <v>46006</v>
      </c>
      <c r="F510" s="95">
        <v>233624.99999999997</v>
      </c>
      <c r="G510" s="95">
        <v>233624.99999999997</v>
      </c>
    </row>
    <row r="511" spans="1:7">
      <c r="A511" s="57" t="s">
        <v>775</v>
      </c>
      <c r="B511" s="57" t="s">
        <v>388</v>
      </c>
      <c r="C511" s="57" t="s">
        <v>60</v>
      </c>
      <c r="D511" s="33" t="s">
        <v>61</v>
      </c>
      <c r="E511" s="91">
        <v>46198</v>
      </c>
      <c r="F511" s="95">
        <v>233624.99999999997</v>
      </c>
      <c r="G511" s="95">
        <v>233624.99999999997</v>
      </c>
    </row>
    <row r="512" spans="1:7">
      <c r="A512" s="57" t="s">
        <v>775</v>
      </c>
      <c r="B512" s="57" t="s">
        <v>388</v>
      </c>
      <c r="C512" s="57" t="s">
        <v>60</v>
      </c>
      <c r="D512" s="33" t="s">
        <v>61</v>
      </c>
      <c r="E512" s="91">
        <v>46371</v>
      </c>
      <c r="F512" s="95">
        <v>233624.99999999997</v>
      </c>
      <c r="G512" s="95">
        <v>233624.99999999997</v>
      </c>
    </row>
    <row r="513" spans="1:7">
      <c r="A513" s="57" t="s">
        <v>775</v>
      </c>
      <c r="B513" s="57" t="s">
        <v>388</v>
      </c>
      <c r="C513" s="57" t="s">
        <v>60</v>
      </c>
      <c r="D513" s="33" t="s">
        <v>61</v>
      </c>
      <c r="E513" s="91">
        <v>46563</v>
      </c>
      <c r="F513" s="95">
        <v>233624.99999999997</v>
      </c>
      <c r="G513" s="95">
        <v>233624.99999999997</v>
      </c>
    </row>
    <row r="514" spans="1:7">
      <c r="A514" s="57" t="s">
        <v>775</v>
      </c>
      <c r="B514" s="57" t="s">
        <v>388</v>
      </c>
      <c r="C514" s="57" t="s">
        <v>60</v>
      </c>
      <c r="D514" s="33" t="s">
        <v>61</v>
      </c>
      <c r="E514" s="91">
        <v>46736</v>
      </c>
      <c r="F514" s="95">
        <v>233624.99999999997</v>
      </c>
      <c r="G514" s="95">
        <v>233624.99999999997</v>
      </c>
    </row>
    <row r="515" spans="1:7">
      <c r="A515" s="57" t="s">
        <v>775</v>
      </c>
      <c r="B515" s="57" t="s">
        <v>388</v>
      </c>
      <c r="C515" s="57" t="s">
        <v>60</v>
      </c>
      <c r="D515" s="33" t="s">
        <v>61</v>
      </c>
      <c r="E515" s="91">
        <v>46929</v>
      </c>
      <c r="F515" s="95">
        <v>233624.99999999997</v>
      </c>
      <c r="G515" s="95">
        <v>233624.99999999997</v>
      </c>
    </row>
    <row r="516" spans="1:7">
      <c r="A516" s="57" t="s">
        <v>775</v>
      </c>
      <c r="B516" s="57" t="s">
        <v>388</v>
      </c>
      <c r="C516" s="57" t="s">
        <v>60</v>
      </c>
      <c r="D516" s="33" t="s">
        <v>61</v>
      </c>
      <c r="E516" s="91">
        <v>47102</v>
      </c>
      <c r="F516" s="95">
        <v>233624.99999999997</v>
      </c>
      <c r="G516" s="95">
        <v>233624.99999999997</v>
      </c>
    </row>
    <row r="517" spans="1:7">
      <c r="A517" s="57" t="s">
        <v>775</v>
      </c>
      <c r="B517" s="57" t="s">
        <v>388</v>
      </c>
      <c r="C517" s="57" t="s">
        <v>60</v>
      </c>
      <c r="D517" s="33" t="s">
        <v>61</v>
      </c>
      <c r="E517" s="91">
        <v>47294</v>
      </c>
      <c r="F517" s="95">
        <v>233624.99999999997</v>
      </c>
      <c r="G517" s="95">
        <v>233624.99999999997</v>
      </c>
    </row>
    <row r="518" spans="1:7">
      <c r="A518" s="57" t="s">
        <v>775</v>
      </c>
      <c r="B518" s="57" t="s">
        <v>388</v>
      </c>
      <c r="C518" s="57" t="s">
        <v>60</v>
      </c>
      <c r="D518" s="33" t="s">
        <v>61</v>
      </c>
      <c r="E518" s="91">
        <v>47467</v>
      </c>
      <c r="F518" s="95">
        <v>233624.99999999997</v>
      </c>
      <c r="G518" s="95">
        <v>233624.99999999997</v>
      </c>
    </row>
    <row r="519" spans="1:7">
      <c r="A519" s="57" t="s">
        <v>775</v>
      </c>
      <c r="B519" s="57" t="s">
        <v>388</v>
      </c>
      <c r="C519" s="57" t="s">
        <v>60</v>
      </c>
      <c r="D519" s="33" t="s">
        <v>61</v>
      </c>
      <c r="E519" s="91">
        <v>47659</v>
      </c>
      <c r="F519" s="95">
        <v>233624.99999999997</v>
      </c>
      <c r="G519" s="95">
        <v>5573625</v>
      </c>
    </row>
    <row r="520" spans="1:7">
      <c r="A520" s="87" t="s">
        <v>498</v>
      </c>
      <c r="B520" s="87" t="s">
        <v>77</v>
      </c>
      <c r="C520" s="88" t="s">
        <v>43</v>
      </c>
      <c r="D520" s="87" t="s">
        <v>61</v>
      </c>
      <c r="E520" s="89">
        <v>45304</v>
      </c>
      <c r="F520" s="90">
        <v>66250</v>
      </c>
      <c r="G520" s="90">
        <v>66250</v>
      </c>
    </row>
    <row r="521" spans="1:7">
      <c r="A521" s="33" t="s">
        <v>498</v>
      </c>
      <c r="B521" s="33" t="s">
        <v>77</v>
      </c>
      <c r="C521" s="48" t="s">
        <v>43</v>
      </c>
      <c r="D521" s="33" t="s">
        <v>61</v>
      </c>
      <c r="E521" s="91">
        <v>45486</v>
      </c>
      <c r="F521" s="92">
        <v>66250</v>
      </c>
      <c r="G521" s="92">
        <v>66250</v>
      </c>
    </row>
    <row r="522" spans="1:7">
      <c r="A522" s="33" t="s">
        <v>776</v>
      </c>
      <c r="B522" s="33" t="s">
        <v>77</v>
      </c>
      <c r="C522" s="48" t="s">
        <v>43</v>
      </c>
      <c r="D522" s="33" t="s">
        <v>61</v>
      </c>
      <c r="E522" s="91">
        <v>45670</v>
      </c>
      <c r="F522" s="92">
        <v>66250</v>
      </c>
      <c r="G522" s="92">
        <v>66250</v>
      </c>
    </row>
    <row r="523" spans="1:7">
      <c r="A523" s="33" t="s">
        <v>776</v>
      </c>
      <c r="B523" s="33" t="s">
        <v>77</v>
      </c>
      <c r="C523" s="48" t="s">
        <v>43</v>
      </c>
      <c r="D523" s="33" t="s">
        <v>61</v>
      </c>
      <c r="E523" s="91">
        <v>45851</v>
      </c>
      <c r="F523" s="92">
        <v>66250</v>
      </c>
      <c r="G523" s="92">
        <v>66250</v>
      </c>
    </row>
    <row r="524" spans="1:7">
      <c r="A524" s="33" t="s">
        <v>776</v>
      </c>
      <c r="B524" s="33" t="s">
        <v>77</v>
      </c>
      <c r="C524" s="48" t="s">
        <v>43</v>
      </c>
      <c r="D524" s="33" t="s">
        <v>61</v>
      </c>
      <c r="E524" s="91">
        <v>46035</v>
      </c>
      <c r="F524" s="92">
        <v>66250</v>
      </c>
      <c r="G524" s="92">
        <v>66250</v>
      </c>
    </row>
    <row r="525" spans="1:7">
      <c r="A525" s="33" t="s">
        <v>776</v>
      </c>
      <c r="B525" s="33" t="s">
        <v>77</v>
      </c>
      <c r="C525" s="48" t="s">
        <v>43</v>
      </c>
      <c r="D525" s="33" t="s">
        <v>61</v>
      </c>
      <c r="E525" s="91">
        <v>46216</v>
      </c>
      <c r="F525" s="92">
        <v>66250</v>
      </c>
      <c r="G525" s="92">
        <v>66250</v>
      </c>
    </row>
    <row r="526" spans="1:7">
      <c r="A526" s="33" t="s">
        <v>776</v>
      </c>
      <c r="B526" s="33" t="s">
        <v>77</v>
      </c>
      <c r="C526" s="48" t="s">
        <v>43</v>
      </c>
      <c r="D526" s="33" t="s">
        <v>61</v>
      </c>
      <c r="E526" s="91">
        <v>46400</v>
      </c>
      <c r="F526" s="92">
        <v>66250</v>
      </c>
      <c r="G526" s="92">
        <v>66250</v>
      </c>
    </row>
    <row r="527" spans="1:7">
      <c r="A527" s="33" t="s">
        <v>776</v>
      </c>
      <c r="B527" s="33" t="s">
        <v>77</v>
      </c>
      <c r="C527" s="48" t="s">
        <v>43</v>
      </c>
      <c r="D527" s="33" t="s">
        <v>61</v>
      </c>
      <c r="E527" s="91">
        <v>46581</v>
      </c>
      <c r="F527" s="92">
        <v>66250</v>
      </c>
      <c r="G527" s="92">
        <v>66250</v>
      </c>
    </row>
    <row r="528" spans="1:7">
      <c r="A528" s="33" t="s">
        <v>776</v>
      </c>
      <c r="B528" s="33" t="s">
        <v>77</v>
      </c>
      <c r="C528" s="48" t="s">
        <v>43</v>
      </c>
      <c r="D528" s="33" t="s">
        <v>61</v>
      </c>
      <c r="E528" s="91">
        <v>46765</v>
      </c>
      <c r="F528" s="92">
        <v>66250</v>
      </c>
      <c r="G528" s="92">
        <v>66250</v>
      </c>
    </row>
    <row r="529" spans="1:7">
      <c r="A529" s="33" t="s">
        <v>776</v>
      </c>
      <c r="B529" s="33" t="s">
        <v>77</v>
      </c>
      <c r="C529" s="48" t="s">
        <v>43</v>
      </c>
      <c r="D529" s="33" t="s">
        <v>61</v>
      </c>
      <c r="E529" s="91">
        <v>46947</v>
      </c>
      <c r="F529" s="92">
        <v>66250</v>
      </c>
      <c r="G529" s="92">
        <v>66250</v>
      </c>
    </row>
    <row r="530" spans="1:7">
      <c r="A530" s="33" t="s">
        <v>776</v>
      </c>
      <c r="B530" s="33" t="s">
        <v>77</v>
      </c>
      <c r="C530" s="48" t="s">
        <v>43</v>
      </c>
      <c r="D530" s="33" t="s">
        <v>61</v>
      </c>
      <c r="E530" s="91">
        <v>47131</v>
      </c>
      <c r="F530" s="92">
        <v>66250</v>
      </c>
      <c r="G530" s="92">
        <v>66250</v>
      </c>
    </row>
    <row r="531" spans="1:7">
      <c r="A531" s="33" t="s">
        <v>776</v>
      </c>
      <c r="B531" s="33" t="s">
        <v>77</v>
      </c>
      <c r="C531" s="48" t="s">
        <v>43</v>
      </c>
      <c r="D531" s="33" t="s">
        <v>61</v>
      </c>
      <c r="E531" s="91">
        <v>47312</v>
      </c>
      <c r="F531" s="92">
        <v>66250</v>
      </c>
      <c r="G531" s="92">
        <v>66250</v>
      </c>
    </row>
    <row r="532" spans="1:7">
      <c r="A532" s="33" t="s">
        <v>776</v>
      </c>
      <c r="B532" s="33" t="s">
        <v>77</v>
      </c>
      <c r="C532" s="48" t="s">
        <v>43</v>
      </c>
      <c r="D532" s="33" t="s">
        <v>61</v>
      </c>
      <c r="E532" s="91">
        <v>47496</v>
      </c>
      <c r="F532" s="92">
        <v>66250</v>
      </c>
      <c r="G532" s="92">
        <v>66250</v>
      </c>
    </row>
    <row r="533" spans="1:7">
      <c r="A533" s="33" t="s">
        <v>776</v>
      </c>
      <c r="B533" s="33" t="s">
        <v>77</v>
      </c>
      <c r="C533" s="48" t="s">
        <v>43</v>
      </c>
      <c r="D533" s="33" t="s">
        <v>61</v>
      </c>
      <c r="E533" s="91">
        <v>47677</v>
      </c>
      <c r="F533" s="92">
        <v>66250</v>
      </c>
      <c r="G533" s="92">
        <v>66250</v>
      </c>
    </row>
    <row r="534" spans="1:7">
      <c r="A534" s="33" t="s">
        <v>776</v>
      </c>
      <c r="B534" s="33" t="s">
        <v>77</v>
      </c>
      <c r="C534" s="48" t="s">
        <v>43</v>
      </c>
      <c r="D534" s="33" t="s">
        <v>61</v>
      </c>
      <c r="E534" s="91">
        <v>47861</v>
      </c>
      <c r="F534" s="92">
        <v>66250</v>
      </c>
      <c r="G534" s="92">
        <v>5066250</v>
      </c>
    </row>
    <row r="535" spans="1:7">
      <c r="A535" s="87" t="s">
        <v>704</v>
      </c>
      <c r="B535" s="87" t="s">
        <v>77</v>
      </c>
      <c r="C535" s="88" t="s">
        <v>43</v>
      </c>
      <c r="D535" s="87" t="s">
        <v>61</v>
      </c>
      <c r="E535" s="89">
        <v>45153</v>
      </c>
      <c r="F535" s="90">
        <v>77000</v>
      </c>
      <c r="G535" s="90">
        <v>77000</v>
      </c>
    </row>
    <row r="536" spans="1:7">
      <c r="A536" s="33" t="s">
        <v>704</v>
      </c>
      <c r="B536" s="33" t="s">
        <v>77</v>
      </c>
      <c r="C536" s="33" t="s">
        <v>60</v>
      </c>
      <c r="D536" s="36" t="s">
        <v>61</v>
      </c>
      <c r="E536" s="93">
        <v>45337</v>
      </c>
      <c r="F536" s="94">
        <v>77000</v>
      </c>
      <c r="G536" s="94">
        <v>77000</v>
      </c>
    </row>
    <row r="537" spans="1:7">
      <c r="A537" s="33" t="s">
        <v>704</v>
      </c>
      <c r="B537" s="33" t="s">
        <v>77</v>
      </c>
      <c r="C537" s="33" t="s">
        <v>60</v>
      </c>
      <c r="D537" s="36" t="s">
        <v>61</v>
      </c>
      <c r="E537" s="93">
        <v>45519</v>
      </c>
      <c r="F537" s="94">
        <v>77000</v>
      </c>
      <c r="G537" s="94">
        <v>77000</v>
      </c>
    </row>
    <row r="538" spans="1:7">
      <c r="A538" s="33" t="s">
        <v>704</v>
      </c>
      <c r="B538" s="33" t="s">
        <v>77</v>
      </c>
      <c r="C538" s="33" t="s">
        <v>60</v>
      </c>
      <c r="D538" s="36" t="s">
        <v>61</v>
      </c>
      <c r="E538" s="93">
        <v>45703</v>
      </c>
      <c r="F538" s="94">
        <v>77000</v>
      </c>
      <c r="G538" s="94">
        <v>77000</v>
      </c>
    </row>
    <row r="539" spans="1:7">
      <c r="A539" s="33" t="s">
        <v>704</v>
      </c>
      <c r="B539" s="33" t="s">
        <v>77</v>
      </c>
      <c r="C539" s="33" t="s">
        <v>60</v>
      </c>
      <c r="D539" s="36" t="s">
        <v>61</v>
      </c>
      <c r="E539" s="93">
        <v>45884</v>
      </c>
      <c r="F539" s="94">
        <v>77000</v>
      </c>
      <c r="G539" s="94">
        <v>77000</v>
      </c>
    </row>
    <row r="540" spans="1:7">
      <c r="A540" s="33" t="s">
        <v>704</v>
      </c>
      <c r="B540" s="33" t="s">
        <v>77</v>
      </c>
      <c r="C540" s="33" t="s">
        <v>60</v>
      </c>
      <c r="D540" s="36" t="s">
        <v>61</v>
      </c>
      <c r="E540" s="93">
        <v>46068</v>
      </c>
      <c r="F540" s="94">
        <v>77000</v>
      </c>
      <c r="G540" s="94">
        <v>77000</v>
      </c>
    </row>
    <row r="541" spans="1:7">
      <c r="A541" s="33" t="s">
        <v>704</v>
      </c>
      <c r="B541" s="33" t="s">
        <v>77</v>
      </c>
      <c r="C541" s="33" t="s">
        <v>60</v>
      </c>
      <c r="D541" s="36" t="s">
        <v>61</v>
      </c>
      <c r="E541" s="93">
        <v>46249</v>
      </c>
      <c r="F541" s="94">
        <v>77000</v>
      </c>
      <c r="G541" s="94">
        <v>77000</v>
      </c>
    </row>
    <row r="542" spans="1:7">
      <c r="A542" s="33" t="s">
        <v>704</v>
      </c>
      <c r="B542" s="33" t="s">
        <v>77</v>
      </c>
      <c r="C542" s="33" t="s">
        <v>60</v>
      </c>
      <c r="D542" s="36" t="s">
        <v>61</v>
      </c>
      <c r="E542" s="93">
        <v>46433</v>
      </c>
      <c r="F542" s="94">
        <v>77000</v>
      </c>
      <c r="G542" s="94">
        <v>77000</v>
      </c>
    </row>
    <row r="543" spans="1:7">
      <c r="A543" s="33" t="s">
        <v>704</v>
      </c>
      <c r="B543" s="33" t="s">
        <v>77</v>
      </c>
      <c r="C543" s="33" t="s">
        <v>60</v>
      </c>
      <c r="D543" s="36" t="s">
        <v>61</v>
      </c>
      <c r="E543" s="93">
        <v>46614</v>
      </c>
      <c r="F543" s="94">
        <v>77000</v>
      </c>
      <c r="G543" s="94">
        <v>77000</v>
      </c>
    </row>
    <row r="544" spans="1:7">
      <c r="A544" s="33" t="s">
        <v>704</v>
      </c>
      <c r="B544" s="33" t="s">
        <v>77</v>
      </c>
      <c r="C544" s="33" t="s">
        <v>60</v>
      </c>
      <c r="D544" s="36" t="s">
        <v>61</v>
      </c>
      <c r="E544" s="93">
        <v>46798</v>
      </c>
      <c r="F544" s="94">
        <v>77000</v>
      </c>
      <c r="G544" s="94">
        <v>77000</v>
      </c>
    </row>
    <row r="545" spans="1:7">
      <c r="A545" s="33" t="s">
        <v>704</v>
      </c>
      <c r="B545" s="33" t="s">
        <v>77</v>
      </c>
      <c r="C545" s="33" t="s">
        <v>60</v>
      </c>
      <c r="D545" s="36" t="s">
        <v>61</v>
      </c>
      <c r="E545" s="93">
        <v>46980</v>
      </c>
      <c r="F545" s="94">
        <v>77000</v>
      </c>
      <c r="G545" s="94">
        <v>77000</v>
      </c>
    </row>
    <row r="546" spans="1:7">
      <c r="A546" s="33" t="s">
        <v>704</v>
      </c>
      <c r="B546" s="33" t="s">
        <v>77</v>
      </c>
      <c r="C546" s="33" t="s">
        <v>60</v>
      </c>
      <c r="D546" s="36" t="s">
        <v>61</v>
      </c>
      <c r="E546" s="93">
        <v>47164</v>
      </c>
      <c r="F546" s="94">
        <v>77000</v>
      </c>
      <c r="G546" s="94">
        <v>77000</v>
      </c>
    </row>
    <row r="547" spans="1:7">
      <c r="A547" s="33" t="s">
        <v>704</v>
      </c>
      <c r="B547" s="33" t="s">
        <v>77</v>
      </c>
      <c r="C547" s="33" t="s">
        <v>60</v>
      </c>
      <c r="D547" s="36" t="s">
        <v>61</v>
      </c>
      <c r="E547" s="93">
        <v>47345</v>
      </c>
      <c r="F547" s="94">
        <v>77000</v>
      </c>
      <c r="G547" s="94">
        <v>77000</v>
      </c>
    </row>
    <row r="548" spans="1:7">
      <c r="A548" s="33" t="s">
        <v>704</v>
      </c>
      <c r="B548" s="33" t="s">
        <v>77</v>
      </c>
      <c r="C548" s="33" t="s">
        <v>60</v>
      </c>
      <c r="D548" s="36" t="s">
        <v>61</v>
      </c>
      <c r="E548" s="93">
        <v>47529</v>
      </c>
      <c r="F548" s="94">
        <v>77000</v>
      </c>
      <c r="G548" s="94">
        <v>77000</v>
      </c>
    </row>
    <row r="549" spans="1:7">
      <c r="A549" s="33" t="s">
        <v>704</v>
      </c>
      <c r="B549" s="33" t="s">
        <v>77</v>
      </c>
      <c r="C549" s="33" t="s">
        <v>60</v>
      </c>
      <c r="D549" s="36" t="s">
        <v>61</v>
      </c>
      <c r="E549" s="93">
        <v>47710</v>
      </c>
      <c r="F549" s="94">
        <v>77000</v>
      </c>
      <c r="G549" s="94">
        <v>77000</v>
      </c>
    </row>
    <row r="550" spans="1:7">
      <c r="A550" s="33" t="s">
        <v>704</v>
      </c>
      <c r="B550" s="33" t="s">
        <v>77</v>
      </c>
      <c r="C550" s="33" t="s">
        <v>60</v>
      </c>
      <c r="D550" s="36" t="s">
        <v>61</v>
      </c>
      <c r="E550" s="93">
        <v>47894</v>
      </c>
      <c r="F550" s="94">
        <v>77000</v>
      </c>
      <c r="G550" s="94">
        <v>77000</v>
      </c>
    </row>
    <row r="551" spans="1:7">
      <c r="A551" s="33" t="s">
        <v>704</v>
      </c>
      <c r="B551" s="33" t="s">
        <v>77</v>
      </c>
      <c r="C551" s="33" t="s">
        <v>60</v>
      </c>
      <c r="D551" s="36" t="s">
        <v>61</v>
      </c>
      <c r="E551" s="93">
        <v>48075</v>
      </c>
      <c r="F551" s="94">
        <v>77000</v>
      </c>
      <c r="G551" s="94">
        <v>77000</v>
      </c>
    </row>
    <row r="552" spans="1:7">
      <c r="A552" s="33" t="s">
        <v>704</v>
      </c>
      <c r="B552" s="33" t="s">
        <v>77</v>
      </c>
      <c r="C552" s="33" t="s">
        <v>60</v>
      </c>
      <c r="D552" s="36" t="s">
        <v>61</v>
      </c>
      <c r="E552" s="93">
        <v>48259</v>
      </c>
      <c r="F552" s="94">
        <v>77000</v>
      </c>
      <c r="G552" s="94">
        <v>77000</v>
      </c>
    </row>
    <row r="553" spans="1:7">
      <c r="A553" s="33" t="s">
        <v>704</v>
      </c>
      <c r="B553" s="33" t="s">
        <v>77</v>
      </c>
      <c r="C553" s="33" t="s">
        <v>60</v>
      </c>
      <c r="D553" s="36" t="s">
        <v>61</v>
      </c>
      <c r="E553" s="93">
        <v>48441</v>
      </c>
      <c r="F553" s="94">
        <v>77000</v>
      </c>
      <c r="G553" s="94">
        <v>4077000</v>
      </c>
    </row>
    <row r="554" spans="1:7">
      <c r="A554" s="87" t="s">
        <v>704</v>
      </c>
      <c r="B554" s="87" t="s">
        <v>77</v>
      </c>
      <c r="C554" s="88" t="s">
        <v>43</v>
      </c>
      <c r="D554" s="87" t="s">
        <v>61</v>
      </c>
      <c r="E554" s="89">
        <v>45153</v>
      </c>
      <c r="F554" s="90">
        <v>77000</v>
      </c>
      <c r="G554" s="90">
        <v>77000</v>
      </c>
    </row>
    <row r="555" spans="1:7">
      <c r="A555" s="33" t="s">
        <v>704</v>
      </c>
      <c r="B555" s="33" t="s">
        <v>77</v>
      </c>
      <c r="C555" s="48" t="s">
        <v>43</v>
      </c>
      <c r="D555" s="33" t="s">
        <v>61</v>
      </c>
      <c r="E555" s="91">
        <v>45337</v>
      </c>
      <c r="F555" s="92">
        <v>77000</v>
      </c>
      <c r="G555" s="92">
        <v>77000</v>
      </c>
    </row>
    <row r="556" spans="1:7">
      <c r="A556" s="33" t="s">
        <v>704</v>
      </c>
      <c r="B556" s="33" t="s">
        <v>77</v>
      </c>
      <c r="C556" s="48" t="s">
        <v>43</v>
      </c>
      <c r="D556" s="33" t="s">
        <v>61</v>
      </c>
      <c r="E556" s="93">
        <v>45519</v>
      </c>
      <c r="F556" s="94">
        <v>77000</v>
      </c>
      <c r="G556" s="94">
        <v>77000</v>
      </c>
    </row>
    <row r="557" spans="1:7">
      <c r="A557" s="33" t="s">
        <v>704</v>
      </c>
      <c r="B557" s="33" t="s">
        <v>77</v>
      </c>
      <c r="C557" s="48" t="s">
        <v>43</v>
      </c>
      <c r="D557" s="33" t="s">
        <v>61</v>
      </c>
      <c r="E557" s="91">
        <v>45703</v>
      </c>
      <c r="F557" s="94">
        <v>77000</v>
      </c>
      <c r="G557" s="94">
        <v>77000</v>
      </c>
    </row>
    <row r="558" spans="1:7">
      <c r="A558" s="33" t="s">
        <v>704</v>
      </c>
      <c r="B558" s="33" t="s">
        <v>77</v>
      </c>
      <c r="C558" s="48" t="s">
        <v>43</v>
      </c>
      <c r="D558" s="33" t="s">
        <v>61</v>
      </c>
      <c r="E558" s="93">
        <v>45884</v>
      </c>
      <c r="F558" s="94">
        <v>77000</v>
      </c>
      <c r="G558" s="94">
        <v>77000</v>
      </c>
    </row>
    <row r="559" spans="1:7">
      <c r="A559" s="33" t="s">
        <v>704</v>
      </c>
      <c r="B559" s="33" t="s">
        <v>77</v>
      </c>
      <c r="C559" s="48" t="s">
        <v>43</v>
      </c>
      <c r="D559" s="33" t="s">
        <v>61</v>
      </c>
      <c r="E559" s="91">
        <v>46068</v>
      </c>
      <c r="F559" s="94">
        <v>77000</v>
      </c>
      <c r="G559" s="94">
        <v>77000</v>
      </c>
    </row>
    <row r="560" spans="1:7">
      <c r="A560" s="33" t="s">
        <v>704</v>
      </c>
      <c r="B560" s="33" t="s">
        <v>77</v>
      </c>
      <c r="C560" s="48" t="s">
        <v>43</v>
      </c>
      <c r="D560" s="33" t="s">
        <v>61</v>
      </c>
      <c r="E560" s="93">
        <v>46249</v>
      </c>
      <c r="F560" s="94">
        <v>77000</v>
      </c>
      <c r="G560" s="94">
        <v>77000</v>
      </c>
    </row>
    <row r="561" spans="1:7">
      <c r="A561" s="33" t="s">
        <v>704</v>
      </c>
      <c r="B561" s="33" t="s">
        <v>77</v>
      </c>
      <c r="C561" s="48" t="s">
        <v>43</v>
      </c>
      <c r="D561" s="33" t="s">
        <v>61</v>
      </c>
      <c r="E561" s="91">
        <v>46433</v>
      </c>
      <c r="F561" s="94">
        <v>77000</v>
      </c>
      <c r="G561" s="94">
        <v>77000</v>
      </c>
    </row>
    <row r="562" spans="1:7">
      <c r="A562" s="33" t="s">
        <v>704</v>
      </c>
      <c r="B562" s="33" t="s">
        <v>77</v>
      </c>
      <c r="C562" s="48" t="s">
        <v>43</v>
      </c>
      <c r="D562" s="33" t="s">
        <v>61</v>
      </c>
      <c r="E562" s="93">
        <v>46614</v>
      </c>
      <c r="F562" s="94">
        <v>77000</v>
      </c>
      <c r="G562" s="94">
        <v>77000</v>
      </c>
    </row>
    <row r="563" spans="1:7">
      <c r="A563" s="33" t="s">
        <v>704</v>
      </c>
      <c r="B563" s="33" t="s">
        <v>77</v>
      </c>
      <c r="C563" s="48" t="s">
        <v>43</v>
      </c>
      <c r="D563" s="33" t="s">
        <v>61</v>
      </c>
      <c r="E563" s="91">
        <v>46798</v>
      </c>
      <c r="F563" s="94">
        <v>77000</v>
      </c>
      <c r="G563" s="94">
        <v>77000</v>
      </c>
    </row>
    <row r="564" spans="1:7">
      <c r="A564" s="33" t="s">
        <v>704</v>
      </c>
      <c r="B564" s="33" t="s">
        <v>77</v>
      </c>
      <c r="C564" s="48" t="s">
        <v>43</v>
      </c>
      <c r="D564" s="33" t="s">
        <v>61</v>
      </c>
      <c r="E564" s="93">
        <v>46980</v>
      </c>
      <c r="F564" s="94">
        <v>77000</v>
      </c>
      <c r="G564" s="94">
        <v>77000</v>
      </c>
    </row>
    <row r="565" spans="1:7">
      <c r="A565" s="33" t="s">
        <v>704</v>
      </c>
      <c r="B565" s="33" t="s">
        <v>77</v>
      </c>
      <c r="C565" s="48" t="s">
        <v>43</v>
      </c>
      <c r="D565" s="33" t="s">
        <v>61</v>
      </c>
      <c r="E565" s="91">
        <v>47164</v>
      </c>
      <c r="F565" s="94">
        <v>77000</v>
      </c>
      <c r="G565" s="94">
        <v>77000</v>
      </c>
    </row>
    <row r="566" spans="1:7">
      <c r="A566" s="33" t="s">
        <v>704</v>
      </c>
      <c r="B566" s="33" t="s">
        <v>77</v>
      </c>
      <c r="C566" s="48" t="s">
        <v>43</v>
      </c>
      <c r="D566" s="33" t="s">
        <v>61</v>
      </c>
      <c r="E566" s="93">
        <v>47345</v>
      </c>
      <c r="F566" s="94">
        <v>77000</v>
      </c>
      <c r="G566" s="94">
        <v>77000</v>
      </c>
    </row>
    <row r="567" spans="1:7">
      <c r="A567" s="33" t="s">
        <v>704</v>
      </c>
      <c r="B567" s="33" t="s">
        <v>77</v>
      </c>
      <c r="C567" s="48" t="s">
        <v>43</v>
      </c>
      <c r="D567" s="33" t="s">
        <v>61</v>
      </c>
      <c r="E567" s="91">
        <v>47529</v>
      </c>
      <c r="F567" s="94">
        <v>77000</v>
      </c>
      <c r="G567" s="94">
        <v>77000</v>
      </c>
    </row>
    <row r="568" spans="1:7">
      <c r="A568" s="33" t="s">
        <v>704</v>
      </c>
      <c r="B568" s="33" t="s">
        <v>77</v>
      </c>
      <c r="C568" s="48" t="s">
        <v>43</v>
      </c>
      <c r="D568" s="33" t="s">
        <v>61</v>
      </c>
      <c r="E568" s="93">
        <v>47710</v>
      </c>
      <c r="F568" s="94">
        <v>77000</v>
      </c>
      <c r="G568" s="94">
        <v>77000</v>
      </c>
    </row>
    <row r="569" spans="1:7">
      <c r="A569" s="33" t="s">
        <v>704</v>
      </c>
      <c r="B569" s="33" t="s">
        <v>77</v>
      </c>
      <c r="C569" s="48" t="s">
        <v>43</v>
      </c>
      <c r="D569" s="33" t="s">
        <v>61</v>
      </c>
      <c r="E569" s="91">
        <v>47894</v>
      </c>
      <c r="F569" s="94">
        <v>77000</v>
      </c>
      <c r="G569" s="94">
        <v>77000</v>
      </c>
    </row>
    <row r="570" spans="1:7">
      <c r="A570" s="33" t="s">
        <v>704</v>
      </c>
      <c r="B570" s="33" t="s">
        <v>77</v>
      </c>
      <c r="C570" s="48" t="s">
        <v>43</v>
      </c>
      <c r="D570" s="33" t="s">
        <v>61</v>
      </c>
      <c r="E570" s="93">
        <v>48075</v>
      </c>
      <c r="F570" s="94">
        <v>77000</v>
      </c>
      <c r="G570" s="94">
        <v>77000</v>
      </c>
    </row>
    <row r="571" spans="1:7">
      <c r="A571" s="33" t="s">
        <v>704</v>
      </c>
      <c r="B571" s="33" t="s">
        <v>77</v>
      </c>
      <c r="C571" s="48" t="s">
        <v>43</v>
      </c>
      <c r="D571" s="33" t="s">
        <v>61</v>
      </c>
      <c r="E571" s="91">
        <v>48259</v>
      </c>
      <c r="F571" s="94">
        <v>77000</v>
      </c>
      <c r="G571" s="94">
        <v>77000</v>
      </c>
    </row>
    <row r="572" spans="1:7">
      <c r="A572" s="33" t="s">
        <v>704</v>
      </c>
      <c r="B572" s="33" t="s">
        <v>77</v>
      </c>
      <c r="C572" s="48" t="s">
        <v>43</v>
      </c>
      <c r="D572" s="33" t="s">
        <v>61</v>
      </c>
      <c r="E572" s="93">
        <v>48441</v>
      </c>
      <c r="F572" s="94">
        <v>77000</v>
      </c>
      <c r="G572" s="94">
        <v>4077000</v>
      </c>
    </row>
    <row r="573" spans="1:7">
      <c r="A573" s="87" t="s">
        <v>169</v>
      </c>
      <c r="B573" s="87" t="s">
        <v>77</v>
      </c>
      <c r="C573" s="88" t="s">
        <v>43</v>
      </c>
      <c r="D573" s="87" t="s">
        <v>61</v>
      </c>
      <c r="E573" s="89">
        <v>45061</v>
      </c>
      <c r="F573" s="90">
        <v>115000</v>
      </c>
      <c r="G573" s="90">
        <v>115000</v>
      </c>
    </row>
    <row r="574" spans="1:7">
      <c r="A574" s="33" t="s">
        <v>169</v>
      </c>
      <c r="B574" s="33" t="s">
        <v>77</v>
      </c>
      <c r="C574" s="33" t="s">
        <v>60</v>
      </c>
      <c r="D574" s="36" t="s">
        <v>61</v>
      </c>
      <c r="E574" s="91">
        <v>45245</v>
      </c>
      <c r="F574" s="92">
        <v>115000</v>
      </c>
      <c r="G574" s="92">
        <v>115000</v>
      </c>
    </row>
    <row r="575" spans="1:7">
      <c r="A575" s="33" t="s">
        <v>169</v>
      </c>
      <c r="B575" s="33" t="s">
        <v>77</v>
      </c>
      <c r="C575" s="33" t="s">
        <v>60</v>
      </c>
      <c r="D575" s="36" t="s">
        <v>61</v>
      </c>
      <c r="E575" s="91">
        <v>45427</v>
      </c>
      <c r="F575" s="94">
        <v>115000</v>
      </c>
      <c r="G575" s="94">
        <v>115000</v>
      </c>
    </row>
    <row r="576" spans="1:7">
      <c r="A576" s="33" t="s">
        <v>169</v>
      </c>
      <c r="B576" s="33" t="s">
        <v>77</v>
      </c>
      <c r="C576" s="33" t="s">
        <v>60</v>
      </c>
      <c r="D576" s="36" t="s">
        <v>61</v>
      </c>
      <c r="E576" s="91">
        <v>45611</v>
      </c>
      <c r="F576" s="94">
        <v>115000</v>
      </c>
      <c r="G576" s="94">
        <v>115000</v>
      </c>
    </row>
    <row r="577" spans="1:7">
      <c r="A577" s="33" t="s">
        <v>169</v>
      </c>
      <c r="B577" s="33" t="s">
        <v>77</v>
      </c>
      <c r="C577" s="33" t="s">
        <v>60</v>
      </c>
      <c r="D577" s="36" t="s">
        <v>61</v>
      </c>
      <c r="E577" s="91">
        <v>45792</v>
      </c>
      <c r="F577" s="94">
        <v>115000</v>
      </c>
      <c r="G577" s="94">
        <v>115000</v>
      </c>
    </row>
    <row r="578" spans="1:7">
      <c r="A578" s="33" t="s">
        <v>169</v>
      </c>
      <c r="B578" s="33" t="s">
        <v>77</v>
      </c>
      <c r="C578" s="33" t="s">
        <v>60</v>
      </c>
      <c r="D578" s="36" t="s">
        <v>61</v>
      </c>
      <c r="E578" s="91">
        <v>45976</v>
      </c>
      <c r="F578" s="94">
        <v>115000</v>
      </c>
      <c r="G578" s="94">
        <v>115000</v>
      </c>
    </row>
    <row r="579" spans="1:7">
      <c r="A579" s="33" t="s">
        <v>169</v>
      </c>
      <c r="B579" s="33" t="s">
        <v>77</v>
      </c>
      <c r="C579" s="33" t="s">
        <v>60</v>
      </c>
      <c r="D579" s="36" t="s">
        <v>61</v>
      </c>
      <c r="E579" s="91">
        <v>46157</v>
      </c>
      <c r="F579" s="94">
        <v>115000</v>
      </c>
      <c r="G579" s="94">
        <v>115000</v>
      </c>
    </row>
    <row r="580" spans="1:7">
      <c r="A580" s="33" t="s">
        <v>169</v>
      </c>
      <c r="B580" s="33" t="s">
        <v>77</v>
      </c>
      <c r="C580" s="33" t="s">
        <v>60</v>
      </c>
      <c r="D580" s="36" t="s">
        <v>61</v>
      </c>
      <c r="E580" s="91">
        <v>46341</v>
      </c>
      <c r="F580" s="94">
        <v>115000</v>
      </c>
      <c r="G580" s="94">
        <v>115000</v>
      </c>
    </row>
    <row r="581" spans="1:7">
      <c r="A581" s="33" t="s">
        <v>169</v>
      </c>
      <c r="B581" s="33" t="s">
        <v>77</v>
      </c>
      <c r="C581" s="33" t="s">
        <v>60</v>
      </c>
      <c r="D581" s="36" t="s">
        <v>61</v>
      </c>
      <c r="E581" s="91">
        <v>46522</v>
      </c>
      <c r="F581" s="94">
        <v>115000</v>
      </c>
      <c r="G581" s="94">
        <v>115000</v>
      </c>
    </row>
    <row r="582" spans="1:7">
      <c r="A582" s="33" t="s">
        <v>169</v>
      </c>
      <c r="B582" s="33" t="s">
        <v>77</v>
      </c>
      <c r="C582" s="33" t="s">
        <v>60</v>
      </c>
      <c r="D582" s="36" t="s">
        <v>61</v>
      </c>
      <c r="E582" s="91">
        <v>46706</v>
      </c>
      <c r="F582" s="94">
        <v>115000</v>
      </c>
      <c r="G582" s="94">
        <v>115000</v>
      </c>
    </row>
    <row r="583" spans="1:7">
      <c r="A583" s="33" t="s">
        <v>169</v>
      </c>
      <c r="B583" s="33" t="s">
        <v>77</v>
      </c>
      <c r="C583" s="33" t="s">
        <v>60</v>
      </c>
      <c r="D583" s="36" t="s">
        <v>61</v>
      </c>
      <c r="E583" s="91">
        <v>46888</v>
      </c>
      <c r="F583" s="94">
        <v>115000</v>
      </c>
      <c r="G583" s="94">
        <v>5115000</v>
      </c>
    </row>
    <row r="584" spans="1:7">
      <c r="A584" s="87" t="s">
        <v>777</v>
      </c>
      <c r="B584" s="87" t="s">
        <v>54</v>
      </c>
      <c r="C584" s="88" t="s">
        <v>43</v>
      </c>
      <c r="D584" s="36" t="s">
        <v>61</v>
      </c>
      <c r="E584" s="89">
        <v>45550</v>
      </c>
      <c r="F584" s="90">
        <v>155250</v>
      </c>
      <c r="G584" s="90">
        <v>155250</v>
      </c>
    </row>
    <row r="585" spans="1:7">
      <c r="A585" s="56" t="s">
        <v>661</v>
      </c>
      <c r="B585" s="56" t="s">
        <v>233</v>
      </c>
      <c r="C585" s="57" t="s">
        <v>60</v>
      </c>
      <c r="D585" s="36" t="s">
        <v>61</v>
      </c>
      <c r="E585" s="93">
        <v>45731</v>
      </c>
      <c r="F585" s="98">
        <v>155250</v>
      </c>
      <c r="G585" s="98">
        <v>155250</v>
      </c>
    </row>
    <row r="586" spans="1:7">
      <c r="A586" s="56" t="s">
        <v>778</v>
      </c>
      <c r="B586" s="56" t="s">
        <v>233</v>
      </c>
      <c r="C586" s="57" t="s">
        <v>60</v>
      </c>
      <c r="D586" s="36" t="s">
        <v>61</v>
      </c>
      <c r="E586" s="93">
        <v>45915</v>
      </c>
      <c r="F586" s="98">
        <v>155250</v>
      </c>
      <c r="G586" s="98">
        <v>155250</v>
      </c>
    </row>
    <row r="587" spans="1:7">
      <c r="A587" s="56" t="s">
        <v>778</v>
      </c>
      <c r="B587" s="56" t="s">
        <v>233</v>
      </c>
      <c r="C587" s="57" t="s">
        <v>60</v>
      </c>
      <c r="D587" s="36" t="s">
        <v>61</v>
      </c>
      <c r="E587" s="93">
        <v>46096</v>
      </c>
      <c r="F587" s="98">
        <v>155250</v>
      </c>
      <c r="G587" s="98">
        <v>155250</v>
      </c>
    </row>
    <row r="588" spans="1:7">
      <c r="A588" s="56" t="s">
        <v>778</v>
      </c>
      <c r="B588" s="56" t="s">
        <v>233</v>
      </c>
      <c r="C588" s="57" t="s">
        <v>60</v>
      </c>
      <c r="D588" s="36" t="s">
        <v>61</v>
      </c>
      <c r="E588" s="93">
        <v>46280</v>
      </c>
      <c r="F588" s="98">
        <v>155250</v>
      </c>
      <c r="G588" s="98">
        <v>155250</v>
      </c>
    </row>
    <row r="589" spans="1:7">
      <c r="A589" s="56" t="s">
        <v>778</v>
      </c>
      <c r="B589" s="56" t="s">
        <v>233</v>
      </c>
      <c r="C589" s="57" t="s">
        <v>60</v>
      </c>
      <c r="D589" s="36" t="s">
        <v>61</v>
      </c>
      <c r="E589" s="93">
        <v>46461</v>
      </c>
      <c r="F589" s="98">
        <v>155250</v>
      </c>
      <c r="G589" s="98">
        <v>155250</v>
      </c>
    </row>
    <row r="590" spans="1:7">
      <c r="A590" s="56" t="s">
        <v>778</v>
      </c>
      <c r="B590" s="56" t="s">
        <v>233</v>
      </c>
      <c r="C590" s="57" t="s">
        <v>60</v>
      </c>
      <c r="D590" s="36" t="s">
        <v>61</v>
      </c>
      <c r="E590" s="93">
        <v>46645</v>
      </c>
      <c r="F590" s="98">
        <v>155250</v>
      </c>
      <c r="G590" s="98">
        <v>155250</v>
      </c>
    </row>
    <row r="591" spans="1:7">
      <c r="A591" s="56" t="s">
        <v>778</v>
      </c>
      <c r="B591" s="56" t="s">
        <v>233</v>
      </c>
      <c r="C591" s="57" t="s">
        <v>60</v>
      </c>
      <c r="D591" s="36" t="s">
        <v>61</v>
      </c>
      <c r="E591" s="93">
        <v>46827</v>
      </c>
      <c r="F591" s="98">
        <v>155250</v>
      </c>
      <c r="G591" s="98">
        <v>155250</v>
      </c>
    </row>
    <row r="592" spans="1:7">
      <c r="A592" s="56" t="s">
        <v>778</v>
      </c>
      <c r="B592" s="56" t="s">
        <v>233</v>
      </c>
      <c r="C592" s="57" t="s">
        <v>60</v>
      </c>
      <c r="D592" s="36" t="s">
        <v>61</v>
      </c>
      <c r="E592" s="93">
        <v>47011</v>
      </c>
      <c r="F592" s="98">
        <v>155250</v>
      </c>
      <c r="G592" s="98">
        <v>155250</v>
      </c>
    </row>
    <row r="593" spans="1:7">
      <c r="A593" s="56" t="s">
        <v>778</v>
      </c>
      <c r="B593" s="56" t="s">
        <v>233</v>
      </c>
      <c r="C593" s="57" t="s">
        <v>60</v>
      </c>
      <c r="D593" s="36" t="s">
        <v>61</v>
      </c>
      <c r="E593" s="93">
        <v>47192</v>
      </c>
      <c r="F593" s="98">
        <v>155250</v>
      </c>
      <c r="G593" s="98">
        <v>155250</v>
      </c>
    </row>
    <row r="594" spans="1:7">
      <c r="A594" s="56" t="s">
        <v>778</v>
      </c>
      <c r="B594" s="56" t="s">
        <v>233</v>
      </c>
      <c r="C594" s="57" t="s">
        <v>60</v>
      </c>
      <c r="D594" s="36" t="s">
        <v>61</v>
      </c>
      <c r="E594" s="93">
        <v>47376</v>
      </c>
      <c r="F594" s="98">
        <v>155250</v>
      </c>
      <c r="G594" s="98">
        <v>155250</v>
      </c>
    </row>
    <row r="595" spans="1:7">
      <c r="A595" s="56" t="s">
        <v>778</v>
      </c>
      <c r="B595" s="56" t="s">
        <v>233</v>
      </c>
      <c r="C595" s="57" t="s">
        <v>60</v>
      </c>
      <c r="D595" s="36" t="s">
        <v>61</v>
      </c>
      <c r="E595" s="93">
        <v>47557</v>
      </c>
      <c r="F595" s="98">
        <v>155250</v>
      </c>
      <c r="G595" s="98">
        <v>155250</v>
      </c>
    </row>
    <row r="596" spans="1:7">
      <c r="A596" s="56" t="s">
        <v>778</v>
      </c>
      <c r="B596" s="56" t="s">
        <v>233</v>
      </c>
      <c r="C596" s="57" t="s">
        <v>60</v>
      </c>
      <c r="D596" s="36" t="s">
        <v>61</v>
      </c>
      <c r="E596" s="93">
        <v>47741</v>
      </c>
      <c r="F596" s="98">
        <v>155250</v>
      </c>
      <c r="G596" s="98">
        <v>155250</v>
      </c>
    </row>
    <row r="597" spans="1:7">
      <c r="A597" s="56" t="s">
        <v>778</v>
      </c>
      <c r="B597" s="56" t="s">
        <v>233</v>
      </c>
      <c r="C597" s="57" t="s">
        <v>60</v>
      </c>
      <c r="D597" s="36" t="s">
        <v>61</v>
      </c>
      <c r="E597" s="93">
        <v>47922</v>
      </c>
      <c r="F597" s="98">
        <v>155250</v>
      </c>
      <c r="G597" s="98">
        <v>155250</v>
      </c>
    </row>
    <row r="598" spans="1:7">
      <c r="A598" s="56" t="s">
        <v>778</v>
      </c>
      <c r="B598" s="56" t="s">
        <v>233</v>
      </c>
      <c r="C598" s="57" t="s">
        <v>60</v>
      </c>
      <c r="D598" s="36" t="s">
        <v>61</v>
      </c>
      <c r="E598" s="93">
        <v>48106</v>
      </c>
      <c r="F598" s="98">
        <v>155250</v>
      </c>
      <c r="G598" s="98">
        <v>155250</v>
      </c>
    </row>
    <row r="599" spans="1:7">
      <c r="A599" s="56" t="s">
        <v>778</v>
      </c>
      <c r="B599" s="56" t="s">
        <v>233</v>
      </c>
      <c r="C599" s="57" t="s">
        <v>60</v>
      </c>
      <c r="D599" s="36" t="s">
        <v>61</v>
      </c>
      <c r="E599" s="93">
        <v>48288</v>
      </c>
      <c r="F599" s="98">
        <v>155250</v>
      </c>
      <c r="G599" s="98">
        <v>4755250</v>
      </c>
    </row>
    <row r="600" spans="1:7">
      <c r="A600" s="87" t="s">
        <v>66</v>
      </c>
      <c r="B600" s="87" t="s">
        <v>754</v>
      </c>
      <c r="C600" s="88" t="s">
        <v>67</v>
      </c>
      <c r="D600" s="87" t="s">
        <v>36</v>
      </c>
      <c r="E600" s="89">
        <v>44525</v>
      </c>
      <c r="F600" s="90">
        <v>19500</v>
      </c>
      <c r="G600" s="90">
        <v>19500</v>
      </c>
    </row>
    <row r="601" spans="1:7">
      <c r="A601" s="33" t="s">
        <v>66</v>
      </c>
      <c r="B601" s="33" t="s">
        <v>754</v>
      </c>
      <c r="C601" s="48" t="s">
        <v>67</v>
      </c>
      <c r="D601" s="33" t="s">
        <v>36</v>
      </c>
      <c r="E601" s="91">
        <v>44706</v>
      </c>
      <c r="F601" s="92">
        <v>19500</v>
      </c>
      <c r="G601" s="92">
        <v>19500</v>
      </c>
    </row>
    <row r="602" spans="1:7">
      <c r="A602" s="33" t="s">
        <v>779</v>
      </c>
      <c r="B602" s="33" t="s">
        <v>754</v>
      </c>
      <c r="C602" s="48" t="s">
        <v>67</v>
      </c>
      <c r="D602" s="33" t="s">
        <v>36</v>
      </c>
      <c r="E602" s="91">
        <v>44890</v>
      </c>
      <c r="F602" s="92">
        <v>19500</v>
      </c>
      <c r="G602" s="92">
        <v>19500</v>
      </c>
    </row>
    <row r="603" spans="1:7">
      <c r="A603" s="33" t="s">
        <v>779</v>
      </c>
      <c r="B603" s="33" t="s">
        <v>754</v>
      </c>
      <c r="C603" s="48" t="s">
        <v>67</v>
      </c>
      <c r="D603" s="33" t="s">
        <v>36</v>
      </c>
      <c r="E603" s="91">
        <v>45071</v>
      </c>
      <c r="F603" s="92">
        <v>19500</v>
      </c>
      <c r="G603" s="92">
        <v>19500</v>
      </c>
    </row>
    <row r="604" spans="1:7">
      <c r="A604" s="33" t="s">
        <v>779</v>
      </c>
      <c r="B604" s="33" t="s">
        <v>754</v>
      </c>
      <c r="C604" s="48" t="s">
        <v>67</v>
      </c>
      <c r="D604" s="33" t="s">
        <v>36</v>
      </c>
      <c r="E604" s="91">
        <v>45255</v>
      </c>
      <c r="F604" s="92">
        <v>19500</v>
      </c>
      <c r="G604" s="92">
        <v>19500</v>
      </c>
    </row>
    <row r="605" spans="1:7">
      <c r="A605" s="33" t="s">
        <v>779</v>
      </c>
      <c r="B605" s="33" t="s">
        <v>754</v>
      </c>
      <c r="C605" s="48" t="s">
        <v>67</v>
      </c>
      <c r="D605" s="33" t="s">
        <v>36</v>
      </c>
      <c r="E605" s="91">
        <v>45437</v>
      </c>
      <c r="F605" s="92">
        <v>19500</v>
      </c>
      <c r="G605" s="92">
        <v>19500</v>
      </c>
    </row>
    <row r="606" spans="1:7">
      <c r="A606" s="33" t="s">
        <v>779</v>
      </c>
      <c r="B606" s="33" t="s">
        <v>754</v>
      </c>
      <c r="C606" s="48" t="s">
        <v>67</v>
      </c>
      <c r="D606" s="33" t="s">
        <v>36</v>
      </c>
      <c r="E606" s="91">
        <v>45621</v>
      </c>
      <c r="F606" s="92">
        <v>19500</v>
      </c>
      <c r="G606" s="92">
        <v>19500</v>
      </c>
    </row>
    <row r="607" spans="1:7">
      <c r="A607" s="33" t="s">
        <v>779</v>
      </c>
      <c r="B607" s="33" t="s">
        <v>754</v>
      </c>
      <c r="C607" s="48" t="s">
        <v>67</v>
      </c>
      <c r="D607" s="33" t="s">
        <v>36</v>
      </c>
      <c r="E607" s="91">
        <v>45802</v>
      </c>
      <c r="F607" s="92">
        <v>19500</v>
      </c>
      <c r="G607" s="92">
        <v>19500</v>
      </c>
    </row>
    <row r="608" spans="1:7">
      <c r="A608" s="33" t="s">
        <v>779</v>
      </c>
      <c r="B608" s="33" t="s">
        <v>754</v>
      </c>
      <c r="C608" s="48" t="s">
        <v>67</v>
      </c>
      <c r="D608" s="33" t="s">
        <v>36</v>
      </c>
      <c r="E608" s="91">
        <v>45986</v>
      </c>
      <c r="F608" s="92">
        <v>19500</v>
      </c>
      <c r="G608" s="92">
        <v>19500</v>
      </c>
    </row>
    <row r="609" spans="1:7">
      <c r="A609" s="33" t="s">
        <v>779</v>
      </c>
      <c r="B609" s="33" t="s">
        <v>754</v>
      </c>
      <c r="C609" s="48" t="s">
        <v>67</v>
      </c>
      <c r="D609" s="33" t="s">
        <v>36</v>
      </c>
      <c r="E609" s="91">
        <v>46167</v>
      </c>
      <c r="F609" s="92">
        <v>19500</v>
      </c>
      <c r="G609" s="92">
        <v>1019500</v>
      </c>
    </row>
    <row r="610" spans="1:7">
      <c r="A610" s="87" t="s">
        <v>368</v>
      </c>
      <c r="B610" s="87" t="s">
        <v>754</v>
      </c>
      <c r="C610" s="87" t="s">
        <v>35</v>
      </c>
      <c r="D610" s="96" t="s">
        <v>36</v>
      </c>
      <c r="E610" s="89">
        <v>44469</v>
      </c>
      <c r="F610" s="90">
        <v>37125</v>
      </c>
      <c r="G610" s="90">
        <v>37125</v>
      </c>
    </row>
    <row r="611" spans="1:7">
      <c r="A611" s="33" t="s">
        <v>368</v>
      </c>
      <c r="B611" s="33" t="s">
        <v>754</v>
      </c>
      <c r="C611" s="33" t="s">
        <v>35</v>
      </c>
      <c r="D611" s="36" t="s">
        <v>36</v>
      </c>
      <c r="E611" s="91">
        <v>44651</v>
      </c>
      <c r="F611" s="92">
        <v>37125</v>
      </c>
      <c r="G611" s="92">
        <v>37125</v>
      </c>
    </row>
    <row r="612" spans="1:7">
      <c r="A612" s="33" t="s">
        <v>780</v>
      </c>
      <c r="B612" s="33" t="s">
        <v>754</v>
      </c>
      <c r="C612" s="33" t="s">
        <v>35</v>
      </c>
      <c r="D612" s="36" t="s">
        <v>36</v>
      </c>
      <c r="E612" s="91">
        <v>44834</v>
      </c>
      <c r="F612" s="92">
        <v>37125</v>
      </c>
      <c r="G612" s="92">
        <v>37125</v>
      </c>
    </row>
    <row r="613" spans="1:7">
      <c r="A613" s="33" t="s">
        <v>781</v>
      </c>
      <c r="B613" s="33" t="s">
        <v>754</v>
      </c>
      <c r="C613" s="33" t="s">
        <v>35</v>
      </c>
      <c r="D613" s="36" t="s">
        <v>36</v>
      </c>
      <c r="E613" s="91">
        <v>45016</v>
      </c>
      <c r="F613" s="92">
        <v>37125</v>
      </c>
      <c r="G613" s="92">
        <v>37125</v>
      </c>
    </row>
    <row r="614" spans="1:7">
      <c r="A614" s="33" t="s">
        <v>781</v>
      </c>
      <c r="B614" s="33" t="s">
        <v>754</v>
      </c>
      <c r="C614" s="33" t="s">
        <v>35</v>
      </c>
      <c r="D614" s="36" t="s">
        <v>36</v>
      </c>
      <c r="E614" s="91">
        <v>45199</v>
      </c>
      <c r="F614" s="92">
        <v>37125</v>
      </c>
      <c r="G614" s="92">
        <v>37125</v>
      </c>
    </row>
    <row r="615" spans="1:7">
      <c r="A615" s="33" t="s">
        <v>781</v>
      </c>
      <c r="B615" s="33" t="s">
        <v>754</v>
      </c>
      <c r="C615" s="33" t="s">
        <v>35</v>
      </c>
      <c r="D615" s="36" t="s">
        <v>36</v>
      </c>
      <c r="E615" s="91">
        <v>45382</v>
      </c>
      <c r="F615" s="92">
        <v>37125</v>
      </c>
      <c r="G615" s="92">
        <v>37125</v>
      </c>
    </row>
    <row r="616" spans="1:7">
      <c r="A616" s="33" t="s">
        <v>781</v>
      </c>
      <c r="B616" s="33" t="s">
        <v>754</v>
      </c>
      <c r="C616" s="33" t="s">
        <v>35</v>
      </c>
      <c r="D616" s="36" t="s">
        <v>36</v>
      </c>
      <c r="E616" s="91">
        <v>45565</v>
      </c>
      <c r="F616" s="92">
        <v>37125</v>
      </c>
      <c r="G616" s="92">
        <v>37125</v>
      </c>
    </row>
    <row r="617" spans="1:7">
      <c r="A617" s="33" t="s">
        <v>781</v>
      </c>
      <c r="B617" s="33" t="s">
        <v>754</v>
      </c>
      <c r="C617" s="33" t="s">
        <v>35</v>
      </c>
      <c r="D617" s="36" t="s">
        <v>36</v>
      </c>
      <c r="E617" s="91">
        <v>45747</v>
      </c>
      <c r="F617" s="92">
        <v>37125</v>
      </c>
      <c r="G617" s="92">
        <v>37125</v>
      </c>
    </row>
    <row r="618" spans="1:7">
      <c r="A618" s="33" t="s">
        <v>781</v>
      </c>
      <c r="B618" s="33" t="s">
        <v>754</v>
      </c>
      <c r="C618" s="33" t="s">
        <v>35</v>
      </c>
      <c r="D618" s="36" t="s">
        <v>36</v>
      </c>
      <c r="E618" s="91">
        <v>45930</v>
      </c>
      <c r="F618" s="92">
        <v>37125</v>
      </c>
      <c r="G618" s="92">
        <v>37125</v>
      </c>
    </row>
    <row r="619" spans="1:7">
      <c r="A619" s="33" t="s">
        <v>781</v>
      </c>
      <c r="B619" s="33" t="s">
        <v>754</v>
      </c>
      <c r="C619" s="33" t="s">
        <v>35</v>
      </c>
      <c r="D619" s="36" t="s">
        <v>36</v>
      </c>
      <c r="E619" s="91">
        <v>46112</v>
      </c>
      <c r="F619" s="92">
        <v>37125</v>
      </c>
      <c r="G619" s="92">
        <v>37125</v>
      </c>
    </row>
    <row r="620" spans="1:7">
      <c r="A620" s="33" t="s">
        <v>781</v>
      </c>
      <c r="B620" s="33" t="s">
        <v>754</v>
      </c>
      <c r="C620" s="33" t="s">
        <v>35</v>
      </c>
      <c r="D620" s="36" t="s">
        <v>36</v>
      </c>
      <c r="E620" s="91">
        <v>46295</v>
      </c>
      <c r="F620" s="92">
        <v>37125</v>
      </c>
      <c r="G620" s="92">
        <v>37125</v>
      </c>
    </row>
    <row r="621" spans="1:7">
      <c r="A621" s="33" t="s">
        <v>781</v>
      </c>
      <c r="B621" s="33" t="s">
        <v>754</v>
      </c>
      <c r="C621" s="33" t="s">
        <v>35</v>
      </c>
      <c r="D621" s="36" t="s">
        <v>36</v>
      </c>
      <c r="E621" s="91">
        <v>46477</v>
      </c>
      <c r="F621" s="92">
        <v>37125</v>
      </c>
      <c r="G621" s="92">
        <v>37125</v>
      </c>
    </row>
    <row r="622" spans="1:7">
      <c r="A622" s="33" t="s">
        <v>781</v>
      </c>
      <c r="B622" s="33" t="s">
        <v>754</v>
      </c>
      <c r="C622" s="33" t="s">
        <v>35</v>
      </c>
      <c r="D622" s="36" t="s">
        <v>36</v>
      </c>
      <c r="E622" s="91">
        <v>46660</v>
      </c>
      <c r="F622" s="92">
        <v>37125</v>
      </c>
      <c r="G622" s="92">
        <v>37125</v>
      </c>
    </row>
    <row r="623" spans="1:7">
      <c r="A623" s="33" t="s">
        <v>781</v>
      </c>
      <c r="B623" s="33" t="s">
        <v>754</v>
      </c>
      <c r="C623" s="33" t="s">
        <v>35</v>
      </c>
      <c r="D623" s="36" t="s">
        <v>36</v>
      </c>
      <c r="E623" s="91">
        <v>46843</v>
      </c>
      <c r="F623" s="92">
        <v>37125</v>
      </c>
      <c r="G623" s="92">
        <v>37125</v>
      </c>
    </row>
    <row r="624" spans="1:7">
      <c r="A624" s="33" t="s">
        <v>781</v>
      </c>
      <c r="B624" s="33" t="s">
        <v>754</v>
      </c>
      <c r="C624" s="33" t="s">
        <v>35</v>
      </c>
      <c r="D624" s="36" t="s">
        <v>36</v>
      </c>
      <c r="E624" s="91">
        <v>47026</v>
      </c>
      <c r="F624" s="92">
        <v>37125</v>
      </c>
      <c r="G624" s="92">
        <v>37125</v>
      </c>
    </row>
    <row r="625" spans="1:7">
      <c r="A625" s="33" t="s">
        <v>781</v>
      </c>
      <c r="B625" s="33" t="s">
        <v>754</v>
      </c>
      <c r="C625" s="33" t="s">
        <v>35</v>
      </c>
      <c r="D625" s="36" t="s">
        <v>36</v>
      </c>
      <c r="E625" s="91">
        <v>47208</v>
      </c>
      <c r="F625" s="92">
        <v>37125</v>
      </c>
      <c r="G625" s="92">
        <v>37125</v>
      </c>
    </row>
    <row r="626" spans="1:7">
      <c r="A626" s="33" t="s">
        <v>781</v>
      </c>
      <c r="B626" s="33" t="s">
        <v>754</v>
      </c>
      <c r="C626" s="33" t="s">
        <v>35</v>
      </c>
      <c r="D626" s="36" t="s">
        <v>36</v>
      </c>
      <c r="E626" s="91">
        <v>47391</v>
      </c>
      <c r="F626" s="92">
        <v>37125</v>
      </c>
      <c r="G626" s="92">
        <v>37125</v>
      </c>
    </row>
    <row r="627" spans="1:7">
      <c r="A627" s="33" t="s">
        <v>781</v>
      </c>
      <c r="B627" s="33" t="s">
        <v>754</v>
      </c>
      <c r="C627" s="33" t="s">
        <v>35</v>
      </c>
      <c r="D627" s="36" t="s">
        <v>36</v>
      </c>
      <c r="E627" s="91">
        <v>47573</v>
      </c>
      <c r="F627" s="92">
        <v>37125</v>
      </c>
      <c r="G627" s="92">
        <v>1537125</v>
      </c>
    </row>
    <row r="628" spans="1:7">
      <c r="A628" s="87" t="s">
        <v>596</v>
      </c>
      <c r="B628" s="87" t="s">
        <v>101</v>
      </c>
      <c r="C628" s="88" t="s">
        <v>43</v>
      </c>
      <c r="D628" s="87" t="s">
        <v>61</v>
      </c>
      <c r="E628" s="89">
        <v>45184</v>
      </c>
      <c r="F628" s="90">
        <v>27187.5</v>
      </c>
      <c r="G628" s="90">
        <v>27187.5</v>
      </c>
    </row>
    <row r="629" spans="1:7">
      <c r="A629" s="33" t="s">
        <v>596</v>
      </c>
      <c r="B629" s="33" t="s">
        <v>101</v>
      </c>
      <c r="C629" s="48" t="s">
        <v>43</v>
      </c>
      <c r="D629" s="33" t="s">
        <v>61</v>
      </c>
      <c r="E629" s="91">
        <v>45366</v>
      </c>
      <c r="F629" s="92">
        <v>27187.5</v>
      </c>
      <c r="G629" s="92">
        <v>27187.5</v>
      </c>
    </row>
    <row r="630" spans="1:7">
      <c r="A630" s="33" t="s">
        <v>596</v>
      </c>
      <c r="B630" s="33" t="s">
        <v>101</v>
      </c>
      <c r="C630" s="48" t="s">
        <v>43</v>
      </c>
      <c r="D630" s="33" t="s">
        <v>61</v>
      </c>
      <c r="E630" s="91">
        <v>45550</v>
      </c>
      <c r="F630" s="92">
        <v>27187.5</v>
      </c>
      <c r="G630" s="92">
        <v>27187.5</v>
      </c>
    </row>
    <row r="631" spans="1:7">
      <c r="A631" s="33" t="s">
        <v>596</v>
      </c>
      <c r="B631" s="33" t="s">
        <v>101</v>
      </c>
      <c r="C631" s="48" t="s">
        <v>43</v>
      </c>
      <c r="D631" s="33" t="s">
        <v>61</v>
      </c>
      <c r="E631" s="91">
        <v>45731</v>
      </c>
      <c r="F631" s="92">
        <v>27187.5</v>
      </c>
      <c r="G631" s="92">
        <v>27187.5</v>
      </c>
    </row>
    <row r="632" spans="1:7">
      <c r="A632" s="33" t="s">
        <v>596</v>
      </c>
      <c r="B632" s="33" t="s">
        <v>101</v>
      </c>
      <c r="C632" s="48" t="s">
        <v>43</v>
      </c>
      <c r="D632" s="33" t="s">
        <v>61</v>
      </c>
      <c r="E632" s="91">
        <v>45915</v>
      </c>
      <c r="F632" s="92">
        <v>27187.5</v>
      </c>
      <c r="G632" s="92">
        <v>27187.5</v>
      </c>
    </row>
    <row r="633" spans="1:7">
      <c r="A633" s="33" t="s">
        <v>596</v>
      </c>
      <c r="B633" s="33" t="s">
        <v>101</v>
      </c>
      <c r="C633" s="48" t="s">
        <v>43</v>
      </c>
      <c r="D633" s="33" t="s">
        <v>61</v>
      </c>
      <c r="E633" s="91">
        <v>46096</v>
      </c>
      <c r="F633" s="92">
        <v>27187.5</v>
      </c>
      <c r="G633" s="92">
        <v>27187.5</v>
      </c>
    </row>
    <row r="634" spans="1:7">
      <c r="A634" s="33" t="s">
        <v>596</v>
      </c>
      <c r="B634" s="33" t="s">
        <v>101</v>
      </c>
      <c r="C634" s="48" t="s">
        <v>43</v>
      </c>
      <c r="D634" s="33" t="s">
        <v>61</v>
      </c>
      <c r="E634" s="91">
        <v>46280</v>
      </c>
      <c r="F634" s="92">
        <v>27187.5</v>
      </c>
      <c r="G634" s="92">
        <v>27187.5</v>
      </c>
    </row>
    <row r="635" spans="1:7">
      <c r="A635" s="33" t="s">
        <v>596</v>
      </c>
      <c r="B635" s="33" t="s">
        <v>101</v>
      </c>
      <c r="C635" s="48" t="s">
        <v>43</v>
      </c>
      <c r="D635" s="33" t="s">
        <v>61</v>
      </c>
      <c r="E635" s="91">
        <v>46461</v>
      </c>
      <c r="F635" s="92">
        <v>27187.5</v>
      </c>
      <c r="G635" s="92">
        <v>27187.5</v>
      </c>
    </row>
    <row r="636" spans="1:7">
      <c r="A636" s="33" t="s">
        <v>596</v>
      </c>
      <c r="B636" s="33" t="s">
        <v>101</v>
      </c>
      <c r="C636" s="48" t="s">
        <v>43</v>
      </c>
      <c r="D636" s="33" t="s">
        <v>61</v>
      </c>
      <c r="E636" s="91">
        <v>46645</v>
      </c>
      <c r="F636" s="92">
        <v>27187.5</v>
      </c>
      <c r="G636" s="92">
        <v>27187.5</v>
      </c>
    </row>
    <row r="637" spans="1:7">
      <c r="A637" s="33" t="s">
        <v>596</v>
      </c>
      <c r="B637" s="33" t="s">
        <v>101</v>
      </c>
      <c r="C637" s="48" t="s">
        <v>43</v>
      </c>
      <c r="D637" s="33" t="s">
        <v>61</v>
      </c>
      <c r="E637" s="91">
        <v>46827</v>
      </c>
      <c r="F637" s="92">
        <v>27187.5</v>
      </c>
      <c r="G637" s="92">
        <v>27187.5</v>
      </c>
    </row>
    <row r="638" spans="1:7">
      <c r="A638" s="33" t="s">
        <v>596</v>
      </c>
      <c r="B638" s="33" t="s">
        <v>101</v>
      </c>
      <c r="C638" s="48" t="s">
        <v>43</v>
      </c>
      <c r="D638" s="33" t="s">
        <v>61</v>
      </c>
      <c r="E638" s="91">
        <v>47011</v>
      </c>
      <c r="F638" s="92">
        <v>27187.5</v>
      </c>
      <c r="G638" s="92">
        <v>27187.5</v>
      </c>
    </row>
    <row r="639" spans="1:7">
      <c r="A639" s="33" t="s">
        <v>596</v>
      </c>
      <c r="B639" s="33" t="s">
        <v>101</v>
      </c>
      <c r="C639" s="48" t="s">
        <v>43</v>
      </c>
      <c r="D639" s="33" t="s">
        <v>61</v>
      </c>
      <c r="E639" s="91">
        <v>47192</v>
      </c>
      <c r="F639" s="92">
        <v>27187.5</v>
      </c>
      <c r="G639" s="92">
        <v>27187.5</v>
      </c>
    </row>
    <row r="640" spans="1:7">
      <c r="A640" s="33" t="s">
        <v>596</v>
      </c>
      <c r="B640" s="33" t="s">
        <v>101</v>
      </c>
      <c r="C640" s="48" t="s">
        <v>43</v>
      </c>
      <c r="D640" s="33" t="s">
        <v>61</v>
      </c>
      <c r="E640" s="91">
        <v>47376</v>
      </c>
      <c r="F640" s="92">
        <v>27187.5</v>
      </c>
      <c r="G640" s="92">
        <v>27187.5</v>
      </c>
    </row>
    <row r="641" spans="1:7">
      <c r="A641" s="33" t="s">
        <v>596</v>
      </c>
      <c r="B641" s="33" t="s">
        <v>101</v>
      </c>
      <c r="C641" s="48" t="s">
        <v>43</v>
      </c>
      <c r="D641" s="33" t="s">
        <v>61</v>
      </c>
      <c r="E641" s="91">
        <v>47557</v>
      </c>
      <c r="F641" s="92">
        <v>27187.5</v>
      </c>
      <c r="G641" s="92">
        <v>27187.5</v>
      </c>
    </row>
    <row r="642" spans="1:7">
      <c r="A642" s="33" t="s">
        <v>596</v>
      </c>
      <c r="B642" s="33" t="s">
        <v>101</v>
      </c>
      <c r="C642" s="48" t="s">
        <v>43</v>
      </c>
      <c r="D642" s="33" t="s">
        <v>61</v>
      </c>
      <c r="E642" s="91">
        <v>47741</v>
      </c>
      <c r="F642" s="92">
        <v>27187.5</v>
      </c>
      <c r="G642" s="92">
        <v>27187.5</v>
      </c>
    </row>
    <row r="643" spans="1:7">
      <c r="A643" s="33" t="s">
        <v>596</v>
      </c>
      <c r="B643" s="33" t="s">
        <v>101</v>
      </c>
      <c r="C643" s="48" t="s">
        <v>43</v>
      </c>
      <c r="D643" s="33" t="s">
        <v>61</v>
      </c>
      <c r="E643" s="91">
        <v>47922</v>
      </c>
      <c r="F643" s="92">
        <v>27187.5</v>
      </c>
      <c r="G643" s="92">
        <v>27187.5</v>
      </c>
    </row>
    <row r="644" spans="1:7">
      <c r="A644" s="33" t="s">
        <v>596</v>
      </c>
      <c r="B644" s="33" t="s">
        <v>101</v>
      </c>
      <c r="C644" s="48" t="s">
        <v>43</v>
      </c>
      <c r="D644" s="33" t="s">
        <v>61</v>
      </c>
      <c r="E644" s="91">
        <v>48106</v>
      </c>
      <c r="F644" s="92">
        <v>27187.5</v>
      </c>
      <c r="G644" s="92">
        <v>2927187.5</v>
      </c>
    </row>
    <row r="645" spans="1:7">
      <c r="A645" s="87" t="s">
        <v>596</v>
      </c>
      <c r="B645" s="87" t="s">
        <v>77</v>
      </c>
      <c r="C645" s="88" t="s">
        <v>43</v>
      </c>
      <c r="D645" s="87" t="s">
        <v>61</v>
      </c>
      <c r="E645" s="89">
        <v>45184</v>
      </c>
      <c r="F645" s="90">
        <v>56250</v>
      </c>
      <c r="G645" s="90">
        <v>56250</v>
      </c>
    </row>
    <row r="646" spans="1:7">
      <c r="A646" s="33" t="s">
        <v>596</v>
      </c>
      <c r="B646" s="33" t="s">
        <v>77</v>
      </c>
      <c r="C646" s="33" t="s">
        <v>60</v>
      </c>
      <c r="D646" s="36" t="s">
        <v>61</v>
      </c>
      <c r="E646" s="91">
        <v>45366</v>
      </c>
      <c r="F646" s="92">
        <v>56250</v>
      </c>
      <c r="G646" s="92">
        <v>56250</v>
      </c>
    </row>
    <row r="647" spans="1:7">
      <c r="A647" s="33" t="s">
        <v>782</v>
      </c>
      <c r="B647" s="33" t="s">
        <v>77</v>
      </c>
      <c r="C647" s="33" t="s">
        <v>60</v>
      </c>
      <c r="D647" s="36" t="s">
        <v>61</v>
      </c>
      <c r="E647" s="91">
        <v>45550</v>
      </c>
      <c r="F647" s="94">
        <v>56250</v>
      </c>
      <c r="G647" s="94">
        <v>56250</v>
      </c>
    </row>
    <row r="648" spans="1:7">
      <c r="A648" s="33" t="s">
        <v>782</v>
      </c>
      <c r="B648" s="33" t="s">
        <v>77</v>
      </c>
      <c r="C648" s="33" t="s">
        <v>60</v>
      </c>
      <c r="D648" s="36" t="s">
        <v>61</v>
      </c>
      <c r="E648" s="91">
        <v>45731</v>
      </c>
      <c r="F648" s="94">
        <v>56250</v>
      </c>
      <c r="G648" s="94">
        <v>56250</v>
      </c>
    </row>
    <row r="649" spans="1:7">
      <c r="A649" s="33" t="s">
        <v>782</v>
      </c>
      <c r="B649" s="33" t="s">
        <v>77</v>
      </c>
      <c r="C649" s="33" t="s">
        <v>60</v>
      </c>
      <c r="D649" s="36" t="s">
        <v>61</v>
      </c>
      <c r="E649" s="91">
        <v>45915</v>
      </c>
      <c r="F649" s="94">
        <v>56250</v>
      </c>
      <c r="G649" s="94">
        <v>56250</v>
      </c>
    </row>
    <row r="650" spans="1:7">
      <c r="A650" s="33" t="s">
        <v>782</v>
      </c>
      <c r="B650" s="33" t="s">
        <v>77</v>
      </c>
      <c r="C650" s="33" t="s">
        <v>60</v>
      </c>
      <c r="D650" s="36" t="s">
        <v>61</v>
      </c>
      <c r="E650" s="91">
        <v>46096</v>
      </c>
      <c r="F650" s="94">
        <v>56250</v>
      </c>
      <c r="G650" s="94">
        <v>56250</v>
      </c>
    </row>
    <row r="651" spans="1:7">
      <c r="A651" s="33" t="s">
        <v>782</v>
      </c>
      <c r="B651" s="33" t="s">
        <v>77</v>
      </c>
      <c r="C651" s="33" t="s">
        <v>60</v>
      </c>
      <c r="D651" s="36" t="s">
        <v>61</v>
      </c>
      <c r="E651" s="91">
        <v>46280</v>
      </c>
      <c r="F651" s="94">
        <v>56250</v>
      </c>
      <c r="G651" s="94">
        <v>56250</v>
      </c>
    </row>
    <row r="652" spans="1:7">
      <c r="A652" s="33" t="s">
        <v>782</v>
      </c>
      <c r="B652" s="33" t="s">
        <v>77</v>
      </c>
      <c r="C652" s="33" t="s">
        <v>60</v>
      </c>
      <c r="D652" s="36" t="s">
        <v>61</v>
      </c>
      <c r="E652" s="91">
        <v>46461</v>
      </c>
      <c r="F652" s="94">
        <v>56250</v>
      </c>
      <c r="G652" s="94">
        <v>56250</v>
      </c>
    </row>
    <row r="653" spans="1:7">
      <c r="A653" s="33" t="s">
        <v>782</v>
      </c>
      <c r="B653" s="33" t="s">
        <v>77</v>
      </c>
      <c r="C653" s="33" t="s">
        <v>60</v>
      </c>
      <c r="D653" s="36" t="s">
        <v>61</v>
      </c>
      <c r="E653" s="91">
        <v>46645</v>
      </c>
      <c r="F653" s="94">
        <v>56250</v>
      </c>
      <c r="G653" s="94">
        <v>56250</v>
      </c>
    </row>
    <row r="654" spans="1:7">
      <c r="A654" s="33" t="s">
        <v>782</v>
      </c>
      <c r="B654" s="33" t="s">
        <v>77</v>
      </c>
      <c r="C654" s="33" t="s">
        <v>60</v>
      </c>
      <c r="D654" s="36" t="s">
        <v>61</v>
      </c>
      <c r="E654" s="91">
        <v>46827</v>
      </c>
      <c r="F654" s="94">
        <v>56250</v>
      </c>
      <c r="G654" s="94">
        <v>56250</v>
      </c>
    </row>
    <row r="655" spans="1:7">
      <c r="A655" s="33" t="s">
        <v>782</v>
      </c>
      <c r="B655" s="33" t="s">
        <v>77</v>
      </c>
      <c r="C655" s="33" t="s">
        <v>60</v>
      </c>
      <c r="D655" s="36" t="s">
        <v>61</v>
      </c>
      <c r="E655" s="91">
        <v>47011</v>
      </c>
      <c r="F655" s="94">
        <v>56250</v>
      </c>
      <c r="G655" s="94">
        <v>56250</v>
      </c>
    </row>
    <row r="656" spans="1:7">
      <c r="A656" s="33" t="s">
        <v>782</v>
      </c>
      <c r="B656" s="33" t="s">
        <v>77</v>
      </c>
      <c r="C656" s="33" t="s">
        <v>60</v>
      </c>
      <c r="D656" s="36" t="s">
        <v>61</v>
      </c>
      <c r="E656" s="91">
        <v>47192</v>
      </c>
      <c r="F656" s="94">
        <v>56250</v>
      </c>
      <c r="G656" s="94">
        <v>56250</v>
      </c>
    </row>
    <row r="657" spans="1:7">
      <c r="A657" s="33" t="s">
        <v>782</v>
      </c>
      <c r="B657" s="33" t="s">
        <v>77</v>
      </c>
      <c r="C657" s="33" t="s">
        <v>60</v>
      </c>
      <c r="D657" s="36" t="s">
        <v>61</v>
      </c>
      <c r="E657" s="91">
        <v>47376</v>
      </c>
      <c r="F657" s="94">
        <v>56250</v>
      </c>
      <c r="G657" s="94">
        <v>56250</v>
      </c>
    </row>
    <row r="658" spans="1:7">
      <c r="A658" s="33" t="s">
        <v>782</v>
      </c>
      <c r="B658" s="33" t="s">
        <v>77</v>
      </c>
      <c r="C658" s="33" t="s">
        <v>60</v>
      </c>
      <c r="D658" s="36" t="s">
        <v>61</v>
      </c>
      <c r="E658" s="91">
        <v>47557</v>
      </c>
      <c r="F658" s="94">
        <v>56250</v>
      </c>
      <c r="G658" s="94">
        <v>56250</v>
      </c>
    </row>
    <row r="659" spans="1:7">
      <c r="A659" s="33" t="s">
        <v>782</v>
      </c>
      <c r="B659" s="33" t="s">
        <v>77</v>
      </c>
      <c r="C659" s="33" t="s">
        <v>60</v>
      </c>
      <c r="D659" s="36" t="s">
        <v>61</v>
      </c>
      <c r="E659" s="91">
        <v>47741</v>
      </c>
      <c r="F659" s="94">
        <v>56250</v>
      </c>
      <c r="G659" s="94">
        <v>56250</v>
      </c>
    </row>
    <row r="660" spans="1:7">
      <c r="A660" s="33" t="s">
        <v>782</v>
      </c>
      <c r="B660" s="33" t="s">
        <v>77</v>
      </c>
      <c r="C660" s="33" t="s">
        <v>60</v>
      </c>
      <c r="D660" s="36" t="s">
        <v>61</v>
      </c>
      <c r="E660" s="91">
        <v>47922</v>
      </c>
      <c r="F660" s="94">
        <v>56250</v>
      </c>
      <c r="G660" s="94">
        <v>56250</v>
      </c>
    </row>
    <row r="661" spans="1:7">
      <c r="A661" s="33" t="s">
        <v>782</v>
      </c>
      <c r="B661" s="33" t="s">
        <v>77</v>
      </c>
      <c r="C661" s="33" t="s">
        <v>60</v>
      </c>
      <c r="D661" s="36" t="s">
        <v>61</v>
      </c>
      <c r="E661" s="91">
        <v>48106</v>
      </c>
      <c r="F661" s="94">
        <v>56250</v>
      </c>
      <c r="G661" s="94">
        <v>6056250</v>
      </c>
    </row>
    <row r="662" spans="1:7">
      <c r="A662" s="87" t="s">
        <v>198</v>
      </c>
      <c r="B662" s="87" t="s">
        <v>54</v>
      </c>
      <c r="C662" s="88" t="s">
        <v>67</v>
      </c>
      <c r="D662" s="87" t="s">
        <v>61</v>
      </c>
      <c r="E662" s="89">
        <v>45556</v>
      </c>
      <c r="F662" s="90">
        <v>122000</v>
      </c>
      <c r="G662" s="90">
        <v>122000</v>
      </c>
    </row>
    <row r="663" spans="1:7">
      <c r="A663" s="33" t="s">
        <v>198</v>
      </c>
      <c r="B663" s="33" t="s">
        <v>54</v>
      </c>
      <c r="C663" s="33" t="s">
        <v>35</v>
      </c>
      <c r="D663" s="36" t="s">
        <v>61</v>
      </c>
      <c r="E663" s="91">
        <v>45737</v>
      </c>
      <c r="F663" s="92">
        <v>122000</v>
      </c>
      <c r="G663" s="92">
        <v>122000</v>
      </c>
    </row>
    <row r="664" spans="1:7">
      <c r="A664" s="33" t="s">
        <v>783</v>
      </c>
      <c r="B664" s="33" t="s">
        <v>54</v>
      </c>
      <c r="C664" s="33" t="s">
        <v>35</v>
      </c>
      <c r="D664" s="36" t="s">
        <v>61</v>
      </c>
      <c r="E664" s="91">
        <v>45921</v>
      </c>
      <c r="F664" s="92">
        <v>122000</v>
      </c>
      <c r="G664" s="92">
        <v>122000</v>
      </c>
    </row>
    <row r="665" spans="1:7">
      <c r="A665" s="33" t="s">
        <v>783</v>
      </c>
      <c r="B665" s="33" t="s">
        <v>54</v>
      </c>
      <c r="C665" s="33" t="s">
        <v>35</v>
      </c>
      <c r="D665" s="36" t="s">
        <v>61</v>
      </c>
      <c r="E665" s="91">
        <v>46102</v>
      </c>
      <c r="F665" s="92">
        <v>122000</v>
      </c>
      <c r="G665" s="92">
        <v>122000</v>
      </c>
    </row>
    <row r="666" spans="1:7">
      <c r="A666" s="33" t="s">
        <v>783</v>
      </c>
      <c r="B666" s="33" t="s">
        <v>54</v>
      </c>
      <c r="C666" s="33" t="s">
        <v>35</v>
      </c>
      <c r="D666" s="36" t="s">
        <v>61</v>
      </c>
      <c r="E666" s="91">
        <v>46286</v>
      </c>
      <c r="F666" s="92">
        <v>122000</v>
      </c>
      <c r="G666" s="92">
        <v>122000</v>
      </c>
    </row>
    <row r="667" spans="1:7">
      <c r="A667" s="33" t="s">
        <v>783</v>
      </c>
      <c r="B667" s="33" t="s">
        <v>54</v>
      </c>
      <c r="C667" s="33" t="s">
        <v>35</v>
      </c>
      <c r="D667" s="36" t="s">
        <v>61</v>
      </c>
      <c r="E667" s="91">
        <v>46467</v>
      </c>
      <c r="F667" s="92">
        <v>122000</v>
      </c>
      <c r="G667" s="92">
        <v>122000</v>
      </c>
    </row>
    <row r="668" spans="1:7">
      <c r="A668" s="33" t="s">
        <v>783</v>
      </c>
      <c r="B668" s="33" t="s">
        <v>54</v>
      </c>
      <c r="C668" s="33" t="s">
        <v>35</v>
      </c>
      <c r="D668" s="36" t="s">
        <v>61</v>
      </c>
      <c r="E668" s="91">
        <v>46651</v>
      </c>
      <c r="F668" s="92">
        <v>122000</v>
      </c>
      <c r="G668" s="92">
        <v>122000</v>
      </c>
    </row>
    <row r="669" spans="1:7">
      <c r="A669" s="33" t="s">
        <v>783</v>
      </c>
      <c r="B669" s="33" t="s">
        <v>54</v>
      </c>
      <c r="C669" s="33" t="s">
        <v>35</v>
      </c>
      <c r="D669" s="36" t="s">
        <v>61</v>
      </c>
      <c r="E669" s="91">
        <v>46833</v>
      </c>
      <c r="F669" s="92">
        <v>122000</v>
      </c>
      <c r="G669" s="92">
        <v>122000</v>
      </c>
    </row>
    <row r="670" spans="1:7">
      <c r="A670" s="33" t="s">
        <v>783</v>
      </c>
      <c r="B670" s="33" t="s">
        <v>54</v>
      </c>
      <c r="C670" s="33" t="s">
        <v>35</v>
      </c>
      <c r="D670" s="36" t="s">
        <v>61</v>
      </c>
      <c r="E670" s="91">
        <v>47017</v>
      </c>
      <c r="F670" s="92">
        <v>122000</v>
      </c>
      <c r="G670" s="92">
        <v>4122000</v>
      </c>
    </row>
    <row r="671" spans="1:7">
      <c r="A671" s="87" t="s">
        <v>229</v>
      </c>
      <c r="B671" s="87" t="s">
        <v>77</v>
      </c>
      <c r="C671" s="88" t="s">
        <v>43</v>
      </c>
      <c r="D671" s="87" t="s">
        <v>61</v>
      </c>
      <c r="E671" s="89">
        <v>45489</v>
      </c>
      <c r="F671" s="90">
        <v>260000</v>
      </c>
      <c r="G671" s="90">
        <v>260000</v>
      </c>
    </row>
    <row r="672" spans="1:7">
      <c r="A672" s="33" t="s">
        <v>229</v>
      </c>
      <c r="B672" s="33" t="s">
        <v>77</v>
      </c>
      <c r="C672" s="33" t="s">
        <v>60</v>
      </c>
      <c r="D672" s="36" t="s">
        <v>61</v>
      </c>
      <c r="E672" s="91">
        <v>45673</v>
      </c>
      <c r="F672" s="92">
        <v>260000</v>
      </c>
      <c r="G672" s="92">
        <v>260000</v>
      </c>
    </row>
    <row r="673" spans="1:7">
      <c r="A673" s="33" t="s">
        <v>784</v>
      </c>
      <c r="B673" s="33" t="s">
        <v>77</v>
      </c>
      <c r="C673" s="33" t="s">
        <v>60</v>
      </c>
      <c r="D673" s="36" t="s">
        <v>61</v>
      </c>
      <c r="E673" s="91">
        <v>45854</v>
      </c>
      <c r="F673" s="92">
        <v>260000</v>
      </c>
      <c r="G673" s="92">
        <v>260000</v>
      </c>
    </row>
    <row r="674" spans="1:7">
      <c r="A674" s="33" t="s">
        <v>784</v>
      </c>
      <c r="B674" s="33" t="s">
        <v>77</v>
      </c>
      <c r="C674" s="33" t="s">
        <v>60</v>
      </c>
      <c r="D674" s="36" t="s">
        <v>61</v>
      </c>
      <c r="E674" s="91">
        <v>46038</v>
      </c>
      <c r="F674" s="92">
        <v>260000</v>
      </c>
      <c r="G674" s="92">
        <v>260000</v>
      </c>
    </row>
    <row r="675" spans="1:7">
      <c r="A675" s="33" t="s">
        <v>784</v>
      </c>
      <c r="B675" s="33" t="s">
        <v>77</v>
      </c>
      <c r="C675" s="33" t="s">
        <v>60</v>
      </c>
      <c r="D675" s="36" t="s">
        <v>61</v>
      </c>
      <c r="E675" s="91">
        <v>46219</v>
      </c>
      <c r="F675" s="92">
        <v>260000</v>
      </c>
      <c r="G675" s="92">
        <v>260000</v>
      </c>
    </row>
    <row r="676" spans="1:7">
      <c r="A676" s="33" t="s">
        <v>784</v>
      </c>
      <c r="B676" s="33" t="s">
        <v>77</v>
      </c>
      <c r="C676" s="33" t="s">
        <v>60</v>
      </c>
      <c r="D676" s="36" t="s">
        <v>61</v>
      </c>
      <c r="E676" s="91">
        <v>46403</v>
      </c>
      <c r="F676" s="92">
        <v>260000</v>
      </c>
      <c r="G676" s="92">
        <v>260000</v>
      </c>
    </row>
    <row r="677" spans="1:7">
      <c r="A677" s="33" t="s">
        <v>784</v>
      </c>
      <c r="B677" s="33" t="s">
        <v>77</v>
      </c>
      <c r="C677" s="33" t="s">
        <v>60</v>
      </c>
      <c r="D677" s="36" t="s">
        <v>61</v>
      </c>
      <c r="E677" s="91">
        <v>46584</v>
      </c>
      <c r="F677" s="92">
        <v>260000</v>
      </c>
      <c r="G677" s="92">
        <v>260000</v>
      </c>
    </row>
    <row r="678" spans="1:7">
      <c r="A678" s="33" t="s">
        <v>784</v>
      </c>
      <c r="B678" s="33" t="s">
        <v>77</v>
      </c>
      <c r="C678" s="33" t="s">
        <v>60</v>
      </c>
      <c r="D678" s="36" t="s">
        <v>61</v>
      </c>
      <c r="E678" s="91">
        <v>46768</v>
      </c>
      <c r="F678" s="92">
        <v>260000</v>
      </c>
      <c r="G678" s="92">
        <v>260000</v>
      </c>
    </row>
    <row r="679" spans="1:7">
      <c r="A679" s="33" t="s">
        <v>784</v>
      </c>
      <c r="B679" s="33" t="s">
        <v>77</v>
      </c>
      <c r="C679" s="33" t="s">
        <v>60</v>
      </c>
      <c r="D679" s="36" t="s">
        <v>61</v>
      </c>
      <c r="E679" s="91">
        <v>46950</v>
      </c>
      <c r="F679" s="92">
        <v>260000</v>
      </c>
      <c r="G679" s="92">
        <v>260000</v>
      </c>
    </row>
    <row r="680" spans="1:7">
      <c r="A680" s="33" t="s">
        <v>784</v>
      </c>
      <c r="B680" s="33" t="s">
        <v>77</v>
      </c>
      <c r="C680" s="33" t="s">
        <v>60</v>
      </c>
      <c r="D680" s="36" t="s">
        <v>61</v>
      </c>
      <c r="E680" s="91">
        <v>47134</v>
      </c>
      <c r="F680" s="92">
        <v>260000</v>
      </c>
      <c r="G680" s="92">
        <v>8260000</v>
      </c>
    </row>
    <row r="681" spans="1:7">
      <c r="A681" s="87" t="s">
        <v>511</v>
      </c>
      <c r="B681" s="87" t="s">
        <v>54</v>
      </c>
      <c r="C681" s="88" t="s">
        <v>43</v>
      </c>
      <c r="D681" s="87" t="s">
        <v>61</v>
      </c>
      <c r="E681" s="89">
        <v>45509</v>
      </c>
      <c r="F681" s="90">
        <v>71250</v>
      </c>
      <c r="G681" s="90">
        <v>71250</v>
      </c>
    </row>
    <row r="682" spans="1:7">
      <c r="A682" s="33" t="s">
        <v>511</v>
      </c>
      <c r="B682" s="33" t="s">
        <v>54</v>
      </c>
      <c r="C682" s="48" t="s">
        <v>43</v>
      </c>
      <c r="D682" s="33" t="s">
        <v>61</v>
      </c>
      <c r="E682" s="91">
        <v>45693</v>
      </c>
      <c r="F682" s="92">
        <v>71250</v>
      </c>
      <c r="G682" s="92">
        <v>71250</v>
      </c>
    </row>
    <row r="683" spans="1:7">
      <c r="A683" s="33" t="s">
        <v>785</v>
      </c>
      <c r="B683" s="33" t="s">
        <v>54</v>
      </c>
      <c r="C683" s="48" t="s">
        <v>43</v>
      </c>
      <c r="D683" s="33" t="s">
        <v>61</v>
      </c>
      <c r="E683" s="91">
        <v>45874</v>
      </c>
      <c r="F683" s="92">
        <v>71250</v>
      </c>
      <c r="G683" s="92">
        <v>71250</v>
      </c>
    </row>
    <row r="684" spans="1:7">
      <c r="A684" s="33" t="s">
        <v>785</v>
      </c>
      <c r="B684" s="33" t="s">
        <v>54</v>
      </c>
      <c r="C684" s="48" t="s">
        <v>43</v>
      </c>
      <c r="D684" s="33" t="s">
        <v>61</v>
      </c>
      <c r="E684" s="91">
        <v>46058</v>
      </c>
      <c r="F684" s="92">
        <v>71250</v>
      </c>
      <c r="G684" s="92">
        <v>71250</v>
      </c>
    </row>
    <row r="685" spans="1:7">
      <c r="A685" s="33" t="s">
        <v>785</v>
      </c>
      <c r="B685" s="33" t="s">
        <v>54</v>
      </c>
      <c r="C685" s="48" t="s">
        <v>43</v>
      </c>
      <c r="D685" s="33" t="s">
        <v>61</v>
      </c>
      <c r="E685" s="91">
        <v>46239</v>
      </c>
      <c r="F685" s="92">
        <v>71250</v>
      </c>
      <c r="G685" s="92">
        <v>71250</v>
      </c>
    </row>
    <row r="686" spans="1:7">
      <c r="A686" s="33" t="s">
        <v>785</v>
      </c>
      <c r="B686" s="33" t="s">
        <v>54</v>
      </c>
      <c r="C686" s="48" t="s">
        <v>43</v>
      </c>
      <c r="D686" s="33" t="s">
        <v>61</v>
      </c>
      <c r="E686" s="91">
        <v>46423</v>
      </c>
      <c r="F686" s="92">
        <v>71250</v>
      </c>
      <c r="G686" s="92">
        <v>71250</v>
      </c>
    </row>
    <row r="687" spans="1:7">
      <c r="A687" s="33" t="s">
        <v>785</v>
      </c>
      <c r="B687" s="33" t="s">
        <v>54</v>
      </c>
      <c r="C687" s="48" t="s">
        <v>43</v>
      </c>
      <c r="D687" s="33" t="s">
        <v>61</v>
      </c>
      <c r="E687" s="91">
        <v>46604</v>
      </c>
      <c r="F687" s="92">
        <v>71250</v>
      </c>
      <c r="G687" s="92">
        <v>71250</v>
      </c>
    </row>
    <row r="688" spans="1:7">
      <c r="A688" s="33" t="s">
        <v>785</v>
      </c>
      <c r="B688" s="33" t="s">
        <v>54</v>
      </c>
      <c r="C688" s="48" t="s">
        <v>43</v>
      </c>
      <c r="D688" s="33" t="s">
        <v>61</v>
      </c>
      <c r="E688" s="91">
        <v>46788</v>
      </c>
      <c r="F688" s="92">
        <v>71250</v>
      </c>
      <c r="G688" s="92">
        <v>71250</v>
      </c>
    </row>
    <row r="689" spans="1:7">
      <c r="A689" s="33" t="s">
        <v>785</v>
      </c>
      <c r="B689" s="33" t="s">
        <v>54</v>
      </c>
      <c r="C689" s="48" t="s">
        <v>43</v>
      </c>
      <c r="D689" s="33" t="s">
        <v>61</v>
      </c>
      <c r="E689" s="91">
        <v>46970</v>
      </c>
      <c r="F689" s="92">
        <v>71250</v>
      </c>
      <c r="G689" s="92">
        <v>71250</v>
      </c>
    </row>
    <row r="690" spans="1:7">
      <c r="A690" s="33" t="s">
        <v>785</v>
      </c>
      <c r="B690" s="33" t="s">
        <v>54</v>
      </c>
      <c r="C690" s="48" t="s">
        <v>43</v>
      </c>
      <c r="D690" s="33" t="s">
        <v>61</v>
      </c>
      <c r="E690" s="91">
        <v>47154</v>
      </c>
      <c r="F690" s="92">
        <v>71250</v>
      </c>
      <c r="G690" s="92">
        <v>71250</v>
      </c>
    </row>
    <row r="691" spans="1:7">
      <c r="A691" s="33" t="s">
        <v>785</v>
      </c>
      <c r="B691" s="33" t="s">
        <v>54</v>
      </c>
      <c r="C691" s="48" t="s">
        <v>43</v>
      </c>
      <c r="D691" s="33" t="s">
        <v>61</v>
      </c>
      <c r="E691" s="91">
        <v>47335</v>
      </c>
      <c r="F691" s="92">
        <v>71250</v>
      </c>
      <c r="G691" s="92">
        <v>71250</v>
      </c>
    </row>
    <row r="692" spans="1:7">
      <c r="A692" s="33" t="s">
        <v>785</v>
      </c>
      <c r="B692" s="33" t="s">
        <v>54</v>
      </c>
      <c r="C692" s="48" t="s">
        <v>43</v>
      </c>
      <c r="D692" s="33" t="s">
        <v>61</v>
      </c>
      <c r="E692" s="91">
        <v>47519</v>
      </c>
      <c r="F692" s="92">
        <v>71250</v>
      </c>
      <c r="G692" s="92">
        <v>71250</v>
      </c>
    </row>
    <row r="693" spans="1:7">
      <c r="A693" s="33" t="s">
        <v>785</v>
      </c>
      <c r="B693" s="33" t="s">
        <v>54</v>
      </c>
      <c r="C693" s="48" t="s">
        <v>43</v>
      </c>
      <c r="D693" s="33" t="s">
        <v>61</v>
      </c>
      <c r="E693" s="91">
        <v>47700</v>
      </c>
      <c r="F693" s="92">
        <v>71250</v>
      </c>
      <c r="G693" s="92">
        <v>71250</v>
      </c>
    </row>
    <row r="694" spans="1:7">
      <c r="A694" s="33" t="s">
        <v>785</v>
      </c>
      <c r="B694" s="33" t="s">
        <v>54</v>
      </c>
      <c r="C694" s="48" t="s">
        <v>43</v>
      </c>
      <c r="D694" s="33" t="s">
        <v>61</v>
      </c>
      <c r="E694" s="91">
        <v>47884</v>
      </c>
      <c r="F694" s="92">
        <v>71250</v>
      </c>
      <c r="G694" s="92">
        <v>3071250</v>
      </c>
    </row>
    <row r="695" spans="1:7">
      <c r="A695" s="87" t="s">
        <v>310</v>
      </c>
      <c r="B695" s="87" t="s">
        <v>54</v>
      </c>
      <c r="C695" s="88" t="s">
        <v>43</v>
      </c>
      <c r="D695" s="87" t="s">
        <v>61</v>
      </c>
      <c r="E695" s="89">
        <v>45153</v>
      </c>
      <c r="F695" s="90">
        <v>36750</v>
      </c>
      <c r="G695" s="90">
        <v>36750</v>
      </c>
    </row>
    <row r="696" spans="1:7">
      <c r="A696" s="33" t="s">
        <v>310</v>
      </c>
      <c r="B696" s="33" t="s">
        <v>54</v>
      </c>
      <c r="C696" s="48" t="s">
        <v>43</v>
      </c>
      <c r="D696" s="33" t="s">
        <v>61</v>
      </c>
      <c r="E696" s="91">
        <v>45337</v>
      </c>
      <c r="F696" s="92">
        <v>36750</v>
      </c>
      <c r="G696" s="92">
        <v>36750</v>
      </c>
    </row>
    <row r="697" spans="1:7">
      <c r="A697" s="33" t="s">
        <v>310</v>
      </c>
      <c r="B697" s="33" t="s">
        <v>54</v>
      </c>
      <c r="C697" s="48" t="s">
        <v>43</v>
      </c>
      <c r="D697" s="33" t="s">
        <v>61</v>
      </c>
      <c r="E697" s="93">
        <v>45519</v>
      </c>
      <c r="F697" s="94">
        <v>36750</v>
      </c>
      <c r="G697" s="94">
        <v>36750</v>
      </c>
    </row>
    <row r="698" spans="1:7">
      <c r="A698" s="33" t="s">
        <v>310</v>
      </c>
      <c r="B698" s="33" t="s">
        <v>54</v>
      </c>
      <c r="C698" s="48" t="s">
        <v>43</v>
      </c>
      <c r="D698" s="33" t="s">
        <v>61</v>
      </c>
      <c r="E698" s="91">
        <v>45703</v>
      </c>
      <c r="F698" s="94">
        <v>36750</v>
      </c>
      <c r="G698" s="94">
        <v>36750</v>
      </c>
    </row>
    <row r="699" spans="1:7">
      <c r="A699" s="33" t="s">
        <v>310</v>
      </c>
      <c r="B699" s="33" t="s">
        <v>54</v>
      </c>
      <c r="C699" s="48" t="s">
        <v>43</v>
      </c>
      <c r="D699" s="33" t="s">
        <v>61</v>
      </c>
      <c r="E699" s="93">
        <v>45884</v>
      </c>
      <c r="F699" s="94">
        <v>36750</v>
      </c>
      <c r="G699" s="94">
        <v>36750</v>
      </c>
    </row>
    <row r="700" spans="1:7">
      <c r="A700" s="33" t="s">
        <v>310</v>
      </c>
      <c r="B700" s="33" t="s">
        <v>54</v>
      </c>
      <c r="C700" s="48" t="s">
        <v>43</v>
      </c>
      <c r="D700" s="33" t="s">
        <v>61</v>
      </c>
      <c r="E700" s="91">
        <v>46068</v>
      </c>
      <c r="F700" s="94">
        <v>36750</v>
      </c>
      <c r="G700" s="94">
        <v>36750</v>
      </c>
    </row>
    <row r="701" spans="1:7">
      <c r="A701" s="33" t="s">
        <v>310</v>
      </c>
      <c r="B701" s="33" t="s">
        <v>54</v>
      </c>
      <c r="C701" s="48" t="s">
        <v>43</v>
      </c>
      <c r="D701" s="33" t="s">
        <v>61</v>
      </c>
      <c r="E701" s="93">
        <v>46249</v>
      </c>
      <c r="F701" s="94">
        <v>36750</v>
      </c>
      <c r="G701" s="94">
        <v>36750</v>
      </c>
    </row>
    <row r="702" spans="1:7">
      <c r="A702" s="33" t="s">
        <v>310</v>
      </c>
      <c r="B702" s="33" t="s">
        <v>54</v>
      </c>
      <c r="C702" s="48" t="s">
        <v>43</v>
      </c>
      <c r="D702" s="33" t="s">
        <v>61</v>
      </c>
      <c r="E702" s="91">
        <v>46433</v>
      </c>
      <c r="F702" s="94">
        <v>36750</v>
      </c>
      <c r="G702" s="94">
        <v>36750</v>
      </c>
    </row>
    <row r="703" spans="1:7">
      <c r="A703" s="33" t="s">
        <v>310</v>
      </c>
      <c r="B703" s="33" t="s">
        <v>54</v>
      </c>
      <c r="C703" s="48" t="s">
        <v>43</v>
      </c>
      <c r="D703" s="33" t="s">
        <v>61</v>
      </c>
      <c r="E703" s="93">
        <v>46614</v>
      </c>
      <c r="F703" s="94">
        <v>36750</v>
      </c>
      <c r="G703" s="94">
        <v>36750</v>
      </c>
    </row>
    <row r="704" spans="1:7">
      <c r="A704" s="33" t="s">
        <v>310</v>
      </c>
      <c r="B704" s="33" t="s">
        <v>54</v>
      </c>
      <c r="C704" s="48" t="s">
        <v>43</v>
      </c>
      <c r="D704" s="33" t="s">
        <v>61</v>
      </c>
      <c r="E704" s="91">
        <v>46798</v>
      </c>
      <c r="F704" s="94">
        <v>36750</v>
      </c>
      <c r="G704" s="94">
        <v>36750</v>
      </c>
    </row>
    <row r="705" spans="1:7">
      <c r="A705" s="33" t="s">
        <v>310</v>
      </c>
      <c r="B705" s="33" t="s">
        <v>54</v>
      </c>
      <c r="C705" s="48" t="s">
        <v>43</v>
      </c>
      <c r="D705" s="33" t="s">
        <v>61</v>
      </c>
      <c r="E705" s="93">
        <v>46980</v>
      </c>
      <c r="F705" s="94">
        <v>36750</v>
      </c>
      <c r="G705" s="94">
        <v>36750</v>
      </c>
    </row>
    <row r="706" spans="1:7">
      <c r="A706" s="33" t="s">
        <v>310</v>
      </c>
      <c r="B706" s="33" t="s">
        <v>54</v>
      </c>
      <c r="C706" s="48" t="s">
        <v>43</v>
      </c>
      <c r="D706" s="33" t="s">
        <v>61</v>
      </c>
      <c r="E706" s="91">
        <v>47164</v>
      </c>
      <c r="F706" s="94">
        <v>36750</v>
      </c>
      <c r="G706" s="94">
        <v>36750</v>
      </c>
    </row>
    <row r="707" spans="1:7">
      <c r="A707" s="33" t="s">
        <v>310</v>
      </c>
      <c r="B707" s="33" t="s">
        <v>54</v>
      </c>
      <c r="C707" s="48" t="s">
        <v>43</v>
      </c>
      <c r="D707" s="33" t="s">
        <v>61</v>
      </c>
      <c r="E707" s="93">
        <v>47345</v>
      </c>
      <c r="F707" s="94">
        <v>36750</v>
      </c>
      <c r="G707" s="94">
        <v>3036750</v>
      </c>
    </row>
    <row r="708" spans="1:7">
      <c r="A708" s="87" t="s">
        <v>134</v>
      </c>
      <c r="B708" s="87" t="s">
        <v>101</v>
      </c>
      <c r="C708" s="88" t="s">
        <v>43</v>
      </c>
      <c r="D708" s="87" t="s">
        <v>135</v>
      </c>
      <c r="E708" s="89">
        <v>45332</v>
      </c>
      <c r="F708" s="90">
        <v>4875</v>
      </c>
      <c r="G708" s="90">
        <v>4875</v>
      </c>
    </row>
    <row r="709" spans="1:7">
      <c r="A709" s="33" t="s">
        <v>134</v>
      </c>
      <c r="B709" s="33" t="s">
        <v>101</v>
      </c>
      <c r="C709" s="33" t="s">
        <v>60</v>
      </c>
      <c r="D709" s="36" t="s">
        <v>135</v>
      </c>
      <c r="E709" s="91">
        <v>45514</v>
      </c>
      <c r="F709" s="92">
        <v>4875</v>
      </c>
      <c r="G709" s="92">
        <v>4875</v>
      </c>
    </row>
    <row r="710" spans="1:7">
      <c r="A710" s="33" t="s">
        <v>786</v>
      </c>
      <c r="B710" s="33" t="s">
        <v>101</v>
      </c>
      <c r="C710" s="33" t="s">
        <v>60</v>
      </c>
      <c r="D710" s="36" t="s">
        <v>135</v>
      </c>
      <c r="E710" s="91">
        <v>45698</v>
      </c>
      <c r="F710" s="92">
        <v>4875</v>
      </c>
      <c r="G710" s="92">
        <v>4875</v>
      </c>
    </row>
    <row r="711" spans="1:7">
      <c r="A711" s="33" t="s">
        <v>786</v>
      </c>
      <c r="B711" s="33" t="s">
        <v>101</v>
      </c>
      <c r="C711" s="33" t="s">
        <v>60</v>
      </c>
      <c r="D711" s="36" t="s">
        <v>135</v>
      </c>
      <c r="E711" s="91">
        <v>45879</v>
      </c>
      <c r="F711" s="92">
        <v>4875</v>
      </c>
      <c r="G711" s="92">
        <v>4875</v>
      </c>
    </row>
    <row r="712" spans="1:7">
      <c r="A712" s="33" t="s">
        <v>786</v>
      </c>
      <c r="B712" s="33" t="s">
        <v>101</v>
      </c>
      <c r="C712" s="33" t="s">
        <v>60</v>
      </c>
      <c r="D712" s="36" t="s">
        <v>135</v>
      </c>
      <c r="E712" s="91">
        <v>46063</v>
      </c>
      <c r="F712" s="92">
        <v>4875</v>
      </c>
      <c r="G712" s="92">
        <v>4875</v>
      </c>
    </row>
    <row r="713" spans="1:7">
      <c r="A713" s="33" t="s">
        <v>786</v>
      </c>
      <c r="B713" s="33" t="s">
        <v>101</v>
      </c>
      <c r="C713" s="33" t="s">
        <v>60</v>
      </c>
      <c r="D713" s="36" t="s">
        <v>135</v>
      </c>
      <c r="E713" s="91">
        <v>46244</v>
      </c>
      <c r="F713" s="92">
        <v>4875</v>
      </c>
      <c r="G713" s="92">
        <v>4875</v>
      </c>
    </row>
    <row r="714" spans="1:7">
      <c r="A714" s="33" t="s">
        <v>786</v>
      </c>
      <c r="B714" s="33" t="s">
        <v>101</v>
      </c>
      <c r="C714" s="33" t="s">
        <v>60</v>
      </c>
      <c r="D714" s="36" t="s">
        <v>135</v>
      </c>
      <c r="E714" s="91">
        <v>46428</v>
      </c>
      <c r="F714" s="92">
        <v>4875</v>
      </c>
      <c r="G714" s="92">
        <v>4875</v>
      </c>
    </row>
    <row r="715" spans="1:7">
      <c r="A715" s="33" t="s">
        <v>786</v>
      </c>
      <c r="B715" s="33" t="s">
        <v>101</v>
      </c>
      <c r="C715" s="33" t="s">
        <v>60</v>
      </c>
      <c r="D715" s="36" t="s">
        <v>135</v>
      </c>
      <c r="E715" s="91">
        <v>46609</v>
      </c>
      <c r="F715" s="94">
        <v>4875</v>
      </c>
      <c r="G715" s="94">
        <v>4875</v>
      </c>
    </row>
    <row r="716" spans="1:7">
      <c r="A716" s="33" t="s">
        <v>786</v>
      </c>
      <c r="B716" s="33" t="s">
        <v>101</v>
      </c>
      <c r="C716" s="33" t="s">
        <v>60</v>
      </c>
      <c r="D716" s="36" t="s">
        <v>135</v>
      </c>
      <c r="E716" s="91">
        <v>46793</v>
      </c>
      <c r="F716" s="92">
        <v>4875</v>
      </c>
      <c r="G716" s="92">
        <v>204875</v>
      </c>
    </row>
    <row r="717" spans="1:7">
      <c r="A717" s="87" t="s">
        <v>342</v>
      </c>
      <c r="B717" s="87" t="s">
        <v>77</v>
      </c>
      <c r="C717" s="88" t="s">
        <v>43</v>
      </c>
      <c r="D717" s="87" t="s">
        <v>61</v>
      </c>
      <c r="E717" s="89">
        <v>45148</v>
      </c>
      <c r="F717" s="90">
        <v>230625</v>
      </c>
      <c r="G717" s="90">
        <v>230625</v>
      </c>
    </row>
    <row r="718" spans="1:7">
      <c r="A718" s="33" t="s">
        <v>342</v>
      </c>
      <c r="B718" s="33" t="s">
        <v>77</v>
      </c>
      <c r="C718" s="48" t="s">
        <v>43</v>
      </c>
      <c r="D718" s="33" t="s">
        <v>61</v>
      </c>
      <c r="E718" s="91">
        <v>45332</v>
      </c>
      <c r="F718" s="92">
        <v>230625</v>
      </c>
      <c r="G718" s="92">
        <v>230625</v>
      </c>
    </row>
    <row r="719" spans="1:7">
      <c r="A719" s="33" t="s">
        <v>342</v>
      </c>
      <c r="B719" s="33" t="s">
        <v>77</v>
      </c>
      <c r="C719" s="48" t="s">
        <v>43</v>
      </c>
      <c r="D719" s="33" t="s">
        <v>61</v>
      </c>
      <c r="E719" s="91">
        <v>45514</v>
      </c>
      <c r="F719" s="92">
        <v>230625</v>
      </c>
      <c r="G719" s="92">
        <v>230625</v>
      </c>
    </row>
    <row r="720" spans="1:7">
      <c r="A720" s="33" t="s">
        <v>342</v>
      </c>
      <c r="B720" s="33" t="s">
        <v>77</v>
      </c>
      <c r="C720" s="48" t="s">
        <v>43</v>
      </c>
      <c r="D720" s="33" t="s">
        <v>61</v>
      </c>
      <c r="E720" s="91">
        <v>45698</v>
      </c>
      <c r="F720" s="92">
        <v>230625</v>
      </c>
      <c r="G720" s="92">
        <v>230625</v>
      </c>
    </row>
    <row r="721" spans="1:7">
      <c r="A721" s="33" t="s">
        <v>342</v>
      </c>
      <c r="B721" s="33" t="s">
        <v>77</v>
      </c>
      <c r="C721" s="48" t="s">
        <v>43</v>
      </c>
      <c r="D721" s="33" t="s">
        <v>61</v>
      </c>
      <c r="E721" s="91">
        <v>45879</v>
      </c>
      <c r="F721" s="92">
        <v>230625</v>
      </c>
      <c r="G721" s="92">
        <v>230625</v>
      </c>
    </row>
    <row r="722" spans="1:7">
      <c r="A722" s="33" t="s">
        <v>342</v>
      </c>
      <c r="B722" s="33" t="s">
        <v>77</v>
      </c>
      <c r="C722" s="48" t="s">
        <v>43</v>
      </c>
      <c r="D722" s="33" t="s">
        <v>61</v>
      </c>
      <c r="E722" s="91">
        <v>46063</v>
      </c>
      <c r="F722" s="92">
        <v>230625</v>
      </c>
      <c r="G722" s="92">
        <v>230625</v>
      </c>
    </row>
    <row r="723" spans="1:7">
      <c r="A723" s="33" t="s">
        <v>342</v>
      </c>
      <c r="B723" s="33" t="s">
        <v>77</v>
      </c>
      <c r="C723" s="48" t="s">
        <v>43</v>
      </c>
      <c r="D723" s="33" t="s">
        <v>61</v>
      </c>
      <c r="E723" s="91">
        <v>46244</v>
      </c>
      <c r="F723" s="92">
        <v>230625</v>
      </c>
      <c r="G723" s="92">
        <v>230625</v>
      </c>
    </row>
    <row r="724" spans="1:7">
      <c r="A724" s="33" t="s">
        <v>342</v>
      </c>
      <c r="B724" s="33" t="s">
        <v>77</v>
      </c>
      <c r="C724" s="48" t="s">
        <v>43</v>
      </c>
      <c r="D724" s="33" t="s">
        <v>61</v>
      </c>
      <c r="E724" s="91">
        <v>46428</v>
      </c>
      <c r="F724" s="92">
        <v>230625</v>
      </c>
      <c r="G724" s="92">
        <v>230625</v>
      </c>
    </row>
    <row r="725" spans="1:7">
      <c r="A725" s="33" t="s">
        <v>342</v>
      </c>
      <c r="B725" s="33" t="s">
        <v>77</v>
      </c>
      <c r="C725" s="48" t="s">
        <v>43</v>
      </c>
      <c r="D725" s="33" t="s">
        <v>61</v>
      </c>
      <c r="E725" s="91">
        <v>46609</v>
      </c>
      <c r="F725" s="92">
        <v>230625</v>
      </c>
      <c r="G725" s="92">
        <v>230625</v>
      </c>
    </row>
    <row r="726" spans="1:7">
      <c r="A726" s="33" t="s">
        <v>342</v>
      </c>
      <c r="B726" s="33" t="s">
        <v>77</v>
      </c>
      <c r="C726" s="48" t="s">
        <v>43</v>
      </c>
      <c r="D726" s="33" t="s">
        <v>61</v>
      </c>
      <c r="E726" s="91">
        <v>46793</v>
      </c>
      <c r="F726" s="92">
        <v>230625</v>
      </c>
      <c r="G726" s="92">
        <v>230625</v>
      </c>
    </row>
    <row r="727" spans="1:7">
      <c r="A727" s="33" t="s">
        <v>342</v>
      </c>
      <c r="B727" s="33" t="s">
        <v>77</v>
      </c>
      <c r="C727" s="48" t="s">
        <v>43</v>
      </c>
      <c r="D727" s="33" t="s">
        <v>61</v>
      </c>
      <c r="E727" s="91">
        <v>46975</v>
      </c>
      <c r="F727" s="92">
        <v>230625</v>
      </c>
      <c r="G727" s="92">
        <v>230625</v>
      </c>
    </row>
    <row r="728" spans="1:7">
      <c r="A728" s="33" t="s">
        <v>342</v>
      </c>
      <c r="B728" s="33" t="s">
        <v>77</v>
      </c>
      <c r="C728" s="48" t="s">
        <v>43</v>
      </c>
      <c r="D728" s="33" t="s">
        <v>61</v>
      </c>
      <c r="E728" s="91">
        <v>47159</v>
      </c>
      <c r="F728" s="92">
        <v>230625</v>
      </c>
      <c r="G728" s="92">
        <v>230625</v>
      </c>
    </row>
    <row r="729" spans="1:7">
      <c r="A729" s="33" t="s">
        <v>342</v>
      </c>
      <c r="B729" s="33" t="s">
        <v>77</v>
      </c>
      <c r="C729" s="48" t="s">
        <v>43</v>
      </c>
      <c r="D729" s="33" t="s">
        <v>61</v>
      </c>
      <c r="E729" s="91">
        <v>47340</v>
      </c>
      <c r="F729" s="92">
        <v>230625</v>
      </c>
      <c r="G729" s="92">
        <v>230625</v>
      </c>
    </row>
    <row r="730" spans="1:7">
      <c r="A730" s="33" t="s">
        <v>342</v>
      </c>
      <c r="B730" s="33" t="s">
        <v>77</v>
      </c>
      <c r="C730" s="48" t="s">
        <v>43</v>
      </c>
      <c r="D730" s="33" t="s">
        <v>61</v>
      </c>
      <c r="E730" s="91">
        <v>47524</v>
      </c>
      <c r="F730" s="92">
        <v>230625</v>
      </c>
      <c r="G730" s="92">
        <v>9230625</v>
      </c>
    </row>
    <row r="731" spans="1:7">
      <c r="A731" s="87" t="s">
        <v>717</v>
      </c>
      <c r="B731" s="87" t="s">
        <v>54</v>
      </c>
      <c r="C731" s="88" t="s">
        <v>43</v>
      </c>
      <c r="D731" s="87" t="s">
        <v>61</v>
      </c>
      <c r="E731" s="89">
        <v>45148</v>
      </c>
      <c r="F731" s="90">
        <v>20930</v>
      </c>
      <c r="G731" s="90">
        <v>20930</v>
      </c>
    </row>
    <row r="732" spans="1:7">
      <c r="A732" s="33" t="s">
        <v>717</v>
      </c>
      <c r="B732" s="33" t="s">
        <v>54</v>
      </c>
      <c r="C732" s="48" t="s">
        <v>43</v>
      </c>
      <c r="D732" s="33" t="s">
        <v>61</v>
      </c>
      <c r="E732" s="91">
        <v>45332</v>
      </c>
      <c r="F732" s="92">
        <v>20930</v>
      </c>
      <c r="G732" s="92">
        <v>20930</v>
      </c>
    </row>
    <row r="733" spans="1:7">
      <c r="A733" s="33" t="s">
        <v>717</v>
      </c>
      <c r="B733" s="33" t="s">
        <v>54</v>
      </c>
      <c r="C733" s="48" t="s">
        <v>43</v>
      </c>
      <c r="D733" s="33" t="s">
        <v>61</v>
      </c>
      <c r="E733" s="91">
        <v>45514</v>
      </c>
      <c r="F733" s="92">
        <v>20930</v>
      </c>
      <c r="G733" s="92">
        <v>20930</v>
      </c>
    </row>
    <row r="734" spans="1:7">
      <c r="A734" s="33" t="s">
        <v>717</v>
      </c>
      <c r="B734" s="33" t="s">
        <v>54</v>
      </c>
      <c r="C734" s="48" t="s">
        <v>43</v>
      </c>
      <c r="D734" s="33" t="s">
        <v>61</v>
      </c>
      <c r="E734" s="91">
        <v>45698</v>
      </c>
      <c r="F734" s="92">
        <v>20930</v>
      </c>
      <c r="G734" s="92">
        <v>20930</v>
      </c>
    </row>
    <row r="735" spans="1:7">
      <c r="A735" s="33" t="s">
        <v>717</v>
      </c>
      <c r="B735" s="33" t="s">
        <v>54</v>
      </c>
      <c r="C735" s="48" t="s">
        <v>43</v>
      </c>
      <c r="D735" s="33" t="s">
        <v>61</v>
      </c>
      <c r="E735" s="91">
        <v>45879</v>
      </c>
      <c r="F735" s="92">
        <v>20930</v>
      </c>
      <c r="G735" s="92">
        <v>20930</v>
      </c>
    </row>
    <row r="736" spans="1:7">
      <c r="A736" s="33" t="s">
        <v>717</v>
      </c>
      <c r="B736" s="33" t="s">
        <v>54</v>
      </c>
      <c r="C736" s="48" t="s">
        <v>43</v>
      </c>
      <c r="D736" s="33" t="s">
        <v>61</v>
      </c>
      <c r="E736" s="91">
        <v>46063</v>
      </c>
      <c r="F736" s="92">
        <v>20930</v>
      </c>
      <c r="G736" s="92">
        <v>20930</v>
      </c>
    </row>
    <row r="737" spans="1:7">
      <c r="A737" s="33" t="s">
        <v>717</v>
      </c>
      <c r="B737" s="33" t="s">
        <v>54</v>
      </c>
      <c r="C737" s="48" t="s">
        <v>43</v>
      </c>
      <c r="D737" s="33" t="s">
        <v>61</v>
      </c>
      <c r="E737" s="91">
        <v>46244</v>
      </c>
      <c r="F737" s="92">
        <v>20930</v>
      </c>
      <c r="G737" s="92">
        <v>20930</v>
      </c>
    </row>
    <row r="738" spans="1:7">
      <c r="A738" s="33" t="s">
        <v>717</v>
      </c>
      <c r="B738" s="33" t="s">
        <v>54</v>
      </c>
      <c r="C738" s="48" t="s">
        <v>43</v>
      </c>
      <c r="D738" s="33" t="s">
        <v>61</v>
      </c>
      <c r="E738" s="91">
        <v>46428</v>
      </c>
      <c r="F738" s="92">
        <v>20930</v>
      </c>
      <c r="G738" s="92">
        <v>20930</v>
      </c>
    </row>
    <row r="739" spans="1:7">
      <c r="A739" s="33" t="s">
        <v>717</v>
      </c>
      <c r="B739" s="33" t="s">
        <v>54</v>
      </c>
      <c r="C739" s="48" t="s">
        <v>43</v>
      </c>
      <c r="D739" s="33" t="s">
        <v>61</v>
      </c>
      <c r="E739" s="91">
        <v>46609</v>
      </c>
      <c r="F739" s="92">
        <v>20930</v>
      </c>
      <c r="G739" s="92">
        <v>20930</v>
      </c>
    </row>
    <row r="740" spans="1:7">
      <c r="A740" s="33" t="s">
        <v>717</v>
      </c>
      <c r="B740" s="33" t="s">
        <v>54</v>
      </c>
      <c r="C740" s="48" t="s">
        <v>43</v>
      </c>
      <c r="D740" s="33" t="s">
        <v>61</v>
      </c>
      <c r="E740" s="91">
        <v>46793</v>
      </c>
      <c r="F740" s="92">
        <v>20930</v>
      </c>
      <c r="G740" s="92">
        <v>20930</v>
      </c>
    </row>
    <row r="741" spans="1:7">
      <c r="A741" s="33" t="s">
        <v>717</v>
      </c>
      <c r="B741" s="33" t="s">
        <v>54</v>
      </c>
      <c r="C741" s="48" t="s">
        <v>43</v>
      </c>
      <c r="D741" s="33" t="s">
        <v>61</v>
      </c>
      <c r="E741" s="91">
        <v>46975</v>
      </c>
      <c r="F741" s="92">
        <v>20930</v>
      </c>
      <c r="G741" s="92">
        <v>20930</v>
      </c>
    </row>
    <row r="742" spans="1:7">
      <c r="A742" s="33" t="s">
        <v>717</v>
      </c>
      <c r="B742" s="33" t="s">
        <v>54</v>
      </c>
      <c r="C742" s="48" t="s">
        <v>43</v>
      </c>
      <c r="D742" s="33" t="s">
        <v>61</v>
      </c>
      <c r="E742" s="91">
        <v>47159</v>
      </c>
      <c r="F742" s="92">
        <v>20930</v>
      </c>
      <c r="G742" s="92">
        <v>20930</v>
      </c>
    </row>
    <row r="743" spans="1:7">
      <c r="A743" s="33" t="s">
        <v>717</v>
      </c>
      <c r="B743" s="33" t="s">
        <v>54</v>
      </c>
      <c r="C743" s="48" t="s">
        <v>43</v>
      </c>
      <c r="D743" s="33" t="s">
        <v>61</v>
      </c>
      <c r="E743" s="91">
        <v>47340</v>
      </c>
      <c r="F743" s="92">
        <v>20930</v>
      </c>
      <c r="G743" s="92">
        <v>20930</v>
      </c>
    </row>
    <row r="744" spans="1:7">
      <c r="A744" s="33" t="s">
        <v>717</v>
      </c>
      <c r="B744" s="33" t="s">
        <v>54</v>
      </c>
      <c r="C744" s="48" t="s">
        <v>43</v>
      </c>
      <c r="D744" s="33" t="s">
        <v>61</v>
      </c>
      <c r="E744" s="91">
        <v>47524</v>
      </c>
      <c r="F744" s="92">
        <v>20930</v>
      </c>
      <c r="G744" s="92">
        <v>20930</v>
      </c>
    </row>
    <row r="745" spans="1:7">
      <c r="A745" s="33" t="s">
        <v>717</v>
      </c>
      <c r="B745" s="33" t="s">
        <v>54</v>
      </c>
      <c r="C745" s="48" t="s">
        <v>43</v>
      </c>
      <c r="D745" s="33" t="s">
        <v>61</v>
      </c>
      <c r="E745" s="91">
        <v>47705</v>
      </c>
      <c r="F745" s="92">
        <v>20930</v>
      </c>
      <c r="G745" s="92">
        <v>20930</v>
      </c>
    </row>
    <row r="746" spans="1:7">
      <c r="A746" s="33" t="s">
        <v>717</v>
      </c>
      <c r="B746" s="33" t="s">
        <v>54</v>
      </c>
      <c r="C746" s="48" t="s">
        <v>43</v>
      </c>
      <c r="D746" s="33" t="s">
        <v>61</v>
      </c>
      <c r="E746" s="91">
        <v>47889</v>
      </c>
      <c r="F746" s="92">
        <v>20930</v>
      </c>
      <c r="G746" s="92">
        <v>20930</v>
      </c>
    </row>
    <row r="747" spans="1:7">
      <c r="A747" s="33" t="s">
        <v>717</v>
      </c>
      <c r="B747" s="33" t="s">
        <v>54</v>
      </c>
      <c r="C747" s="48" t="s">
        <v>43</v>
      </c>
      <c r="D747" s="33" t="s">
        <v>61</v>
      </c>
      <c r="E747" s="91">
        <v>48070</v>
      </c>
      <c r="F747" s="92">
        <v>20930</v>
      </c>
      <c r="G747" s="92">
        <v>20930</v>
      </c>
    </row>
    <row r="748" spans="1:7">
      <c r="A748" s="33" t="s">
        <v>717</v>
      </c>
      <c r="B748" s="33" t="s">
        <v>54</v>
      </c>
      <c r="C748" s="48" t="s">
        <v>43</v>
      </c>
      <c r="D748" s="33" t="s">
        <v>61</v>
      </c>
      <c r="E748" s="91">
        <v>48254</v>
      </c>
      <c r="F748" s="92">
        <v>20930</v>
      </c>
      <c r="G748" s="92">
        <v>20930</v>
      </c>
    </row>
    <row r="749" spans="1:7">
      <c r="A749" s="33" t="s">
        <v>717</v>
      </c>
      <c r="B749" s="33" t="s">
        <v>54</v>
      </c>
      <c r="C749" s="48" t="s">
        <v>43</v>
      </c>
      <c r="D749" s="33" t="s">
        <v>61</v>
      </c>
      <c r="E749" s="91">
        <v>48436</v>
      </c>
      <c r="F749" s="92">
        <v>20930</v>
      </c>
      <c r="G749" s="92">
        <v>20930</v>
      </c>
    </row>
    <row r="750" spans="1:7">
      <c r="A750" s="33" t="s">
        <v>717</v>
      </c>
      <c r="B750" s="33" t="s">
        <v>54</v>
      </c>
      <c r="C750" s="48" t="s">
        <v>43</v>
      </c>
      <c r="D750" s="33" t="s">
        <v>61</v>
      </c>
      <c r="E750" s="91">
        <v>48620</v>
      </c>
      <c r="F750" s="92">
        <v>20930</v>
      </c>
      <c r="G750" s="92">
        <v>825930</v>
      </c>
    </row>
    <row r="751" spans="1:7">
      <c r="A751" s="87" t="s">
        <v>707</v>
      </c>
      <c r="B751" s="87" t="s">
        <v>77</v>
      </c>
      <c r="C751" s="88" t="s">
        <v>43</v>
      </c>
      <c r="D751" s="87" t="s">
        <v>61</v>
      </c>
      <c r="E751" s="89">
        <v>45550</v>
      </c>
      <c r="F751" s="90">
        <v>18500</v>
      </c>
      <c r="G751" s="90">
        <v>18500</v>
      </c>
    </row>
    <row r="752" spans="1:7">
      <c r="A752" s="33" t="s">
        <v>707</v>
      </c>
      <c r="B752" s="33" t="s">
        <v>77</v>
      </c>
      <c r="C752" s="33" t="s">
        <v>60</v>
      </c>
      <c r="D752" s="36" t="s">
        <v>61</v>
      </c>
      <c r="E752" s="91">
        <v>45731</v>
      </c>
      <c r="F752" s="92">
        <v>18500</v>
      </c>
      <c r="G752" s="92">
        <v>18500</v>
      </c>
    </row>
    <row r="753" spans="1:7">
      <c r="A753" s="33" t="s">
        <v>787</v>
      </c>
      <c r="B753" s="33" t="s">
        <v>77</v>
      </c>
      <c r="C753" s="33" t="s">
        <v>60</v>
      </c>
      <c r="D753" s="36" t="s">
        <v>61</v>
      </c>
      <c r="E753" s="91">
        <v>45915</v>
      </c>
      <c r="F753" s="92">
        <v>18500</v>
      </c>
      <c r="G753" s="92">
        <v>18500</v>
      </c>
    </row>
    <row r="754" spans="1:7">
      <c r="A754" s="33" t="s">
        <v>787</v>
      </c>
      <c r="B754" s="33" t="s">
        <v>77</v>
      </c>
      <c r="C754" s="33" t="s">
        <v>60</v>
      </c>
      <c r="D754" s="36" t="s">
        <v>61</v>
      </c>
      <c r="E754" s="91">
        <v>46096</v>
      </c>
      <c r="F754" s="92">
        <v>18500</v>
      </c>
      <c r="G754" s="92">
        <v>18500</v>
      </c>
    </row>
    <row r="755" spans="1:7">
      <c r="A755" s="33" t="s">
        <v>787</v>
      </c>
      <c r="B755" s="33" t="s">
        <v>77</v>
      </c>
      <c r="C755" s="33" t="s">
        <v>60</v>
      </c>
      <c r="D755" s="36" t="s">
        <v>61</v>
      </c>
      <c r="E755" s="91">
        <v>46280</v>
      </c>
      <c r="F755" s="92">
        <v>18500</v>
      </c>
      <c r="G755" s="92">
        <v>18500</v>
      </c>
    </row>
    <row r="756" spans="1:7">
      <c r="A756" s="33" t="s">
        <v>787</v>
      </c>
      <c r="B756" s="33" t="s">
        <v>77</v>
      </c>
      <c r="C756" s="33" t="s">
        <v>60</v>
      </c>
      <c r="D756" s="36" t="s">
        <v>61</v>
      </c>
      <c r="E756" s="91">
        <v>46461</v>
      </c>
      <c r="F756" s="92">
        <v>18500</v>
      </c>
      <c r="G756" s="92">
        <v>18500</v>
      </c>
    </row>
    <row r="757" spans="1:7">
      <c r="A757" s="33" t="s">
        <v>787</v>
      </c>
      <c r="B757" s="33" t="s">
        <v>77</v>
      </c>
      <c r="C757" s="33" t="s">
        <v>60</v>
      </c>
      <c r="D757" s="36" t="s">
        <v>61</v>
      </c>
      <c r="E757" s="91">
        <v>46645</v>
      </c>
      <c r="F757" s="92">
        <v>18500</v>
      </c>
      <c r="G757" s="92">
        <v>18500</v>
      </c>
    </row>
    <row r="758" spans="1:7">
      <c r="A758" s="33" t="s">
        <v>787</v>
      </c>
      <c r="B758" s="33" t="s">
        <v>77</v>
      </c>
      <c r="C758" s="33" t="s">
        <v>60</v>
      </c>
      <c r="D758" s="36" t="s">
        <v>61</v>
      </c>
      <c r="E758" s="91">
        <v>46827</v>
      </c>
      <c r="F758" s="92">
        <v>18500</v>
      </c>
      <c r="G758" s="92">
        <v>18500</v>
      </c>
    </row>
    <row r="759" spans="1:7">
      <c r="A759" s="33" t="s">
        <v>787</v>
      </c>
      <c r="B759" s="33" t="s">
        <v>77</v>
      </c>
      <c r="C759" s="33" t="s">
        <v>60</v>
      </c>
      <c r="D759" s="36" t="s">
        <v>61</v>
      </c>
      <c r="E759" s="91">
        <v>47011</v>
      </c>
      <c r="F759" s="92">
        <v>18500</v>
      </c>
      <c r="G759" s="92">
        <v>18500</v>
      </c>
    </row>
    <row r="760" spans="1:7">
      <c r="A760" s="33" t="s">
        <v>787</v>
      </c>
      <c r="B760" s="33" t="s">
        <v>77</v>
      </c>
      <c r="C760" s="33" t="s">
        <v>60</v>
      </c>
      <c r="D760" s="36" t="s">
        <v>61</v>
      </c>
      <c r="E760" s="91">
        <v>47192</v>
      </c>
      <c r="F760" s="92">
        <v>18500</v>
      </c>
      <c r="G760" s="92">
        <v>18500</v>
      </c>
    </row>
    <row r="761" spans="1:7">
      <c r="A761" s="33" t="s">
        <v>787</v>
      </c>
      <c r="B761" s="33" t="s">
        <v>77</v>
      </c>
      <c r="C761" s="33" t="s">
        <v>60</v>
      </c>
      <c r="D761" s="36" t="s">
        <v>61</v>
      </c>
      <c r="E761" s="91">
        <v>47376</v>
      </c>
      <c r="F761" s="92">
        <v>18500</v>
      </c>
      <c r="G761" s="92">
        <v>18500</v>
      </c>
    </row>
    <row r="762" spans="1:7">
      <c r="A762" s="33" t="s">
        <v>787</v>
      </c>
      <c r="B762" s="33" t="s">
        <v>77</v>
      </c>
      <c r="C762" s="33" t="s">
        <v>60</v>
      </c>
      <c r="D762" s="36" t="s">
        <v>61</v>
      </c>
      <c r="E762" s="91">
        <v>47557</v>
      </c>
      <c r="F762" s="92">
        <v>18500</v>
      </c>
      <c r="G762" s="92">
        <v>18500</v>
      </c>
    </row>
    <row r="763" spans="1:7">
      <c r="A763" s="33" t="s">
        <v>787</v>
      </c>
      <c r="B763" s="33" t="s">
        <v>77</v>
      </c>
      <c r="C763" s="33" t="s">
        <v>60</v>
      </c>
      <c r="D763" s="36" t="s">
        <v>61</v>
      </c>
      <c r="E763" s="91">
        <v>47741</v>
      </c>
      <c r="F763" s="92">
        <v>18500</v>
      </c>
      <c r="G763" s="92">
        <v>18500</v>
      </c>
    </row>
    <row r="764" spans="1:7">
      <c r="A764" s="33" t="s">
        <v>787</v>
      </c>
      <c r="B764" s="33" t="s">
        <v>77</v>
      </c>
      <c r="C764" s="33" t="s">
        <v>60</v>
      </c>
      <c r="D764" s="36" t="s">
        <v>61</v>
      </c>
      <c r="E764" s="91">
        <v>47922</v>
      </c>
      <c r="F764" s="92">
        <v>18500</v>
      </c>
      <c r="G764" s="92">
        <v>18500</v>
      </c>
    </row>
    <row r="765" spans="1:7">
      <c r="A765" s="33" t="s">
        <v>787</v>
      </c>
      <c r="B765" s="33" t="s">
        <v>77</v>
      </c>
      <c r="C765" s="33" t="s">
        <v>60</v>
      </c>
      <c r="D765" s="36" t="s">
        <v>61</v>
      </c>
      <c r="E765" s="91">
        <v>48106</v>
      </c>
      <c r="F765" s="92">
        <v>18500</v>
      </c>
      <c r="G765" s="92">
        <v>18500</v>
      </c>
    </row>
    <row r="766" spans="1:7">
      <c r="A766" s="33" t="s">
        <v>787</v>
      </c>
      <c r="B766" s="33" t="s">
        <v>77</v>
      </c>
      <c r="C766" s="33" t="s">
        <v>60</v>
      </c>
      <c r="D766" s="36" t="s">
        <v>61</v>
      </c>
      <c r="E766" s="91">
        <v>48288</v>
      </c>
      <c r="F766" s="92">
        <v>18500</v>
      </c>
      <c r="G766" s="92">
        <v>18500</v>
      </c>
    </row>
    <row r="767" spans="1:7">
      <c r="A767" s="33" t="s">
        <v>787</v>
      </c>
      <c r="B767" s="33" t="s">
        <v>77</v>
      </c>
      <c r="C767" s="33" t="s">
        <v>60</v>
      </c>
      <c r="D767" s="36" t="s">
        <v>61</v>
      </c>
      <c r="E767" s="91">
        <v>48472</v>
      </c>
      <c r="F767" s="92">
        <v>18500</v>
      </c>
      <c r="G767" s="92">
        <v>2018500</v>
      </c>
    </row>
    <row r="768" spans="1:7">
      <c r="A768" s="87" t="s">
        <v>707</v>
      </c>
      <c r="B768" s="87" t="s">
        <v>54</v>
      </c>
      <c r="C768" s="88" t="s">
        <v>43</v>
      </c>
      <c r="D768" s="87" t="s">
        <v>61</v>
      </c>
      <c r="E768" s="89">
        <v>45550</v>
      </c>
      <c r="F768" s="90">
        <v>18500</v>
      </c>
      <c r="G768" s="90">
        <v>18500</v>
      </c>
    </row>
    <row r="769" spans="1:7">
      <c r="A769" s="33" t="s">
        <v>707</v>
      </c>
      <c r="B769" s="33" t="s">
        <v>54</v>
      </c>
      <c r="C769" s="48" t="s">
        <v>43</v>
      </c>
      <c r="D769" s="33" t="s">
        <v>61</v>
      </c>
      <c r="E769" s="91">
        <v>45731</v>
      </c>
      <c r="F769" s="92">
        <v>18500</v>
      </c>
      <c r="G769" s="92">
        <v>18500</v>
      </c>
    </row>
    <row r="770" spans="1:7">
      <c r="A770" s="33" t="s">
        <v>787</v>
      </c>
      <c r="B770" s="33" t="s">
        <v>54</v>
      </c>
      <c r="C770" s="48" t="s">
        <v>43</v>
      </c>
      <c r="D770" s="33" t="s">
        <v>61</v>
      </c>
      <c r="E770" s="91">
        <v>45915</v>
      </c>
      <c r="F770" s="92">
        <v>18500</v>
      </c>
      <c r="G770" s="92">
        <v>18500</v>
      </c>
    </row>
    <row r="771" spans="1:7">
      <c r="A771" s="33" t="s">
        <v>787</v>
      </c>
      <c r="B771" s="33" t="s">
        <v>54</v>
      </c>
      <c r="C771" s="48" t="s">
        <v>43</v>
      </c>
      <c r="D771" s="33" t="s">
        <v>61</v>
      </c>
      <c r="E771" s="91">
        <v>46096</v>
      </c>
      <c r="F771" s="92">
        <v>18500</v>
      </c>
      <c r="G771" s="92">
        <v>18500</v>
      </c>
    </row>
    <row r="772" spans="1:7">
      <c r="A772" s="33" t="s">
        <v>787</v>
      </c>
      <c r="B772" s="33" t="s">
        <v>54</v>
      </c>
      <c r="C772" s="48" t="s">
        <v>43</v>
      </c>
      <c r="D772" s="33" t="s">
        <v>61</v>
      </c>
      <c r="E772" s="91">
        <v>46280</v>
      </c>
      <c r="F772" s="92">
        <v>18500</v>
      </c>
      <c r="G772" s="92">
        <v>18500</v>
      </c>
    </row>
    <row r="773" spans="1:7">
      <c r="A773" s="33" t="s">
        <v>787</v>
      </c>
      <c r="B773" s="33" t="s">
        <v>54</v>
      </c>
      <c r="C773" s="48" t="s">
        <v>43</v>
      </c>
      <c r="D773" s="33" t="s">
        <v>61</v>
      </c>
      <c r="E773" s="91">
        <v>46461</v>
      </c>
      <c r="F773" s="92">
        <v>18500</v>
      </c>
      <c r="G773" s="92">
        <v>18500</v>
      </c>
    </row>
    <row r="774" spans="1:7">
      <c r="A774" s="33" t="s">
        <v>787</v>
      </c>
      <c r="B774" s="33" t="s">
        <v>54</v>
      </c>
      <c r="C774" s="48" t="s">
        <v>43</v>
      </c>
      <c r="D774" s="33" t="s">
        <v>61</v>
      </c>
      <c r="E774" s="91">
        <v>46645</v>
      </c>
      <c r="F774" s="92">
        <v>18500</v>
      </c>
      <c r="G774" s="92">
        <v>18500</v>
      </c>
    </row>
    <row r="775" spans="1:7">
      <c r="A775" s="33" t="s">
        <v>787</v>
      </c>
      <c r="B775" s="33" t="s">
        <v>54</v>
      </c>
      <c r="C775" s="48" t="s">
        <v>43</v>
      </c>
      <c r="D775" s="33" t="s">
        <v>61</v>
      </c>
      <c r="E775" s="91">
        <v>46827</v>
      </c>
      <c r="F775" s="92">
        <v>18500</v>
      </c>
      <c r="G775" s="92">
        <v>18500</v>
      </c>
    </row>
    <row r="776" spans="1:7">
      <c r="A776" s="33" t="s">
        <v>787</v>
      </c>
      <c r="B776" s="33" t="s">
        <v>54</v>
      </c>
      <c r="C776" s="48" t="s">
        <v>43</v>
      </c>
      <c r="D776" s="33" t="s">
        <v>61</v>
      </c>
      <c r="E776" s="91">
        <v>47011</v>
      </c>
      <c r="F776" s="92">
        <v>18500</v>
      </c>
      <c r="G776" s="92">
        <v>18500</v>
      </c>
    </row>
    <row r="777" spans="1:7">
      <c r="A777" s="33" t="s">
        <v>787</v>
      </c>
      <c r="B777" s="33" t="s">
        <v>54</v>
      </c>
      <c r="C777" s="48" t="s">
        <v>43</v>
      </c>
      <c r="D777" s="33" t="s">
        <v>61</v>
      </c>
      <c r="E777" s="91">
        <v>47192</v>
      </c>
      <c r="F777" s="92">
        <v>18500</v>
      </c>
      <c r="G777" s="92">
        <v>18500</v>
      </c>
    </row>
    <row r="778" spans="1:7">
      <c r="A778" s="33" t="s">
        <v>787</v>
      </c>
      <c r="B778" s="33" t="s">
        <v>54</v>
      </c>
      <c r="C778" s="48" t="s">
        <v>43</v>
      </c>
      <c r="D778" s="33" t="s">
        <v>61</v>
      </c>
      <c r="E778" s="91">
        <v>47376</v>
      </c>
      <c r="F778" s="92">
        <v>18500</v>
      </c>
      <c r="G778" s="92">
        <v>18500</v>
      </c>
    </row>
    <row r="779" spans="1:7">
      <c r="A779" s="33" t="s">
        <v>787</v>
      </c>
      <c r="B779" s="33" t="s">
        <v>54</v>
      </c>
      <c r="C779" s="48" t="s">
        <v>43</v>
      </c>
      <c r="D779" s="33" t="s">
        <v>61</v>
      </c>
      <c r="E779" s="91">
        <v>47557</v>
      </c>
      <c r="F779" s="92">
        <v>18500</v>
      </c>
      <c r="G779" s="92">
        <v>18500</v>
      </c>
    </row>
    <row r="780" spans="1:7">
      <c r="A780" s="33" t="s">
        <v>787</v>
      </c>
      <c r="B780" s="33" t="s">
        <v>54</v>
      </c>
      <c r="C780" s="48" t="s">
        <v>43</v>
      </c>
      <c r="D780" s="33" t="s">
        <v>61</v>
      </c>
      <c r="E780" s="91">
        <v>47741</v>
      </c>
      <c r="F780" s="92">
        <v>18500</v>
      </c>
      <c r="G780" s="92">
        <v>18500</v>
      </c>
    </row>
    <row r="781" spans="1:7">
      <c r="A781" s="33" t="s">
        <v>787</v>
      </c>
      <c r="B781" s="33" t="s">
        <v>54</v>
      </c>
      <c r="C781" s="48" t="s">
        <v>43</v>
      </c>
      <c r="D781" s="33" t="s">
        <v>61</v>
      </c>
      <c r="E781" s="91">
        <v>47922</v>
      </c>
      <c r="F781" s="92">
        <v>18500</v>
      </c>
      <c r="G781" s="92">
        <v>18500</v>
      </c>
    </row>
    <row r="782" spans="1:7">
      <c r="A782" s="33" t="s">
        <v>787</v>
      </c>
      <c r="B782" s="33" t="s">
        <v>54</v>
      </c>
      <c r="C782" s="48" t="s">
        <v>43</v>
      </c>
      <c r="D782" s="33" t="s">
        <v>61</v>
      </c>
      <c r="E782" s="91">
        <v>48106</v>
      </c>
      <c r="F782" s="92">
        <v>18500</v>
      </c>
      <c r="G782" s="92">
        <v>18500</v>
      </c>
    </row>
    <row r="783" spans="1:7">
      <c r="A783" s="33" t="s">
        <v>787</v>
      </c>
      <c r="B783" s="33" t="s">
        <v>54</v>
      </c>
      <c r="C783" s="48" t="s">
        <v>43</v>
      </c>
      <c r="D783" s="33" t="s">
        <v>61</v>
      </c>
      <c r="E783" s="91">
        <v>48288</v>
      </c>
      <c r="F783" s="92">
        <v>18500</v>
      </c>
      <c r="G783" s="92">
        <v>18500</v>
      </c>
    </row>
    <row r="784" spans="1:7">
      <c r="A784" s="33" t="s">
        <v>787</v>
      </c>
      <c r="B784" s="33" t="s">
        <v>54</v>
      </c>
      <c r="C784" s="48" t="s">
        <v>43</v>
      </c>
      <c r="D784" s="33" t="s">
        <v>61</v>
      </c>
      <c r="E784" s="91">
        <v>48472</v>
      </c>
      <c r="F784" s="92">
        <v>18500</v>
      </c>
      <c r="G784" s="92">
        <v>2018500</v>
      </c>
    </row>
    <row r="785" spans="1:7">
      <c r="A785" s="87" t="s">
        <v>53</v>
      </c>
      <c r="B785" s="87" t="s">
        <v>54</v>
      </c>
      <c r="C785" s="88" t="s">
        <v>43</v>
      </c>
      <c r="D785" s="87" t="s">
        <v>36</v>
      </c>
      <c r="E785" s="89">
        <v>44880</v>
      </c>
      <c r="F785" s="90">
        <v>49500</v>
      </c>
      <c r="G785" s="90">
        <v>49500</v>
      </c>
    </row>
    <row r="786" spans="1:7">
      <c r="A786" s="33" t="s">
        <v>53</v>
      </c>
      <c r="B786" s="33" t="s">
        <v>54</v>
      </c>
      <c r="C786" s="48" t="s">
        <v>43</v>
      </c>
      <c r="D786" s="33" t="s">
        <v>36</v>
      </c>
      <c r="E786" s="91">
        <v>45061</v>
      </c>
      <c r="F786" s="92">
        <v>49500</v>
      </c>
      <c r="G786" s="92">
        <v>49500</v>
      </c>
    </row>
    <row r="787" spans="1:7">
      <c r="A787" s="33" t="s">
        <v>53</v>
      </c>
      <c r="B787" s="33" t="s">
        <v>54</v>
      </c>
      <c r="C787" s="48" t="s">
        <v>43</v>
      </c>
      <c r="D787" s="33" t="s">
        <v>36</v>
      </c>
      <c r="E787" s="91">
        <v>45245</v>
      </c>
      <c r="F787" s="92">
        <v>49500</v>
      </c>
      <c r="G787" s="92">
        <v>49500</v>
      </c>
    </row>
    <row r="788" spans="1:7">
      <c r="A788" s="33" t="s">
        <v>53</v>
      </c>
      <c r="B788" s="33" t="s">
        <v>54</v>
      </c>
      <c r="C788" s="48" t="s">
        <v>43</v>
      </c>
      <c r="D788" s="33" t="s">
        <v>36</v>
      </c>
      <c r="E788" s="91">
        <v>45427</v>
      </c>
      <c r="F788" s="92">
        <v>49500</v>
      </c>
      <c r="G788" s="92">
        <v>49500</v>
      </c>
    </row>
    <row r="789" spans="1:7">
      <c r="A789" s="33" t="s">
        <v>53</v>
      </c>
      <c r="B789" s="33" t="s">
        <v>54</v>
      </c>
      <c r="C789" s="48" t="s">
        <v>43</v>
      </c>
      <c r="D789" s="33" t="s">
        <v>36</v>
      </c>
      <c r="E789" s="91">
        <v>45611</v>
      </c>
      <c r="F789" s="92">
        <v>49500</v>
      </c>
      <c r="G789" s="92">
        <v>49500</v>
      </c>
    </row>
    <row r="790" spans="1:7">
      <c r="A790" s="33" t="s">
        <v>53</v>
      </c>
      <c r="B790" s="33" t="s">
        <v>54</v>
      </c>
      <c r="C790" s="48" t="s">
        <v>43</v>
      </c>
      <c r="D790" s="33" t="s">
        <v>36</v>
      </c>
      <c r="E790" s="91">
        <v>45792</v>
      </c>
      <c r="F790" s="92">
        <v>49500</v>
      </c>
      <c r="G790" s="92">
        <v>49500</v>
      </c>
    </row>
    <row r="791" spans="1:7">
      <c r="A791" s="33" t="s">
        <v>53</v>
      </c>
      <c r="B791" s="33" t="s">
        <v>54</v>
      </c>
      <c r="C791" s="48" t="s">
        <v>43</v>
      </c>
      <c r="D791" s="33" t="s">
        <v>36</v>
      </c>
      <c r="E791" s="91">
        <v>45976</v>
      </c>
      <c r="F791" s="92">
        <v>49500</v>
      </c>
      <c r="G791" s="92">
        <v>49500</v>
      </c>
    </row>
    <row r="792" spans="1:7">
      <c r="A792" s="33" t="s">
        <v>53</v>
      </c>
      <c r="B792" s="33" t="s">
        <v>54</v>
      </c>
      <c r="C792" s="48" t="s">
        <v>43</v>
      </c>
      <c r="D792" s="33" t="s">
        <v>36</v>
      </c>
      <c r="E792" s="91">
        <v>46157</v>
      </c>
      <c r="F792" s="92">
        <v>49500</v>
      </c>
      <c r="G792" s="92">
        <v>3049500</v>
      </c>
    </row>
    <row r="793" spans="1:7">
      <c r="A793" s="87" t="s">
        <v>287</v>
      </c>
      <c r="B793" s="87" t="s">
        <v>101</v>
      </c>
      <c r="C793" s="88" t="s">
        <v>43</v>
      </c>
      <c r="D793" s="87" t="s">
        <v>61</v>
      </c>
      <c r="E793" s="89">
        <v>45061</v>
      </c>
      <c r="F793" s="90">
        <v>17500</v>
      </c>
      <c r="G793" s="90">
        <v>17500</v>
      </c>
    </row>
    <row r="794" spans="1:7">
      <c r="A794" s="33" t="s">
        <v>287</v>
      </c>
      <c r="B794" s="33" t="s">
        <v>101</v>
      </c>
      <c r="C794" s="33" t="s">
        <v>60</v>
      </c>
      <c r="D794" s="36" t="s">
        <v>61</v>
      </c>
      <c r="E794" s="91">
        <v>45245</v>
      </c>
      <c r="F794" s="94">
        <v>17500</v>
      </c>
      <c r="G794" s="94">
        <v>17500</v>
      </c>
    </row>
    <row r="795" spans="1:7">
      <c r="A795" s="33" t="s">
        <v>287</v>
      </c>
      <c r="B795" s="33" t="s">
        <v>101</v>
      </c>
      <c r="C795" s="33" t="s">
        <v>60</v>
      </c>
      <c r="D795" s="36" t="s">
        <v>61</v>
      </c>
      <c r="E795" s="91">
        <v>45427</v>
      </c>
      <c r="F795" s="94">
        <v>17500</v>
      </c>
      <c r="G795" s="94">
        <v>17500</v>
      </c>
    </row>
    <row r="796" spans="1:7">
      <c r="A796" s="33" t="s">
        <v>287</v>
      </c>
      <c r="B796" s="33" t="s">
        <v>101</v>
      </c>
      <c r="C796" s="33" t="s">
        <v>60</v>
      </c>
      <c r="D796" s="36" t="s">
        <v>61</v>
      </c>
      <c r="E796" s="91">
        <v>45611</v>
      </c>
      <c r="F796" s="94">
        <v>17500</v>
      </c>
      <c r="G796" s="94">
        <v>17500</v>
      </c>
    </row>
    <row r="797" spans="1:7">
      <c r="A797" s="33" t="s">
        <v>287</v>
      </c>
      <c r="B797" s="33" t="s">
        <v>101</v>
      </c>
      <c r="C797" s="33" t="s">
        <v>60</v>
      </c>
      <c r="D797" s="36" t="s">
        <v>61</v>
      </c>
      <c r="E797" s="91">
        <v>45792</v>
      </c>
      <c r="F797" s="94">
        <v>17500</v>
      </c>
      <c r="G797" s="94">
        <v>17500</v>
      </c>
    </row>
    <row r="798" spans="1:7">
      <c r="A798" s="33" t="s">
        <v>287</v>
      </c>
      <c r="B798" s="33" t="s">
        <v>101</v>
      </c>
      <c r="C798" s="33" t="s">
        <v>60</v>
      </c>
      <c r="D798" s="36" t="s">
        <v>61</v>
      </c>
      <c r="E798" s="91">
        <v>45976</v>
      </c>
      <c r="F798" s="94">
        <v>17500</v>
      </c>
      <c r="G798" s="94">
        <v>17500</v>
      </c>
    </row>
    <row r="799" spans="1:7">
      <c r="A799" s="33" t="s">
        <v>287</v>
      </c>
      <c r="B799" s="33" t="s">
        <v>101</v>
      </c>
      <c r="C799" s="33" t="s">
        <v>60</v>
      </c>
      <c r="D799" s="36" t="s">
        <v>61</v>
      </c>
      <c r="E799" s="91">
        <v>46157</v>
      </c>
      <c r="F799" s="94">
        <v>17500</v>
      </c>
      <c r="G799" s="94">
        <v>17500</v>
      </c>
    </row>
    <row r="800" spans="1:7">
      <c r="A800" s="33" t="s">
        <v>287</v>
      </c>
      <c r="B800" s="33" t="s">
        <v>101</v>
      </c>
      <c r="C800" s="33" t="s">
        <v>60</v>
      </c>
      <c r="D800" s="36" t="s">
        <v>61</v>
      </c>
      <c r="E800" s="91">
        <v>46341</v>
      </c>
      <c r="F800" s="94">
        <v>17500</v>
      </c>
      <c r="G800" s="94">
        <v>17500</v>
      </c>
    </row>
    <row r="801" spans="1:7">
      <c r="A801" s="33" t="s">
        <v>287</v>
      </c>
      <c r="B801" s="33" t="s">
        <v>101</v>
      </c>
      <c r="C801" s="33" t="s">
        <v>60</v>
      </c>
      <c r="D801" s="36" t="s">
        <v>61</v>
      </c>
      <c r="E801" s="91">
        <v>46522</v>
      </c>
      <c r="F801" s="94">
        <v>17500</v>
      </c>
      <c r="G801" s="94">
        <v>17500</v>
      </c>
    </row>
    <row r="802" spans="1:7">
      <c r="A802" s="33" t="s">
        <v>287</v>
      </c>
      <c r="B802" s="33" t="s">
        <v>101</v>
      </c>
      <c r="C802" s="33" t="s">
        <v>60</v>
      </c>
      <c r="D802" s="36" t="s">
        <v>61</v>
      </c>
      <c r="E802" s="91">
        <v>46706</v>
      </c>
      <c r="F802" s="94">
        <v>17500</v>
      </c>
      <c r="G802" s="94">
        <v>17500</v>
      </c>
    </row>
    <row r="803" spans="1:7">
      <c r="A803" s="33" t="s">
        <v>287</v>
      </c>
      <c r="B803" s="33" t="s">
        <v>101</v>
      </c>
      <c r="C803" s="33" t="s">
        <v>60</v>
      </c>
      <c r="D803" s="36" t="s">
        <v>61</v>
      </c>
      <c r="E803" s="91">
        <v>46888</v>
      </c>
      <c r="F803" s="94">
        <v>17500</v>
      </c>
      <c r="G803" s="94">
        <v>17500</v>
      </c>
    </row>
    <row r="804" spans="1:7">
      <c r="A804" s="33" t="s">
        <v>287</v>
      </c>
      <c r="B804" s="33" t="s">
        <v>101</v>
      </c>
      <c r="C804" s="33" t="s">
        <v>60</v>
      </c>
      <c r="D804" s="36" t="s">
        <v>61</v>
      </c>
      <c r="E804" s="91">
        <v>47072</v>
      </c>
      <c r="F804" s="94">
        <v>17500</v>
      </c>
      <c r="G804" s="94">
        <v>17500</v>
      </c>
    </row>
    <row r="805" spans="1:7">
      <c r="A805" s="33" t="s">
        <v>287</v>
      </c>
      <c r="B805" s="33" t="s">
        <v>101</v>
      </c>
      <c r="C805" s="33" t="s">
        <v>60</v>
      </c>
      <c r="D805" s="36" t="s">
        <v>61</v>
      </c>
      <c r="E805" s="91">
        <v>47253</v>
      </c>
      <c r="F805" s="94">
        <v>17500</v>
      </c>
      <c r="G805" s="94">
        <v>1017500</v>
      </c>
    </row>
    <row r="806" spans="1:7">
      <c r="A806" s="87" t="s">
        <v>287</v>
      </c>
      <c r="B806" s="87" t="s">
        <v>54</v>
      </c>
      <c r="C806" s="88" t="s">
        <v>43</v>
      </c>
      <c r="D806" s="87" t="s">
        <v>61</v>
      </c>
      <c r="E806" s="89">
        <v>45061</v>
      </c>
      <c r="F806" s="90">
        <v>35000</v>
      </c>
      <c r="G806" s="90">
        <v>35000</v>
      </c>
    </row>
    <row r="807" spans="1:7">
      <c r="A807" s="33" t="s">
        <v>287</v>
      </c>
      <c r="B807" s="33" t="s">
        <v>54</v>
      </c>
      <c r="C807" s="48" t="s">
        <v>43</v>
      </c>
      <c r="D807" s="33" t="s">
        <v>61</v>
      </c>
      <c r="E807" s="91">
        <v>45245</v>
      </c>
      <c r="F807" s="92">
        <v>35000</v>
      </c>
      <c r="G807" s="92">
        <v>35000</v>
      </c>
    </row>
    <row r="808" spans="1:7">
      <c r="A808" s="33" t="s">
        <v>287</v>
      </c>
      <c r="B808" s="33" t="s">
        <v>54</v>
      </c>
      <c r="C808" s="48" t="s">
        <v>43</v>
      </c>
      <c r="D808" s="33" t="s">
        <v>61</v>
      </c>
      <c r="E808" s="91">
        <v>45427</v>
      </c>
      <c r="F808" s="92">
        <v>35000</v>
      </c>
      <c r="G808" s="92">
        <v>35000</v>
      </c>
    </row>
    <row r="809" spans="1:7">
      <c r="A809" s="33" t="s">
        <v>287</v>
      </c>
      <c r="B809" s="33" t="s">
        <v>54</v>
      </c>
      <c r="C809" s="48" t="s">
        <v>43</v>
      </c>
      <c r="D809" s="33" t="s">
        <v>61</v>
      </c>
      <c r="E809" s="91">
        <v>45611</v>
      </c>
      <c r="F809" s="92">
        <v>35000</v>
      </c>
      <c r="G809" s="92">
        <v>35000</v>
      </c>
    </row>
    <row r="810" spans="1:7">
      <c r="A810" s="33" t="s">
        <v>287</v>
      </c>
      <c r="B810" s="33" t="s">
        <v>54</v>
      </c>
      <c r="C810" s="48" t="s">
        <v>43</v>
      </c>
      <c r="D810" s="33" t="s">
        <v>61</v>
      </c>
      <c r="E810" s="91">
        <v>45792</v>
      </c>
      <c r="F810" s="92">
        <v>35000</v>
      </c>
      <c r="G810" s="92">
        <v>35000</v>
      </c>
    </row>
    <row r="811" spans="1:7">
      <c r="A811" s="33" t="s">
        <v>287</v>
      </c>
      <c r="B811" s="33" t="s">
        <v>54</v>
      </c>
      <c r="C811" s="48" t="s">
        <v>43</v>
      </c>
      <c r="D811" s="33" t="s">
        <v>61</v>
      </c>
      <c r="E811" s="91">
        <v>45976</v>
      </c>
      <c r="F811" s="92">
        <v>35000</v>
      </c>
      <c r="G811" s="92">
        <v>35000</v>
      </c>
    </row>
    <row r="812" spans="1:7">
      <c r="A812" s="33" t="s">
        <v>287</v>
      </c>
      <c r="B812" s="33" t="s">
        <v>54</v>
      </c>
      <c r="C812" s="48" t="s">
        <v>43</v>
      </c>
      <c r="D812" s="33" t="s">
        <v>61</v>
      </c>
      <c r="E812" s="91">
        <v>46157</v>
      </c>
      <c r="F812" s="92">
        <v>35000</v>
      </c>
      <c r="G812" s="92">
        <v>35000</v>
      </c>
    </row>
    <row r="813" spans="1:7">
      <c r="A813" s="33" t="s">
        <v>287</v>
      </c>
      <c r="B813" s="33" t="s">
        <v>54</v>
      </c>
      <c r="C813" s="48" t="s">
        <v>43</v>
      </c>
      <c r="D813" s="33" t="s">
        <v>61</v>
      </c>
      <c r="E813" s="91">
        <v>46341</v>
      </c>
      <c r="F813" s="92">
        <v>35000</v>
      </c>
      <c r="G813" s="92">
        <v>35000</v>
      </c>
    </row>
    <row r="814" spans="1:7">
      <c r="A814" s="33" t="s">
        <v>287</v>
      </c>
      <c r="B814" s="33" t="s">
        <v>54</v>
      </c>
      <c r="C814" s="48" t="s">
        <v>43</v>
      </c>
      <c r="D814" s="33" t="s">
        <v>61</v>
      </c>
      <c r="E814" s="91">
        <v>46522</v>
      </c>
      <c r="F814" s="92">
        <v>35000</v>
      </c>
      <c r="G814" s="92">
        <v>35000</v>
      </c>
    </row>
    <row r="815" spans="1:7">
      <c r="A815" s="33" t="s">
        <v>287</v>
      </c>
      <c r="B815" s="33" t="s">
        <v>54</v>
      </c>
      <c r="C815" s="48" t="s">
        <v>43</v>
      </c>
      <c r="D815" s="33" t="s">
        <v>61</v>
      </c>
      <c r="E815" s="91">
        <v>46706</v>
      </c>
      <c r="F815" s="92">
        <v>35000</v>
      </c>
      <c r="G815" s="92">
        <v>35000</v>
      </c>
    </row>
    <row r="816" spans="1:7">
      <c r="A816" s="33" t="s">
        <v>287</v>
      </c>
      <c r="B816" s="33" t="s">
        <v>54</v>
      </c>
      <c r="C816" s="48" t="s">
        <v>43</v>
      </c>
      <c r="D816" s="33" t="s">
        <v>61</v>
      </c>
      <c r="E816" s="91">
        <v>46888</v>
      </c>
      <c r="F816" s="92">
        <v>35000</v>
      </c>
      <c r="G816" s="92">
        <v>35000</v>
      </c>
    </row>
    <row r="817" spans="1:7">
      <c r="A817" s="33" t="s">
        <v>287</v>
      </c>
      <c r="B817" s="33" t="s">
        <v>54</v>
      </c>
      <c r="C817" s="48" t="s">
        <v>43</v>
      </c>
      <c r="D817" s="33" t="s">
        <v>61</v>
      </c>
      <c r="E817" s="91">
        <v>47072</v>
      </c>
      <c r="F817" s="92">
        <v>35000</v>
      </c>
      <c r="G817" s="92">
        <v>35000</v>
      </c>
    </row>
    <row r="818" spans="1:7">
      <c r="A818" s="33" t="s">
        <v>287</v>
      </c>
      <c r="B818" s="33" t="s">
        <v>54</v>
      </c>
      <c r="C818" s="48" t="s">
        <v>43</v>
      </c>
      <c r="D818" s="33" t="s">
        <v>61</v>
      </c>
      <c r="E818" s="91">
        <v>47253</v>
      </c>
      <c r="F818" s="92">
        <v>35000</v>
      </c>
      <c r="G818" s="92">
        <v>2035000</v>
      </c>
    </row>
    <row r="819" spans="1:7">
      <c r="A819" s="87" t="s">
        <v>126</v>
      </c>
      <c r="B819" s="87" t="s">
        <v>101</v>
      </c>
      <c r="C819" s="88" t="s">
        <v>43</v>
      </c>
      <c r="D819" s="87" t="s">
        <v>61</v>
      </c>
      <c r="E819" s="89">
        <v>45144</v>
      </c>
      <c r="F819" s="90">
        <v>6975</v>
      </c>
      <c r="G819" s="90">
        <v>6975</v>
      </c>
    </row>
    <row r="820" spans="1:7">
      <c r="A820" s="33" t="s">
        <v>126</v>
      </c>
      <c r="B820" s="33" t="s">
        <v>101</v>
      </c>
      <c r="C820" s="48" t="s">
        <v>43</v>
      </c>
      <c r="D820" s="33" t="s">
        <v>61</v>
      </c>
      <c r="E820" s="91">
        <v>45328</v>
      </c>
      <c r="F820" s="92">
        <v>6975</v>
      </c>
      <c r="G820" s="92">
        <v>6975</v>
      </c>
    </row>
    <row r="821" spans="1:7">
      <c r="A821" s="33" t="s">
        <v>126</v>
      </c>
      <c r="B821" s="33" t="s">
        <v>101</v>
      </c>
      <c r="C821" s="48" t="s">
        <v>43</v>
      </c>
      <c r="D821" s="33" t="s">
        <v>61</v>
      </c>
      <c r="E821" s="93">
        <v>45510</v>
      </c>
      <c r="F821" s="94">
        <v>6975</v>
      </c>
      <c r="G821" s="94">
        <v>6975</v>
      </c>
    </row>
    <row r="822" spans="1:7">
      <c r="A822" s="33" t="s">
        <v>126</v>
      </c>
      <c r="B822" s="33" t="s">
        <v>101</v>
      </c>
      <c r="C822" s="48" t="s">
        <v>43</v>
      </c>
      <c r="D822" s="33" t="s">
        <v>61</v>
      </c>
      <c r="E822" s="91">
        <v>45694</v>
      </c>
      <c r="F822" s="94">
        <v>6975</v>
      </c>
      <c r="G822" s="94">
        <v>6975</v>
      </c>
    </row>
    <row r="823" spans="1:7">
      <c r="A823" s="33" t="s">
        <v>126</v>
      </c>
      <c r="B823" s="33" t="s">
        <v>101</v>
      </c>
      <c r="C823" s="48" t="s">
        <v>43</v>
      </c>
      <c r="D823" s="33" t="s">
        <v>61</v>
      </c>
      <c r="E823" s="93">
        <v>45875</v>
      </c>
      <c r="F823" s="94">
        <v>6975</v>
      </c>
      <c r="G823" s="94">
        <v>6975</v>
      </c>
    </row>
    <row r="824" spans="1:7">
      <c r="A824" s="33" t="s">
        <v>126</v>
      </c>
      <c r="B824" s="33" t="s">
        <v>101</v>
      </c>
      <c r="C824" s="48" t="s">
        <v>43</v>
      </c>
      <c r="D824" s="33" t="s">
        <v>61</v>
      </c>
      <c r="E824" s="91">
        <v>46059</v>
      </c>
      <c r="F824" s="94">
        <v>6975</v>
      </c>
      <c r="G824" s="94">
        <v>6975</v>
      </c>
    </row>
    <row r="825" spans="1:7">
      <c r="A825" s="33" t="s">
        <v>126</v>
      </c>
      <c r="B825" s="33" t="s">
        <v>101</v>
      </c>
      <c r="C825" s="48" t="s">
        <v>43</v>
      </c>
      <c r="D825" s="33" t="s">
        <v>61</v>
      </c>
      <c r="E825" s="93">
        <v>46240</v>
      </c>
      <c r="F825" s="94">
        <v>6975</v>
      </c>
      <c r="G825" s="94">
        <v>6975</v>
      </c>
    </row>
    <row r="826" spans="1:7">
      <c r="A826" s="33" t="s">
        <v>126</v>
      </c>
      <c r="B826" s="33" t="s">
        <v>101</v>
      </c>
      <c r="C826" s="48" t="s">
        <v>43</v>
      </c>
      <c r="D826" s="33" t="s">
        <v>61</v>
      </c>
      <c r="E826" s="91">
        <v>46424</v>
      </c>
      <c r="F826" s="94">
        <v>6975</v>
      </c>
      <c r="G826" s="94">
        <v>6975</v>
      </c>
    </row>
    <row r="827" spans="1:7">
      <c r="A827" s="33" t="s">
        <v>126</v>
      </c>
      <c r="B827" s="33" t="s">
        <v>101</v>
      </c>
      <c r="C827" s="48" t="s">
        <v>43</v>
      </c>
      <c r="D827" s="33" t="s">
        <v>61</v>
      </c>
      <c r="E827" s="93">
        <v>46605</v>
      </c>
      <c r="F827" s="94">
        <v>6975</v>
      </c>
      <c r="G827" s="94">
        <v>6975</v>
      </c>
    </row>
    <row r="828" spans="1:7">
      <c r="A828" s="33" t="s">
        <v>126</v>
      </c>
      <c r="B828" s="33" t="s">
        <v>101</v>
      </c>
      <c r="C828" s="48" t="s">
        <v>43</v>
      </c>
      <c r="D828" s="33" t="s">
        <v>61</v>
      </c>
      <c r="E828" s="91">
        <v>46971</v>
      </c>
      <c r="F828" s="94">
        <v>6975</v>
      </c>
      <c r="G828" s="94">
        <v>316975</v>
      </c>
    </row>
    <row r="829" spans="1:7">
      <c r="A829" s="87" t="s">
        <v>126</v>
      </c>
      <c r="B829" s="87" t="s">
        <v>77</v>
      </c>
      <c r="C829" s="88" t="s">
        <v>43</v>
      </c>
      <c r="D829" s="87" t="s">
        <v>61</v>
      </c>
      <c r="E829" s="89">
        <v>45144</v>
      </c>
      <c r="F829" s="90">
        <v>8325</v>
      </c>
      <c r="G829" s="90">
        <v>8325</v>
      </c>
    </row>
    <row r="830" spans="1:7">
      <c r="A830" s="33" t="s">
        <v>126</v>
      </c>
      <c r="B830" s="33" t="s">
        <v>77</v>
      </c>
      <c r="C830" s="33" t="s">
        <v>60</v>
      </c>
      <c r="D830" s="36" t="s">
        <v>61</v>
      </c>
      <c r="E830" s="91">
        <v>45328</v>
      </c>
      <c r="F830" s="94">
        <v>8325</v>
      </c>
      <c r="G830" s="94">
        <v>8325</v>
      </c>
    </row>
    <row r="831" spans="1:7">
      <c r="A831" s="33" t="s">
        <v>126</v>
      </c>
      <c r="B831" s="33" t="s">
        <v>77</v>
      </c>
      <c r="C831" s="33" t="s">
        <v>60</v>
      </c>
      <c r="D831" s="36" t="s">
        <v>61</v>
      </c>
      <c r="E831" s="93">
        <v>45510</v>
      </c>
      <c r="F831" s="94">
        <v>8325</v>
      </c>
      <c r="G831" s="94">
        <v>8325</v>
      </c>
    </row>
    <row r="832" spans="1:7">
      <c r="A832" s="33" t="s">
        <v>126</v>
      </c>
      <c r="B832" s="33" t="s">
        <v>77</v>
      </c>
      <c r="C832" s="33" t="s">
        <v>60</v>
      </c>
      <c r="D832" s="36" t="s">
        <v>61</v>
      </c>
      <c r="E832" s="91">
        <v>45694</v>
      </c>
      <c r="F832" s="94">
        <v>8325</v>
      </c>
      <c r="G832" s="94">
        <v>8325</v>
      </c>
    </row>
    <row r="833" spans="1:7">
      <c r="A833" s="33" t="s">
        <v>126</v>
      </c>
      <c r="B833" s="33" t="s">
        <v>77</v>
      </c>
      <c r="C833" s="33" t="s">
        <v>60</v>
      </c>
      <c r="D833" s="36" t="s">
        <v>61</v>
      </c>
      <c r="E833" s="93">
        <v>45875</v>
      </c>
      <c r="F833" s="94">
        <v>8325</v>
      </c>
      <c r="G833" s="94">
        <v>8325</v>
      </c>
    </row>
    <row r="834" spans="1:7">
      <c r="A834" s="33" t="s">
        <v>126</v>
      </c>
      <c r="B834" s="33" t="s">
        <v>77</v>
      </c>
      <c r="C834" s="33" t="s">
        <v>60</v>
      </c>
      <c r="D834" s="36" t="s">
        <v>61</v>
      </c>
      <c r="E834" s="91">
        <v>46059</v>
      </c>
      <c r="F834" s="94">
        <v>8325</v>
      </c>
      <c r="G834" s="94">
        <v>8325</v>
      </c>
    </row>
    <row r="835" spans="1:7">
      <c r="A835" s="33" t="s">
        <v>126</v>
      </c>
      <c r="B835" s="33" t="s">
        <v>77</v>
      </c>
      <c r="C835" s="33" t="s">
        <v>60</v>
      </c>
      <c r="D835" s="36" t="s">
        <v>61</v>
      </c>
      <c r="E835" s="93">
        <v>46240</v>
      </c>
      <c r="F835" s="94">
        <v>8325</v>
      </c>
      <c r="G835" s="94">
        <v>8325</v>
      </c>
    </row>
    <row r="836" spans="1:7">
      <c r="A836" s="33" t="s">
        <v>126</v>
      </c>
      <c r="B836" s="33" t="s">
        <v>77</v>
      </c>
      <c r="C836" s="33" t="s">
        <v>60</v>
      </c>
      <c r="D836" s="36" t="s">
        <v>61</v>
      </c>
      <c r="E836" s="91">
        <v>46424</v>
      </c>
      <c r="F836" s="94">
        <v>8325</v>
      </c>
      <c r="G836" s="94">
        <v>8325</v>
      </c>
    </row>
    <row r="837" spans="1:7">
      <c r="A837" s="33" t="s">
        <v>126</v>
      </c>
      <c r="B837" s="33" t="s">
        <v>77</v>
      </c>
      <c r="C837" s="33" t="s">
        <v>60</v>
      </c>
      <c r="D837" s="36" t="s">
        <v>61</v>
      </c>
      <c r="E837" s="93">
        <v>46605</v>
      </c>
      <c r="F837" s="94">
        <v>8325</v>
      </c>
      <c r="G837" s="94">
        <v>8325</v>
      </c>
    </row>
    <row r="838" spans="1:7">
      <c r="A838" s="33" t="s">
        <v>126</v>
      </c>
      <c r="B838" s="33" t="s">
        <v>77</v>
      </c>
      <c r="C838" s="33" t="s">
        <v>60</v>
      </c>
      <c r="D838" s="36" t="s">
        <v>61</v>
      </c>
      <c r="E838" s="91">
        <v>46971</v>
      </c>
      <c r="F838" s="94">
        <v>8325</v>
      </c>
      <c r="G838" s="94">
        <v>378325</v>
      </c>
    </row>
    <row r="839" spans="1:7">
      <c r="A839" s="87" t="s">
        <v>126</v>
      </c>
      <c r="B839" s="87" t="s">
        <v>754</v>
      </c>
      <c r="C839" s="88" t="s">
        <v>43</v>
      </c>
      <c r="D839" s="87" t="s">
        <v>61</v>
      </c>
      <c r="E839" s="89">
        <v>45144</v>
      </c>
      <c r="F839" s="90">
        <v>14625</v>
      </c>
      <c r="G839" s="90">
        <v>14625</v>
      </c>
    </row>
    <row r="840" spans="1:7">
      <c r="A840" s="33" t="s">
        <v>126</v>
      </c>
      <c r="B840" s="33" t="s">
        <v>754</v>
      </c>
      <c r="C840" s="33" t="s">
        <v>60</v>
      </c>
      <c r="D840" s="36" t="s">
        <v>61</v>
      </c>
      <c r="E840" s="91">
        <v>45328</v>
      </c>
      <c r="F840" s="94">
        <v>14625</v>
      </c>
      <c r="G840" s="94">
        <v>14625</v>
      </c>
    </row>
    <row r="841" spans="1:7">
      <c r="A841" s="33" t="s">
        <v>788</v>
      </c>
      <c r="B841" s="33" t="s">
        <v>754</v>
      </c>
      <c r="C841" s="33" t="s">
        <v>60</v>
      </c>
      <c r="D841" s="36" t="s">
        <v>61</v>
      </c>
      <c r="E841" s="93">
        <v>45510</v>
      </c>
      <c r="F841" s="94">
        <v>14625</v>
      </c>
      <c r="G841" s="94">
        <v>14625</v>
      </c>
    </row>
    <row r="842" spans="1:7">
      <c r="A842" s="33" t="s">
        <v>788</v>
      </c>
      <c r="B842" s="33" t="s">
        <v>754</v>
      </c>
      <c r="C842" s="33" t="s">
        <v>60</v>
      </c>
      <c r="D842" s="36" t="s">
        <v>61</v>
      </c>
      <c r="E842" s="91">
        <v>45694</v>
      </c>
      <c r="F842" s="94">
        <v>14625</v>
      </c>
      <c r="G842" s="94">
        <v>14625</v>
      </c>
    </row>
    <row r="843" spans="1:7">
      <c r="A843" s="33" t="s">
        <v>788</v>
      </c>
      <c r="B843" s="33" t="s">
        <v>754</v>
      </c>
      <c r="C843" s="33" t="s">
        <v>60</v>
      </c>
      <c r="D843" s="36" t="s">
        <v>61</v>
      </c>
      <c r="E843" s="93">
        <v>45875</v>
      </c>
      <c r="F843" s="94">
        <v>14625</v>
      </c>
      <c r="G843" s="94">
        <v>14625</v>
      </c>
    </row>
    <row r="844" spans="1:7">
      <c r="A844" s="33" t="s">
        <v>788</v>
      </c>
      <c r="B844" s="33" t="s">
        <v>754</v>
      </c>
      <c r="C844" s="33" t="s">
        <v>60</v>
      </c>
      <c r="D844" s="36" t="s">
        <v>61</v>
      </c>
      <c r="E844" s="91">
        <v>46059</v>
      </c>
      <c r="F844" s="94">
        <v>14625</v>
      </c>
      <c r="G844" s="94">
        <v>14625</v>
      </c>
    </row>
    <row r="845" spans="1:7">
      <c r="A845" s="33" t="s">
        <v>788</v>
      </c>
      <c r="B845" s="33" t="s">
        <v>754</v>
      </c>
      <c r="C845" s="33" t="s">
        <v>60</v>
      </c>
      <c r="D845" s="36" t="s">
        <v>61</v>
      </c>
      <c r="E845" s="93">
        <v>46240</v>
      </c>
      <c r="F845" s="94">
        <v>14625</v>
      </c>
      <c r="G845" s="94">
        <v>14625</v>
      </c>
    </row>
    <row r="846" spans="1:7">
      <c r="A846" s="33" t="s">
        <v>788</v>
      </c>
      <c r="B846" s="33" t="s">
        <v>754</v>
      </c>
      <c r="C846" s="33" t="s">
        <v>60</v>
      </c>
      <c r="D846" s="36" t="s">
        <v>61</v>
      </c>
      <c r="E846" s="91">
        <v>46424</v>
      </c>
      <c r="F846" s="94">
        <v>14625</v>
      </c>
      <c r="G846" s="94">
        <v>14625</v>
      </c>
    </row>
    <row r="847" spans="1:7">
      <c r="A847" s="33" t="s">
        <v>788</v>
      </c>
      <c r="B847" s="33" t="s">
        <v>754</v>
      </c>
      <c r="C847" s="33" t="s">
        <v>60</v>
      </c>
      <c r="D847" s="36" t="s">
        <v>61</v>
      </c>
      <c r="E847" s="93">
        <v>46605</v>
      </c>
      <c r="F847" s="94">
        <v>14625</v>
      </c>
      <c r="G847" s="94">
        <v>14625</v>
      </c>
    </row>
    <row r="848" spans="1:7">
      <c r="A848" s="33" t="s">
        <v>788</v>
      </c>
      <c r="B848" s="33" t="s">
        <v>754</v>
      </c>
      <c r="C848" s="33" t="s">
        <v>60</v>
      </c>
      <c r="D848" s="36" t="s">
        <v>61</v>
      </c>
      <c r="E848" s="91">
        <v>46971</v>
      </c>
      <c r="F848" s="94">
        <v>14625</v>
      </c>
      <c r="G848" s="94">
        <v>664625</v>
      </c>
    </row>
    <row r="849" spans="1:7">
      <c r="A849" s="87" t="s">
        <v>126</v>
      </c>
      <c r="B849" s="87" t="s">
        <v>54</v>
      </c>
      <c r="C849" s="88" t="s">
        <v>43</v>
      </c>
      <c r="D849" s="87" t="s">
        <v>61</v>
      </c>
      <c r="E849" s="89">
        <v>45144</v>
      </c>
      <c r="F849" s="90">
        <v>15750</v>
      </c>
      <c r="G849" s="90">
        <v>15750</v>
      </c>
    </row>
    <row r="850" spans="1:7">
      <c r="A850" s="33" t="s">
        <v>126</v>
      </c>
      <c r="B850" s="33" t="s">
        <v>54</v>
      </c>
      <c r="C850" s="48" t="s">
        <v>43</v>
      </c>
      <c r="D850" s="33" t="s">
        <v>61</v>
      </c>
      <c r="E850" s="91">
        <v>45328</v>
      </c>
      <c r="F850" s="92">
        <v>15750</v>
      </c>
      <c r="G850" s="92">
        <v>15750</v>
      </c>
    </row>
    <row r="851" spans="1:7">
      <c r="A851" s="33" t="s">
        <v>788</v>
      </c>
      <c r="B851" s="33" t="s">
        <v>54</v>
      </c>
      <c r="C851" s="48" t="s">
        <v>43</v>
      </c>
      <c r="D851" s="33" t="s">
        <v>61</v>
      </c>
      <c r="E851" s="93">
        <v>45510</v>
      </c>
      <c r="F851" s="92">
        <v>15750</v>
      </c>
      <c r="G851" s="92">
        <v>15750</v>
      </c>
    </row>
    <row r="852" spans="1:7">
      <c r="A852" s="33" t="s">
        <v>788</v>
      </c>
      <c r="B852" s="33" t="s">
        <v>54</v>
      </c>
      <c r="C852" s="48" t="s">
        <v>43</v>
      </c>
      <c r="D852" s="33" t="s">
        <v>61</v>
      </c>
      <c r="E852" s="91">
        <v>45694</v>
      </c>
      <c r="F852" s="92">
        <v>15750</v>
      </c>
      <c r="G852" s="92">
        <v>15750</v>
      </c>
    </row>
    <row r="853" spans="1:7">
      <c r="A853" s="33" t="s">
        <v>788</v>
      </c>
      <c r="B853" s="33" t="s">
        <v>54</v>
      </c>
      <c r="C853" s="48" t="s">
        <v>43</v>
      </c>
      <c r="D853" s="33" t="s">
        <v>61</v>
      </c>
      <c r="E853" s="93">
        <v>45875</v>
      </c>
      <c r="F853" s="92">
        <v>15750</v>
      </c>
      <c r="G853" s="92">
        <v>15750</v>
      </c>
    </row>
    <row r="854" spans="1:7">
      <c r="A854" s="33" t="s">
        <v>788</v>
      </c>
      <c r="B854" s="33" t="s">
        <v>54</v>
      </c>
      <c r="C854" s="48" t="s">
        <v>43</v>
      </c>
      <c r="D854" s="33" t="s">
        <v>61</v>
      </c>
      <c r="E854" s="91">
        <v>46059</v>
      </c>
      <c r="F854" s="92">
        <v>15750</v>
      </c>
      <c r="G854" s="92">
        <v>15750</v>
      </c>
    </row>
    <row r="855" spans="1:7">
      <c r="A855" s="33" t="s">
        <v>788</v>
      </c>
      <c r="B855" s="33" t="s">
        <v>54</v>
      </c>
      <c r="C855" s="48" t="s">
        <v>43</v>
      </c>
      <c r="D855" s="33" t="s">
        <v>61</v>
      </c>
      <c r="E855" s="93">
        <v>46240</v>
      </c>
      <c r="F855" s="92">
        <v>15750</v>
      </c>
      <c r="G855" s="92">
        <v>15750</v>
      </c>
    </row>
    <row r="856" spans="1:7">
      <c r="A856" s="33" t="s">
        <v>788</v>
      </c>
      <c r="B856" s="33" t="s">
        <v>54</v>
      </c>
      <c r="C856" s="48" t="s">
        <v>43</v>
      </c>
      <c r="D856" s="33" t="s">
        <v>61</v>
      </c>
      <c r="E856" s="91">
        <v>46424</v>
      </c>
      <c r="F856" s="92">
        <v>15750</v>
      </c>
      <c r="G856" s="92">
        <v>15750</v>
      </c>
    </row>
    <row r="857" spans="1:7">
      <c r="A857" s="33" t="s">
        <v>788</v>
      </c>
      <c r="B857" s="33" t="s">
        <v>54</v>
      </c>
      <c r="C857" s="48" t="s">
        <v>43</v>
      </c>
      <c r="D857" s="33" t="s">
        <v>61</v>
      </c>
      <c r="E857" s="93">
        <v>46605</v>
      </c>
      <c r="F857" s="92">
        <v>15750</v>
      </c>
      <c r="G857" s="92">
        <v>15750</v>
      </c>
    </row>
    <row r="858" spans="1:7">
      <c r="A858" s="33" t="s">
        <v>788</v>
      </c>
      <c r="B858" s="33" t="s">
        <v>54</v>
      </c>
      <c r="C858" s="48" t="s">
        <v>43</v>
      </c>
      <c r="D858" s="33" t="s">
        <v>61</v>
      </c>
      <c r="E858" s="91">
        <v>46971</v>
      </c>
      <c r="F858" s="92">
        <v>15750</v>
      </c>
      <c r="G858" s="92">
        <v>715750</v>
      </c>
    </row>
    <row r="859" spans="1:7">
      <c r="A859" s="87" t="s">
        <v>423</v>
      </c>
      <c r="B859" s="87" t="s">
        <v>101</v>
      </c>
      <c r="C859" s="88" t="s">
        <v>43</v>
      </c>
      <c r="D859" s="87" t="s">
        <v>61</v>
      </c>
      <c r="E859" s="89">
        <v>45247</v>
      </c>
      <c r="F859" s="90">
        <v>43000</v>
      </c>
      <c r="G859" s="90">
        <v>43000</v>
      </c>
    </row>
    <row r="860" spans="1:7">
      <c r="A860" s="33" t="s">
        <v>423</v>
      </c>
      <c r="B860" s="33" t="s">
        <v>101</v>
      </c>
      <c r="C860" s="48" t="s">
        <v>43</v>
      </c>
      <c r="D860" s="33" t="s">
        <v>61</v>
      </c>
      <c r="E860" s="91">
        <v>45429</v>
      </c>
      <c r="F860" s="92">
        <v>43000</v>
      </c>
      <c r="G860" s="92">
        <v>43000</v>
      </c>
    </row>
    <row r="861" spans="1:7">
      <c r="A861" s="33" t="s">
        <v>423</v>
      </c>
      <c r="B861" s="33" t="s">
        <v>101</v>
      </c>
      <c r="C861" s="48" t="s">
        <v>43</v>
      </c>
      <c r="D861" s="33" t="s">
        <v>61</v>
      </c>
      <c r="E861" s="91">
        <v>45613</v>
      </c>
      <c r="F861" s="92">
        <v>43000</v>
      </c>
      <c r="G861" s="92">
        <v>43000</v>
      </c>
    </row>
    <row r="862" spans="1:7">
      <c r="A862" s="33" t="s">
        <v>423</v>
      </c>
      <c r="B862" s="33" t="s">
        <v>101</v>
      </c>
      <c r="C862" s="48" t="s">
        <v>43</v>
      </c>
      <c r="D862" s="33" t="s">
        <v>61</v>
      </c>
      <c r="E862" s="91">
        <v>45794</v>
      </c>
      <c r="F862" s="92">
        <v>43000</v>
      </c>
      <c r="G862" s="92">
        <v>43000</v>
      </c>
    </row>
    <row r="863" spans="1:7">
      <c r="A863" s="33" t="s">
        <v>423</v>
      </c>
      <c r="B863" s="33" t="s">
        <v>101</v>
      </c>
      <c r="C863" s="48" t="s">
        <v>43</v>
      </c>
      <c r="D863" s="33" t="s">
        <v>61</v>
      </c>
      <c r="E863" s="91">
        <v>45978</v>
      </c>
      <c r="F863" s="92">
        <v>43000</v>
      </c>
      <c r="G863" s="92">
        <v>43000</v>
      </c>
    </row>
    <row r="864" spans="1:7">
      <c r="A864" s="33" t="s">
        <v>423</v>
      </c>
      <c r="B864" s="33" t="s">
        <v>101</v>
      </c>
      <c r="C864" s="48" t="s">
        <v>43</v>
      </c>
      <c r="D864" s="33" t="s">
        <v>61</v>
      </c>
      <c r="E864" s="91">
        <v>46159</v>
      </c>
      <c r="F864" s="92">
        <v>43000</v>
      </c>
      <c r="G864" s="92">
        <v>43000</v>
      </c>
    </row>
    <row r="865" spans="1:7">
      <c r="A865" s="33" t="s">
        <v>423</v>
      </c>
      <c r="B865" s="33" t="s">
        <v>101</v>
      </c>
      <c r="C865" s="48" t="s">
        <v>43</v>
      </c>
      <c r="D865" s="33" t="s">
        <v>61</v>
      </c>
      <c r="E865" s="91">
        <v>46343</v>
      </c>
      <c r="F865" s="92">
        <v>43000</v>
      </c>
      <c r="G865" s="92">
        <v>43000</v>
      </c>
    </row>
    <row r="866" spans="1:7">
      <c r="A866" s="33" t="s">
        <v>423</v>
      </c>
      <c r="B866" s="33" t="s">
        <v>101</v>
      </c>
      <c r="C866" s="48" t="s">
        <v>43</v>
      </c>
      <c r="D866" s="33" t="s">
        <v>61</v>
      </c>
      <c r="E866" s="91">
        <v>46524</v>
      </c>
      <c r="F866" s="92">
        <v>43000</v>
      </c>
      <c r="G866" s="92">
        <v>43000</v>
      </c>
    </row>
    <row r="867" spans="1:7">
      <c r="A867" s="33" t="s">
        <v>423</v>
      </c>
      <c r="B867" s="33" t="s">
        <v>101</v>
      </c>
      <c r="C867" s="48" t="s">
        <v>43</v>
      </c>
      <c r="D867" s="33" t="s">
        <v>61</v>
      </c>
      <c r="E867" s="91">
        <v>46708</v>
      </c>
      <c r="F867" s="92">
        <v>43000</v>
      </c>
      <c r="G867" s="92">
        <v>43000</v>
      </c>
    </row>
    <row r="868" spans="1:7">
      <c r="A868" s="33" t="s">
        <v>423</v>
      </c>
      <c r="B868" s="33" t="s">
        <v>101</v>
      </c>
      <c r="C868" s="48" t="s">
        <v>43</v>
      </c>
      <c r="D868" s="33" t="s">
        <v>61</v>
      </c>
      <c r="E868" s="91">
        <v>46890</v>
      </c>
      <c r="F868" s="92">
        <v>43000</v>
      </c>
      <c r="G868" s="92">
        <v>43000</v>
      </c>
    </row>
    <row r="869" spans="1:7">
      <c r="A869" s="33" t="s">
        <v>423</v>
      </c>
      <c r="B869" s="33" t="s">
        <v>101</v>
      </c>
      <c r="C869" s="48" t="s">
        <v>43</v>
      </c>
      <c r="D869" s="33" t="s">
        <v>61</v>
      </c>
      <c r="E869" s="91">
        <v>47074</v>
      </c>
      <c r="F869" s="92">
        <v>43000</v>
      </c>
      <c r="G869" s="92">
        <v>43000</v>
      </c>
    </row>
    <row r="870" spans="1:7">
      <c r="A870" s="33" t="s">
        <v>423</v>
      </c>
      <c r="B870" s="33" t="s">
        <v>101</v>
      </c>
      <c r="C870" s="48" t="s">
        <v>43</v>
      </c>
      <c r="D870" s="33" t="s">
        <v>61</v>
      </c>
      <c r="E870" s="91">
        <v>47255</v>
      </c>
      <c r="F870" s="92">
        <v>43000</v>
      </c>
      <c r="G870" s="92">
        <v>43000</v>
      </c>
    </row>
    <row r="871" spans="1:7">
      <c r="A871" s="33" t="s">
        <v>423</v>
      </c>
      <c r="B871" s="33" t="s">
        <v>101</v>
      </c>
      <c r="C871" s="48" t="s">
        <v>43</v>
      </c>
      <c r="D871" s="33" t="s">
        <v>61</v>
      </c>
      <c r="E871" s="91">
        <v>47439</v>
      </c>
      <c r="F871" s="92">
        <v>43000</v>
      </c>
      <c r="G871" s="92">
        <v>43000</v>
      </c>
    </row>
    <row r="872" spans="1:7">
      <c r="A872" s="33" t="s">
        <v>423</v>
      </c>
      <c r="B872" s="33" t="s">
        <v>101</v>
      </c>
      <c r="C872" s="48" t="s">
        <v>43</v>
      </c>
      <c r="D872" s="33" t="s">
        <v>61</v>
      </c>
      <c r="E872" s="91">
        <v>47620</v>
      </c>
      <c r="F872" s="92">
        <v>43000</v>
      </c>
      <c r="G872" s="92">
        <v>2043000</v>
      </c>
    </row>
    <row r="873" spans="1:7">
      <c r="A873" s="87" t="s">
        <v>626</v>
      </c>
      <c r="B873" s="87" t="s">
        <v>54</v>
      </c>
      <c r="C873" s="88" t="s">
        <v>67</v>
      </c>
      <c r="D873" s="87" t="s">
        <v>61</v>
      </c>
      <c r="E873" s="89">
        <v>45302</v>
      </c>
      <c r="F873" s="90">
        <v>67200</v>
      </c>
      <c r="G873" s="90">
        <v>67200</v>
      </c>
    </row>
    <row r="874" spans="1:7">
      <c r="A874" s="33" t="s">
        <v>626</v>
      </c>
      <c r="B874" s="33" t="s">
        <v>54</v>
      </c>
      <c r="C874" s="33" t="s">
        <v>35</v>
      </c>
      <c r="D874" s="36" t="s">
        <v>61</v>
      </c>
      <c r="E874" s="93">
        <v>45484</v>
      </c>
      <c r="F874" s="94">
        <v>67200</v>
      </c>
      <c r="G874" s="94">
        <v>67200</v>
      </c>
    </row>
    <row r="875" spans="1:7">
      <c r="A875" s="33" t="s">
        <v>789</v>
      </c>
      <c r="B875" s="33" t="s">
        <v>54</v>
      </c>
      <c r="C875" s="33" t="s">
        <v>35</v>
      </c>
      <c r="D875" s="36" t="s">
        <v>61</v>
      </c>
      <c r="E875" s="91">
        <v>45668</v>
      </c>
      <c r="F875" s="94">
        <v>67200</v>
      </c>
      <c r="G875" s="94">
        <v>67200</v>
      </c>
    </row>
    <row r="876" spans="1:7">
      <c r="A876" s="33" t="s">
        <v>789</v>
      </c>
      <c r="B876" s="33" t="s">
        <v>54</v>
      </c>
      <c r="C876" s="33" t="s">
        <v>35</v>
      </c>
      <c r="D876" s="36" t="s">
        <v>61</v>
      </c>
      <c r="E876" s="93">
        <v>45849</v>
      </c>
      <c r="F876" s="94">
        <v>67200</v>
      </c>
      <c r="G876" s="94">
        <v>67200</v>
      </c>
    </row>
    <row r="877" spans="1:7">
      <c r="A877" s="33" t="s">
        <v>789</v>
      </c>
      <c r="B877" s="33" t="s">
        <v>54</v>
      </c>
      <c r="C877" s="33" t="s">
        <v>35</v>
      </c>
      <c r="D877" s="36" t="s">
        <v>61</v>
      </c>
      <c r="E877" s="91">
        <v>46033</v>
      </c>
      <c r="F877" s="94">
        <v>67200</v>
      </c>
      <c r="G877" s="94">
        <v>67200</v>
      </c>
    </row>
    <row r="878" spans="1:7">
      <c r="A878" s="33" t="s">
        <v>789</v>
      </c>
      <c r="B878" s="33" t="s">
        <v>54</v>
      </c>
      <c r="C878" s="33" t="s">
        <v>35</v>
      </c>
      <c r="D878" s="36" t="s">
        <v>61</v>
      </c>
      <c r="E878" s="93">
        <v>46214</v>
      </c>
      <c r="F878" s="94">
        <v>67200</v>
      </c>
      <c r="G878" s="94">
        <v>67200</v>
      </c>
    </row>
    <row r="879" spans="1:7">
      <c r="A879" s="33" t="s">
        <v>789</v>
      </c>
      <c r="B879" s="33" t="s">
        <v>54</v>
      </c>
      <c r="C879" s="33" t="s">
        <v>35</v>
      </c>
      <c r="D879" s="36" t="s">
        <v>61</v>
      </c>
      <c r="E879" s="91">
        <v>46398</v>
      </c>
      <c r="F879" s="94">
        <v>67200</v>
      </c>
      <c r="G879" s="94">
        <v>67200</v>
      </c>
    </row>
    <row r="880" spans="1:7">
      <c r="A880" s="33" t="s">
        <v>789</v>
      </c>
      <c r="B880" s="33" t="s">
        <v>54</v>
      </c>
      <c r="C880" s="33" t="s">
        <v>35</v>
      </c>
      <c r="D880" s="36" t="s">
        <v>61</v>
      </c>
      <c r="E880" s="93">
        <v>46579</v>
      </c>
      <c r="F880" s="94">
        <v>67200</v>
      </c>
      <c r="G880" s="94">
        <v>67200</v>
      </c>
    </row>
    <row r="881" spans="1:7">
      <c r="A881" s="33" t="s">
        <v>789</v>
      </c>
      <c r="B881" s="33" t="s">
        <v>54</v>
      </c>
      <c r="C881" s="33" t="s">
        <v>35</v>
      </c>
      <c r="D881" s="36" t="s">
        <v>61</v>
      </c>
      <c r="E881" s="91">
        <v>46763</v>
      </c>
      <c r="F881" s="94">
        <v>67200</v>
      </c>
      <c r="G881" s="94">
        <v>67200</v>
      </c>
    </row>
    <row r="882" spans="1:7">
      <c r="A882" s="33" t="s">
        <v>789</v>
      </c>
      <c r="B882" s="33" t="s">
        <v>54</v>
      </c>
      <c r="C882" s="33" t="s">
        <v>35</v>
      </c>
      <c r="D882" s="36" t="s">
        <v>61</v>
      </c>
      <c r="E882" s="93">
        <v>46945</v>
      </c>
      <c r="F882" s="94">
        <v>67200</v>
      </c>
      <c r="G882" s="94">
        <v>67200</v>
      </c>
    </row>
    <row r="883" spans="1:7">
      <c r="A883" s="33" t="s">
        <v>789</v>
      </c>
      <c r="B883" s="33" t="s">
        <v>54</v>
      </c>
      <c r="C883" s="33" t="s">
        <v>35</v>
      </c>
      <c r="D883" s="36" t="s">
        <v>61</v>
      </c>
      <c r="E883" s="91">
        <v>47129</v>
      </c>
      <c r="F883" s="94">
        <v>67200</v>
      </c>
      <c r="G883" s="94">
        <v>67200</v>
      </c>
    </row>
    <row r="884" spans="1:7">
      <c r="A884" s="33" t="s">
        <v>789</v>
      </c>
      <c r="B884" s="33" t="s">
        <v>54</v>
      </c>
      <c r="C884" s="33" t="s">
        <v>35</v>
      </c>
      <c r="D884" s="36" t="s">
        <v>61</v>
      </c>
      <c r="E884" s="93">
        <v>47310</v>
      </c>
      <c r="F884" s="94">
        <v>67200</v>
      </c>
      <c r="G884" s="94">
        <v>67200</v>
      </c>
    </row>
    <row r="885" spans="1:7">
      <c r="A885" s="33" t="s">
        <v>789</v>
      </c>
      <c r="B885" s="33" t="s">
        <v>54</v>
      </c>
      <c r="C885" s="33" t="s">
        <v>35</v>
      </c>
      <c r="D885" s="36" t="s">
        <v>61</v>
      </c>
      <c r="E885" s="91">
        <v>47494</v>
      </c>
      <c r="F885" s="94">
        <v>67200</v>
      </c>
      <c r="G885" s="94">
        <v>67200</v>
      </c>
    </row>
    <row r="886" spans="1:7">
      <c r="A886" s="33" t="s">
        <v>789</v>
      </c>
      <c r="B886" s="33" t="s">
        <v>54</v>
      </c>
      <c r="C886" s="33" t="s">
        <v>35</v>
      </c>
      <c r="D886" s="36" t="s">
        <v>61</v>
      </c>
      <c r="E886" s="93">
        <v>47675</v>
      </c>
      <c r="F886" s="94">
        <v>67200</v>
      </c>
      <c r="G886" s="94">
        <v>67200</v>
      </c>
    </row>
    <row r="887" spans="1:7">
      <c r="A887" s="33" t="s">
        <v>789</v>
      </c>
      <c r="B887" s="33" t="s">
        <v>54</v>
      </c>
      <c r="C887" s="33" t="s">
        <v>35</v>
      </c>
      <c r="D887" s="36" t="s">
        <v>61</v>
      </c>
      <c r="E887" s="91">
        <v>47859</v>
      </c>
      <c r="F887" s="94">
        <v>67200</v>
      </c>
      <c r="G887" s="94">
        <v>67200</v>
      </c>
    </row>
    <row r="888" spans="1:7">
      <c r="A888" s="33" t="s">
        <v>789</v>
      </c>
      <c r="B888" s="33" t="s">
        <v>54</v>
      </c>
      <c r="C888" s="33" t="s">
        <v>35</v>
      </c>
      <c r="D888" s="36" t="s">
        <v>61</v>
      </c>
      <c r="E888" s="93">
        <v>48040</v>
      </c>
      <c r="F888" s="94">
        <v>67200</v>
      </c>
      <c r="G888" s="94">
        <v>67200</v>
      </c>
    </row>
    <row r="889" spans="1:7">
      <c r="A889" s="33" t="s">
        <v>789</v>
      </c>
      <c r="B889" s="33" t="s">
        <v>54</v>
      </c>
      <c r="C889" s="33" t="s">
        <v>35</v>
      </c>
      <c r="D889" s="36" t="s">
        <v>61</v>
      </c>
      <c r="E889" s="91">
        <v>48224</v>
      </c>
      <c r="F889" s="94">
        <v>67200</v>
      </c>
      <c r="G889" s="94">
        <v>5667200</v>
      </c>
    </row>
    <row r="890" spans="1:7">
      <c r="A890" s="87" t="s">
        <v>626</v>
      </c>
      <c r="B890" s="87" t="s">
        <v>754</v>
      </c>
      <c r="C890" s="88" t="s">
        <v>67</v>
      </c>
      <c r="D890" s="87" t="s">
        <v>61</v>
      </c>
      <c r="E890" s="89">
        <v>45302</v>
      </c>
      <c r="F890" s="90">
        <v>21600</v>
      </c>
      <c r="G890" s="90">
        <v>21600</v>
      </c>
    </row>
    <row r="891" spans="1:7">
      <c r="A891" s="33" t="s">
        <v>626</v>
      </c>
      <c r="B891" s="33" t="s">
        <v>754</v>
      </c>
      <c r="C891" s="48" t="s">
        <v>67</v>
      </c>
      <c r="D891" s="33" t="s">
        <v>61</v>
      </c>
      <c r="E891" s="93">
        <v>45484</v>
      </c>
      <c r="F891" s="94">
        <v>21600</v>
      </c>
      <c r="G891" s="94">
        <v>21600</v>
      </c>
    </row>
    <row r="892" spans="1:7">
      <c r="A892" s="33" t="s">
        <v>789</v>
      </c>
      <c r="B892" s="33" t="s">
        <v>754</v>
      </c>
      <c r="C892" s="48" t="s">
        <v>67</v>
      </c>
      <c r="D892" s="33" t="s">
        <v>61</v>
      </c>
      <c r="E892" s="91">
        <v>45668</v>
      </c>
      <c r="F892" s="94">
        <v>21600</v>
      </c>
      <c r="G892" s="94">
        <v>21600</v>
      </c>
    </row>
    <row r="893" spans="1:7">
      <c r="A893" s="33" t="s">
        <v>789</v>
      </c>
      <c r="B893" s="33" t="s">
        <v>754</v>
      </c>
      <c r="C893" s="48" t="s">
        <v>67</v>
      </c>
      <c r="D893" s="33" t="s">
        <v>61</v>
      </c>
      <c r="E893" s="93">
        <v>45849</v>
      </c>
      <c r="F893" s="94">
        <v>21600</v>
      </c>
      <c r="G893" s="94">
        <v>21600</v>
      </c>
    </row>
    <row r="894" spans="1:7">
      <c r="A894" s="33" t="s">
        <v>789</v>
      </c>
      <c r="B894" s="33" t="s">
        <v>754</v>
      </c>
      <c r="C894" s="48" t="s">
        <v>67</v>
      </c>
      <c r="D894" s="33" t="s">
        <v>61</v>
      </c>
      <c r="E894" s="91">
        <v>46033</v>
      </c>
      <c r="F894" s="94">
        <v>21600</v>
      </c>
      <c r="G894" s="94">
        <v>21600</v>
      </c>
    </row>
    <row r="895" spans="1:7">
      <c r="A895" s="33" t="s">
        <v>789</v>
      </c>
      <c r="B895" s="33" t="s">
        <v>754</v>
      </c>
      <c r="C895" s="48" t="s">
        <v>67</v>
      </c>
      <c r="D895" s="33" t="s">
        <v>61</v>
      </c>
      <c r="E895" s="93">
        <v>46214</v>
      </c>
      <c r="F895" s="94">
        <v>21600</v>
      </c>
      <c r="G895" s="94">
        <v>21600</v>
      </c>
    </row>
    <row r="896" spans="1:7">
      <c r="A896" s="33" t="s">
        <v>789</v>
      </c>
      <c r="B896" s="33" t="s">
        <v>754</v>
      </c>
      <c r="C896" s="48" t="s">
        <v>67</v>
      </c>
      <c r="D896" s="33" t="s">
        <v>61</v>
      </c>
      <c r="E896" s="91">
        <v>46398</v>
      </c>
      <c r="F896" s="94">
        <v>21600</v>
      </c>
      <c r="G896" s="94">
        <v>21600</v>
      </c>
    </row>
    <row r="897" spans="1:7">
      <c r="A897" s="33" t="s">
        <v>789</v>
      </c>
      <c r="B897" s="33" t="s">
        <v>754</v>
      </c>
      <c r="C897" s="48" t="s">
        <v>67</v>
      </c>
      <c r="D897" s="33" t="s">
        <v>61</v>
      </c>
      <c r="E897" s="93">
        <v>46579</v>
      </c>
      <c r="F897" s="94">
        <v>21600</v>
      </c>
      <c r="G897" s="94">
        <v>21600</v>
      </c>
    </row>
    <row r="898" spans="1:7">
      <c r="A898" s="33" t="s">
        <v>789</v>
      </c>
      <c r="B898" s="33" t="s">
        <v>754</v>
      </c>
      <c r="C898" s="48" t="s">
        <v>67</v>
      </c>
      <c r="D898" s="33" t="s">
        <v>61</v>
      </c>
      <c r="E898" s="91">
        <v>46763</v>
      </c>
      <c r="F898" s="94">
        <v>21600</v>
      </c>
      <c r="G898" s="94">
        <v>21600</v>
      </c>
    </row>
    <row r="899" spans="1:7">
      <c r="A899" s="33" t="s">
        <v>789</v>
      </c>
      <c r="B899" s="33" t="s">
        <v>754</v>
      </c>
      <c r="C899" s="48" t="s">
        <v>67</v>
      </c>
      <c r="D899" s="33" t="s">
        <v>61</v>
      </c>
      <c r="E899" s="93">
        <v>46945</v>
      </c>
      <c r="F899" s="94">
        <v>21600</v>
      </c>
      <c r="G899" s="94">
        <v>21600</v>
      </c>
    </row>
    <row r="900" spans="1:7">
      <c r="A900" s="33" t="s">
        <v>789</v>
      </c>
      <c r="B900" s="33" t="s">
        <v>754</v>
      </c>
      <c r="C900" s="48" t="s">
        <v>67</v>
      </c>
      <c r="D900" s="33" t="s">
        <v>61</v>
      </c>
      <c r="E900" s="91">
        <v>47129</v>
      </c>
      <c r="F900" s="94">
        <v>21600</v>
      </c>
      <c r="G900" s="94">
        <v>21600</v>
      </c>
    </row>
    <row r="901" spans="1:7">
      <c r="A901" s="33" t="s">
        <v>789</v>
      </c>
      <c r="B901" s="33" t="s">
        <v>754</v>
      </c>
      <c r="C901" s="48" t="s">
        <v>67</v>
      </c>
      <c r="D901" s="33" t="s">
        <v>61</v>
      </c>
      <c r="E901" s="93">
        <v>47310</v>
      </c>
      <c r="F901" s="94">
        <v>21600</v>
      </c>
      <c r="G901" s="94">
        <v>21600</v>
      </c>
    </row>
    <row r="902" spans="1:7">
      <c r="A902" s="33" t="s">
        <v>789</v>
      </c>
      <c r="B902" s="33" t="s">
        <v>754</v>
      </c>
      <c r="C902" s="48" t="s">
        <v>67</v>
      </c>
      <c r="D902" s="33" t="s">
        <v>61</v>
      </c>
      <c r="E902" s="91">
        <v>47494</v>
      </c>
      <c r="F902" s="94">
        <v>21600</v>
      </c>
      <c r="G902" s="94">
        <v>21600</v>
      </c>
    </row>
    <row r="903" spans="1:7">
      <c r="A903" s="33" t="s">
        <v>789</v>
      </c>
      <c r="B903" s="33" t="s">
        <v>754</v>
      </c>
      <c r="C903" s="48" t="s">
        <v>67</v>
      </c>
      <c r="D903" s="33" t="s">
        <v>61</v>
      </c>
      <c r="E903" s="93">
        <v>47675</v>
      </c>
      <c r="F903" s="94">
        <v>21600</v>
      </c>
      <c r="G903" s="94">
        <v>21600</v>
      </c>
    </row>
    <row r="904" spans="1:7">
      <c r="A904" s="33" t="s">
        <v>789</v>
      </c>
      <c r="B904" s="33" t="s">
        <v>754</v>
      </c>
      <c r="C904" s="48" t="s">
        <v>67</v>
      </c>
      <c r="D904" s="33" t="s">
        <v>61</v>
      </c>
      <c r="E904" s="91">
        <v>47859</v>
      </c>
      <c r="F904" s="94">
        <v>21600</v>
      </c>
      <c r="G904" s="94">
        <v>21600</v>
      </c>
    </row>
    <row r="905" spans="1:7">
      <c r="A905" s="33" t="s">
        <v>789</v>
      </c>
      <c r="B905" s="33" t="s">
        <v>754</v>
      </c>
      <c r="C905" s="48" t="s">
        <v>67</v>
      </c>
      <c r="D905" s="33" t="s">
        <v>61</v>
      </c>
      <c r="E905" s="93">
        <v>48040</v>
      </c>
      <c r="F905" s="94">
        <v>21600</v>
      </c>
      <c r="G905" s="94">
        <v>21600</v>
      </c>
    </row>
    <row r="906" spans="1:7">
      <c r="A906" s="33" t="s">
        <v>789</v>
      </c>
      <c r="B906" s="33" t="s">
        <v>754</v>
      </c>
      <c r="C906" s="48" t="s">
        <v>67</v>
      </c>
      <c r="D906" s="33" t="s">
        <v>61</v>
      </c>
      <c r="E906" s="91">
        <v>48224</v>
      </c>
      <c r="F906" s="94">
        <v>21600</v>
      </c>
      <c r="G906" s="94">
        <v>1821600</v>
      </c>
    </row>
    <row r="907" spans="1:7">
      <c r="A907" s="87" t="s">
        <v>85</v>
      </c>
      <c r="B907" s="87" t="s">
        <v>54</v>
      </c>
      <c r="C907" s="88" t="s">
        <v>43</v>
      </c>
      <c r="D907" s="87" t="s">
        <v>61</v>
      </c>
      <c r="E907" s="89">
        <v>45144</v>
      </c>
      <c r="F907" s="90">
        <v>66000</v>
      </c>
      <c r="G907" s="90">
        <v>66000</v>
      </c>
    </row>
    <row r="908" spans="1:7">
      <c r="A908" s="33" t="s">
        <v>85</v>
      </c>
      <c r="B908" s="33" t="s">
        <v>54</v>
      </c>
      <c r="C908" s="33" t="s">
        <v>60</v>
      </c>
      <c r="D908" s="36" t="s">
        <v>61</v>
      </c>
      <c r="E908" s="91">
        <v>45328</v>
      </c>
      <c r="F908" s="92">
        <v>66000</v>
      </c>
      <c r="G908" s="92">
        <v>66000</v>
      </c>
    </row>
    <row r="909" spans="1:7">
      <c r="A909" s="33" t="s">
        <v>85</v>
      </c>
      <c r="B909" s="33" t="s">
        <v>54</v>
      </c>
      <c r="C909" s="33" t="s">
        <v>60</v>
      </c>
      <c r="D909" s="36" t="s">
        <v>61</v>
      </c>
      <c r="E909" s="91">
        <v>45510</v>
      </c>
      <c r="F909" s="92">
        <v>66000</v>
      </c>
      <c r="G909" s="92">
        <v>66000</v>
      </c>
    </row>
    <row r="910" spans="1:7">
      <c r="A910" s="33" t="s">
        <v>85</v>
      </c>
      <c r="B910" s="33" t="s">
        <v>54</v>
      </c>
      <c r="C910" s="33" t="s">
        <v>60</v>
      </c>
      <c r="D910" s="36" t="s">
        <v>61</v>
      </c>
      <c r="E910" s="91">
        <v>45694</v>
      </c>
      <c r="F910" s="92">
        <v>66000</v>
      </c>
      <c r="G910" s="92">
        <v>66000</v>
      </c>
    </row>
    <row r="911" spans="1:7">
      <c r="A911" s="33" t="s">
        <v>85</v>
      </c>
      <c r="B911" s="33" t="s">
        <v>54</v>
      </c>
      <c r="C911" s="33" t="s">
        <v>60</v>
      </c>
      <c r="D911" s="36" t="s">
        <v>61</v>
      </c>
      <c r="E911" s="91">
        <v>45875</v>
      </c>
      <c r="F911" s="92">
        <v>66000</v>
      </c>
      <c r="G911" s="92">
        <v>66000</v>
      </c>
    </row>
    <row r="912" spans="1:7">
      <c r="A912" s="33" t="s">
        <v>85</v>
      </c>
      <c r="B912" s="33" t="s">
        <v>54</v>
      </c>
      <c r="C912" s="33" t="s">
        <v>60</v>
      </c>
      <c r="D912" s="36" t="s">
        <v>61</v>
      </c>
      <c r="E912" s="91">
        <v>46059</v>
      </c>
      <c r="F912" s="92">
        <v>66000</v>
      </c>
      <c r="G912" s="92">
        <v>66000</v>
      </c>
    </row>
    <row r="913" spans="1:7">
      <c r="A913" s="33" t="s">
        <v>85</v>
      </c>
      <c r="B913" s="33" t="s">
        <v>54</v>
      </c>
      <c r="C913" s="33" t="s">
        <v>60</v>
      </c>
      <c r="D913" s="36" t="s">
        <v>61</v>
      </c>
      <c r="E913" s="91">
        <v>46240</v>
      </c>
      <c r="F913" s="92">
        <v>66000</v>
      </c>
      <c r="G913" s="92">
        <v>66000</v>
      </c>
    </row>
    <row r="914" spans="1:7">
      <c r="A914" s="33" t="s">
        <v>85</v>
      </c>
      <c r="B914" s="33" t="s">
        <v>54</v>
      </c>
      <c r="C914" s="33" t="s">
        <v>60</v>
      </c>
      <c r="D914" s="36" t="s">
        <v>61</v>
      </c>
      <c r="E914" s="91">
        <v>46424</v>
      </c>
      <c r="F914" s="92">
        <v>66000</v>
      </c>
      <c r="G914" s="92">
        <v>4066000</v>
      </c>
    </row>
    <row r="915" spans="1:7">
      <c r="A915" s="87" t="s">
        <v>360</v>
      </c>
      <c r="B915" s="87" t="s">
        <v>77</v>
      </c>
      <c r="C915" s="88" t="s">
        <v>43</v>
      </c>
      <c r="D915" s="87" t="s">
        <v>61</v>
      </c>
      <c r="E915" s="89">
        <v>45196</v>
      </c>
      <c r="F915" s="90">
        <v>12411.75</v>
      </c>
      <c r="G915" s="90">
        <v>12411.75</v>
      </c>
    </row>
    <row r="916" spans="1:7">
      <c r="A916" s="33" t="s">
        <v>360</v>
      </c>
      <c r="B916" s="33" t="s">
        <v>77</v>
      </c>
      <c r="C916" s="48" t="s">
        <v>43</v>
      </c>
      <c r="D916" s="33" t="s">
        <v>61</v>
      </c>
      <c r="E916" s="93">
        <v>45378</v>
      </c>
      <c r="F916" s="94">
        <v>12411.75</v>
      </c>
      <c r="G916" s="94">
        <v>12411.75</v>
      </c>
    </row>
    <row r="917" spans="1:7">
      <c r="A917" s="33" t="s">
        <v>790</v>
      </c>
      <c r="B917" s="33" t="s">
        <v>77</v>
      </c>
      <c r="C917" s="48" t="s">
        <v>43</v>
      </c>
      <c r="D917" s="33" t="s">
        <v>61</v>
      </c>
      <c r="E917" s="93">
        <v>45562</v>
      </c>
      <c r="F917" s="94">
        <v>12411.75</v>
      </c>
      <c r="G917" s="94">
        <v>12411.75</v>
      </c>
    </row>
    <row r="918" spans="1:7">
      <c r="A918" s="33" t="s">
        <v>790</v>
      </c>
      <c r="B918" s="33" t="s">
        <v>77</v>
      </c>
      <c r="C918" s="48" t="s">
        <v>43</v>
      </c>
      <c r="D918" s="33" t="s">
        <v>61</v>
      </c>
      <c r="E918" s="93">
        <v>45743</v>
      </c>
      <c r="F918" s="94">
        <v>12411.75</v>
      </c>
      <c r="G918" s="94">
        <v>12411.75</v>
      </c>
    </row>
    <row r="919" spans="1:7">
      <c r="A919" s="33" t="s">
        <v>790</v>
      </c>
      <c r="B919" s="33" t="s">
        <v>77</v>
      </c>
      <c r="C919" s="48" t="s">
        <v>43</v>
      </c>
      <c r="D919" s="33" t="s">
        <v>61</v>
      </c>
      <c r="E919" s="93">
        <v>45927</v>
      </c>
      <c r="F919" s="94">
        <v>12411.75</v>
      </c>
      <c r="G919" s="94">
        <v>12411.75</v>
      </c>
    </row>
    <row r="920" spans="1:7">
      <c r="A920" s="33" t="s">
        <v>790</v>
      </c>
      <c r="B920" s="33" t="s">
        <v>77</v>
      </c>
      <c r="C920" s="48" t="s">
        <v>43</v>
      </c>
      <c r="D920" s="33" t="s">
        <v>61</v>
      </c>
      <c r="E920" s="93">
        <v>46108</v>
      </c>
      <c r="F920" s="94">
        <v>12411.75</v>
      </c>
      <c r="G920" s="94">
        <v>12411.75</v>
      </c>
    </row>
    <row r="921" spans="1:7">
      <c r="A921" s="33" t="s">
        <v>790</v>
      </c>
      <c r="B921" s="33" t="s">
        <v>77</v>
      </c>
      <c r="C921" s="48" t="s">
        <v>43</v>
      </c>
      <c r="D921" s="33" t="s">
        <v>61</v>
      </c>
      <c r="E921" s="93">
        <v>46292</v>
      </c>
      <c r="F921" s="94">
        <v>12411.75</v>
      </c>
      <c r="G921" s="94">
        <v>12411.75</v>
      </c>
    </row>
    <row r="922" spans="1:7">
      <c r="A922" s="33" t="s">
        <v>790</v>
      </c>
      <c r="B922" s="33" t="s">
        <v>77</v>
      </c>
      <c r="C922" s="48" t="s">
        <v>43</v>
      </c>
      <c r="D922" s="33" t="s">
        <v>61</v>
      </c>
      <c r="E922" s="93">
        <v>46473</v>
      </c>
      <c r="F922" s="94">
        <v>12411.75</v>
      </c>
      <c r="G922" s="94">
        <v>12411.75</v>
      </c>
    </row>
    <row r="923" spans="1:7">
      <c r="A923" s="33" t="s">
        <v>790</v>
      </c>
      <c r="B923" s="33" t="s">
        <v>77</v>
      </c>
      <c r="C923" s="48" t="s">
        <v>43</v>
      </c>
      <c r="D923" s="33" t="s">
        <v>61</v>
      </c>
      <c r="E923" s="93">
        <v>46657</v>
      </c>
      <c r="F923" s="94">
        <v>12411.75</v>
      </c>
      <c r="G923" s="94">
        <v>12411.75</v>
      </c>
    </row>
    <row r="924" spans="1:7">
      <c r="A924" s="33" t="s">
        <v>790</v>
      </c>
      <c r="B924" s="33" t="s">
        <v>77</v>
      </c>
      <c r="C924" s="48" t="s">
        <v>43</v>
      </c>
      <c r="D924" s="33" t="s">
        <v>61</v>
      </c>
      <c r="E924" s="93">
        <v>46839</v>
      </c>
      <c r="F924" s="94">
        <v>12411.75</v>
      </c>
      <c r="G924" s="94">
        <v>12411.75</v>
      </c>
    </row>
    <row r="925" spans="1:7">
      <c r="A925" s="33" t="s">
        <v>790</v>
      </c>
      <c r="B925" s="33" t="s">
        <v>77</v>
      </c>
      <c r="C925" s="48" t="s">
        <v>43</v>
      </c>
      <c r="D925" s="33" t="s">
        <v>61</v>
      </c>
      <c r="E925" s="93">
        <v>47023</v>
      </c>
      <c r="F925" s="94">
        <v>12411.75</v>
      </c>
      <c r="G925" s="94">
        <v>12411.75</v>
      </c>
    </row>
    <row r="926" spans="1:7">
      <c r="A926" s="33" t="s">
        <v>790</v>
      </c>
      <c r="B926" s="33" t="s">
        <v>77</v>
      </c>
      <c r="C926" s="48" t="s">
        <v>43</v>
      </c>
      <c r="D926" s="33" t="s">
        <v>61</v>
      </c>
      <c r="E926" s="93">
        <v>47204</v>
      </c>
      <c r="F926" s="94">
        <v>12411.75</v>
      </c>
      <c r="G926" s="94">
        <v>12411.75</v>
      </c>
    </row>
    <row r="927" spans="1:7">
      <c r="A927" s="33" t="s">
        <v>790</v>
      </c>
      <c r="B927" s="33" t="s">
        <v>77</v>
      </c>
      <c r="C927" s="48" t="s">
        <v>43</v>
      </c>
      <c r="D927" s="33" t="s">
        <v>61</v>
      </c>
      <c r="E927" s="93">
        <v>47388</v>
      </c>
      <c r="F927" s="94">
        <v>12411.75</v>
      </c>
      <c r="G927" s="94">
        <v>12411.75</v>
      </c>
    </row>
    <row r="928" spans="1:7">
      <c r="A928" s="33" t="s">
        <v>790</v>
      </c>
      <c r="B928" s="33" t="s">
        <v>77</v>
      </c>
      <c r="C928" s="48" t="s">
        <v>43</v>
      </c>
      <c r="D928" s="33" t="s">
        <v>61</v>
      </c>
      <c r="E928" s="93">
        <v>47569</v>
      </c>
      <c r="F928" s="94">
        <v>12411.75</v>
      </c>
      <c r="G928" s="94">
        <v>883411.75</v>
      </c>
    </row>
    <row r="929" spans="1:7">
      <c r="A929" s="87" t="s">
        <v>371</v>
      </c>
      <c r="B929" s="87" t="s">
        <v>101</v>
      </c>
      <c r="C929" s="88" t="s">
        <v>43</v>
      </c>
      <c r="D929" s="87" t="s">
        <v>61</v>
      </c>
      <c r="E929" s="89">
        <v>45200</v>
      </c>
      <c r="F929" s="90">
        <v>28500</v>
      </c>
      <c r="G929" s="90">
        <v>28500</v>
      </c>
    </row>
    <row r="930" spans="1:7">
      <c r="A930" s="33" t="s">
        <v>371</v>
      </c>
      <c r="B930" s="33" t="s">
        <v>101</v>
      </c>
      <c r="C930" s="48" t="s">
        <v>43</v>
      </c>
      <c r="D930" s="33" t="s">
        <v>61</v>
      </c>
      <c r="E930" s="91">
        <v>45383</v>
      </c>
      <c r="F930" s="92">
        <v>28500</v>
      </c>
      <c r="G930" s="92">
        <v>28500</v>
      </c>
    </row>
    <row r="931" spans="1:7">
      <c r="A931" s="33" t="s">
        <v>371</v>
      </c>
      <c r="B931" s="33" t="s">
        <v>101</v>
      </c>
      <c r="C931" s="48" t="s">
        <v>43</v>
      </c>
      <c r="D931" s="33" t="s">
        <v>61</v>
      </c>
      <c r="E931" s="91">
        <v>45566</v>
      </c>
      <c r="F931" s="92">
        <v>28500</v>
      </c>
      <c r="G931" s="92">
        <v>28500</v>
      </c>
    </row>
    <row r="932" spans="1:7">
      <c r="A932" s="33" t="s">
        <v>371</v>
      </c>
      <c r="B932" s="33" t="s">
        <v>101</v>
      </c>
      <c r="C932" s="48" t="s">
        <v>43</v>
      </c>
      <c r="D932" s="33" t="s">
        <v>61</v>
      </c>
      <c r="E932" s="91">
        <v>45748</v>
      </c>
      <c r="F932" s="92">
        <v>28500</v>
      </c>
      <c r="G932" s="92">
        <v>28500</v>
      </c>
    </row>
    <row r="933" spans="1:7">
      <c r="A933" s="33" t="s">
        <v>371</v>
      </c>
      <c r="B933" s="33" t="s">
        <v>101</v>
      </c>
      <c r="C933" s="48" t="s">
        <v>43</v>
      </c>
      <c r="D933" s="33" t="s">
        <v>61</v>
      </c>
      <c r="E933" s="91">
        <v>45931</v>
      </c>
      <c r="F933" s="92">
        <v>28500</v>
      </c>
      <c r="G933" s="92">
        <v>28500</v>
      </c>
    </row>
    <row r="934" spans="1:7">
      <c r="A934" s="33" t="s">
        <v>371</v>
      </c>
      <c r="B934" s="33" t="s">
        <v>101</v>
      </c>
      <c r="C934" s="48" t="s">
        <v>43</v>
      </c>
      <c r="D934" s="33" t="s">
        <v>61</v>
      </c>
      <c r="E934" s="91">
        <v>46113</v>
      </c>
      <c r="F934" s="92">
        <v>28500</v>
      </c>
      <c r="G934" s="92">
        <v>28500</v>
      </c>
    </row>
    <row r="935" spans="1:7">
      <c r="A935" s="33" t="s">
        <v>371</v>
      </c>
      <c r="B935" s="33" t="s">
        <v>101</v>
      </c>
      <c r="C935" s="48" t="s">
        <v>43</v>
      </c>
      <c r="D935" s="33" t="s">
        <v>61</v>
      </c>
      <c r="E935" s="91">
        <v>46296</v>
      </c>
      <c r="F935" s="92">
        <v>28500</v>
      </c>
      <c r="G935" s="92">
        <v>28500</v>
      </c>
    </row>
    <row r="936" spans="1:7">
      <c r="A936" s="33" t="s">
        <v>371</v>
      </c>
      <c r="B936" s="33" t="s">
        <v>101</v>
      </c>
      <c r="C936" s="48" t="s">
        <v>43</v>
      </c>
      <c r="D936" s="33" t="s">
        <v>61</v>
      </c>
      <c r="E936" s="91">
        <v>46478</v>
      </c>
      <c r="F936" s="92">
        <v>28500</v>
      </c>
      <c r="G936" s="92">
        <v>28500</v>
      </c>
    </row>
    <row r="937" spans="1:7">
      <c r="A937" s="33" t="s">
        <v>371</v>
      </c>
      <c r="B937" s="33" t="s">
        <v>101</v>
      </c>
      <c r="C937" s="48" t="s">
        <v>43</v>
      </c>
      <c r="D937" s="33" t="s">
        <v>61</v>
      </c>
      <c r="E937" s="91">
        <v>46661</v>
      </c>
      <c r="F937" s="92">
        <v>28500</v>
      </c>
      <c r="G937" s="92">
        <v>28500</v>
      </c>
    </row>
    <row r="938" spans="1:7">
      <c r="A938" s="33" t="s">
        <v>371</v>
      </c>
      <c r="B938" s="33" t="s">
        <v>101</v>
      </c>
      <c r="C938" s="48" t="s">
        <v>43</v>
      </c>
      <c r="D938" s="33" t="s">
        <v>61</v>
      </c>
      <c r="E938" s="91">
        <v>46844</v>
      </c>
      <c r="F938" s="92">
        <v>28500</v>
      </c>
      <c r="G938" s="92">
        <v>28500</v>
      </c>
    </row>
    <row r="939" spans="1:7">
      <c r="A939" s="33" t="s">
        <v>371</v>
      </c>
      <c r="B939" s="33" t="s">
        <v>101</v>
      </c>
      <c r="C939" s="48" t="s">
        <v>43</v>
      </c>
      <c r="D939" s="33" t="s">
        <v>61</v>
      </c>
      <c r="E939" s="91">
        <v>47027</v>
      </c>
      <c r="F939" s="92">
        <v>28500</v>
      </c>
      <c r="G939" s="92">
        <v>28500</v>
      </c>
    </row>
    <row r="940" spans="1:7">
      <c r="A940" s="33" t="s">
        <v>371</v>
      </c>
      <c r="B940" s="33" t="s">
        <v>101</v>
      </c>
      <c r="C940" s="48" t="s">
        <v>43</v>
      </c>
      <c r="D940" s="33" t="s">
        <v>61</v>
      </c>
      <c r="E940" s="91">
        <v>47209</v>
      </c>
      <c r="F940" s="92">
        <v>28500</v>
      </c>
      <c r="G940" s="92">
        <v>28500</v>
      </c>
    </row>
    <row r="941" spans="1:7">
      <c r="A941" s="33" t="s">
        <v>371</v>
      </c>
      <c r="B941" s="33" t="s">
        <v>101</v>
      </c>
      <c r="C941" s="48" t="s">
        <v>43</v>
      </c>
      <c r="D941" s="33" t="s">
        <v>61</v>
      </c>
      <c r="E941" s="91">
        <v>47392</v>
      </c>
      <c r="F941" s="92">
        <v>28500</v>
      </c>
      <c r="G941" s="92">
        <v>28500</v>
      </c>
    </row>
    <row r="942" spans="1:7">
      <c r="A942" s="33" t="s">
        <v>371</v>
      </c>
      <c r="B942" s="33" t="s">
        <v>101</v>
      </c>
      <c r="C942" s="48" t="s">
        <v>43</v>
      </c>
      <c r="D942" s="33" t="s">
        <v>61</v>
      </c>
      <c r="E942" s="91">
        <v>47574</v>
      </c>
      <c r="F942" s="92">
        <v>28500</v>
      </c>
      <c r="G942" s="92">
        <v>2028500</v>
      </c>
    </row>
    <row r="943" spans="1:7">
      <c r="A943" s="87" t="s">
        <v>791</v>
      </c>
      <c r="B943" s="87" t="s">
        <v>54</v>
      </c>
      <c r="C943" s="88" t="s">
        <v>43</v>
      </c>
      <c r="D943" s="87" t="s">
        <v>61</v>
      </c>
      <c r="E943" s="89">
        <v>45519</v>
      </c>
      <c r="F943" s="90">
        <v>132500</v>
      </c>
      <c r="G943" s="90">
        <v>132500</v>
      </c>
    </row>
    <row r="944" spans="1:7">
      <c r="A944" s="56" t="s">
        <v>515</v>
      </c>
      <c r="B944" s="56" t="s">
        <v>233</v>
      </c>
      <c r="C944" s="57" t="s">
        <v>60</v>
      </c>
      <c r="D944" s="36" t="s">
        <v>61</v>
      </c>
      <c r="E944" s="93">
        <v>45703</v>
      </c>
      <c r="F944" s="46">
        <v>132500</v>
      </c>
      <c r="G944" s="46">
        <v>132500</v>
      </c>
    </row>
    <row r="945" spans="1:7">
      <c r="A945" s="56" t="s">
        <v>792</v>
      </c>
      <c r="B945" s="56" t="s">
        <v>233</v>
      </c>
      <c r="C945" s="57" t="s">
        <v>60</v>
      </c>
      <c r="D945" s="36" t="s">
        <v>61</v>
      </c>
      <c r="E945" s="93">
        <v>45884</v>
      </c>
      <c r="F945" s="46">
        <v>132500</v>
      </c>
      <c r="G945" s="46">
        <v>132500</v>
      </c>
    </row>
    <row r="946" spans="1:7">
      <c r="A946" s="56" t="s">
        <v>792</v>
      </c>
      <c r="B946" s="56" t="s">
        <v>233</v>
      </c>
      <c r="C946" s="57" t="s">
        <v>60</v>
      </c>
      <c r="D946" s="36" t="s">
        <v>61</v>
      </c>
      <c r="E946" s="93">
        <v>46068</v>
      </c>
      <c r="F946" s="46">
        <v>132500</v>
      </c>
      <c r="G946" s="46">
        <v>132500</v>
      </c>
    </row>
    <row r="947" spans="1:7">
      <c r="A947" s="56" t="s">
        <v>792</v>
      </c>
      <c r="B947" s="56" t="s">
        <v>233</v>
      </c>
      <c r="C947" s="57" t="s">
        <v>60</v>
      </c>
      <c r="D947" s="36" t="s">
        <v>61</v>
      </c>
      <c r="E947" s="93">
        <v>46249</v>
      </c>
      <c r="F947" s="46">
        <v>132500</v>
      </c>
      <c r="G947" s="46">
        <v>132500</v>
      </c>
    </row>
    <row r="948" spans="1:7">
      <c r="A948" s="56" t="s">
        <v>792</v>
      </c>
      <c r="B948" s="56" t="s">
        <v>233</v>
      </c>
      <c r="C948" s="57" t="s">
        <v>60</v>
      </c>
      <c r="D948" s="36" t="s">
        <v>61</v>
      </c>
      <c r="E948" s="93">
        <v>46433</v>
      </c>
      <c r="F948" s="46">
        <v>132500</v>
      </c>
      <c r="G948" s="46">
        <v>132500</v>
      </c>
    </row>
    <row r="949" spans="1:7">
      <c r="A949" s="56" t="s">
        <v>792</v>
      </c>
      <c r="B949" s="56" t="s">
        <v>233</v>
      </c>
      <c r="C949" s="57" t="s">
        <v>60</v>
      </c>
      <c r="D949" s="36" t="s">
        <v>61</v>
      </c>
      <c r="E949" s="93">
        <v>46614</v>
      </c>
      <c r="F949" s="46">
        <v>132500</v>
      </c>
      <c r="G949" s="46">
        <v>132500</v>
      </c>
    </row>
    <row r="950" spans="1:7">
      <c r="A950" s="56" t="s">
        <v>792</v>
      </c>
      <c r="B950" s="56" t="s">
        <v>233</v>
      </c>
      <c r="C950" s="57" t="s">
        <v>60</v>
      </c>
      <c r="D950" s="36" t="s">
        <v>61</v>
      </c>
      <c r="E950" s="93">
        <v>46798</v>
      </c>
      <c r="F950" s="46">
        <v>132500</v>
      </c>
      <c r="G950" s="46">
        <v>132500</v>
      </c>
    </row>
    <row r="951" spans="1:7">
      <c r="A951" s="56" t="s">
        <v>792</v>
      </c>
      <c r="B951" s="56" t="s">
        <v>233</v>
      </c>
      <c r="C951" s="57" t="s">
        <v>60</v>
      </c>
      <c r="D951" s="36" t="s">
        <v>61</v>
      </c>
      <c r="E951" s="93">
        <v>46980</v>
      </c>
      <c r="F951" s="46">
        <v>132500</v>
      </c>
      <c r="G951" s="46">
        <v>132500</v>
      </c>
    </row>
    <row r="952" spans="1:7">
      <c r="A952" s="56" t="s">
        <v>792</v>
      </c>
      <c r="B952" s="56" t="s">
        <v>233</v>
      </c>
      <c r="C952" s="57" t="s">
        <v>60</v>
      </c>
      <c r="D952" s="36" t="s">
        <v>61</v>
      </c>
      <c r="E952" s="93">
        <v>47164</v>
      </c>
      <c r="F952" s="46">
        <v>132500</v>
      </c>
      <c r="G952" s="46">
        <v>132500</v>
      </c>
    </row>
    <row r="953" spans="1:7">
      <c r="A953" s="56" t="s">
        <v>792</v>
      </c>
      <c r="B953" s="56" t="s">
        <v>233</v>
      </c>
      <c r="C953" s="57" t="s">
        <v>60</v>
      </c>
      <c r="D953" s="36" t="s">
        <v>61</v>
      </c>
      <c r="E953" s="93">
        <v>47345</v>
      </c>
      <c r="F953" s="46">
        <v>132500</v>
      </c>
      <c r="G953" s="46">
        <v>132500</v>
      </c>
    </row>
    <row r="954" spans="1:7">
      <c r="A954" s="56" t="s">
        <v>792</v>
      </c>
      <c r="B954" s="56" t="s">
        <v>233</v>
      </c>
      <c r="C954" s="57" t="s">
        <v>60</v>
      </c>
      <c r="D954" s="36" t="s">
        <v>61</v>
      </c>
      <c r="E954" s="93">
        <v>47529</v>
      </c>
      <c r="F954" s="46">
        <v>132500</v>
      </c>
      <c r="G954" s="46">
        <v>132500</v>
      </c>
    </row>
    <row r="955" spans="1:7">
      <c r="A955" s="56" t="s">
        <v>792</v>
      </c>
      <c r="B955" s="56" t="s">
        <v>233</v>
      </c>
      <c r="C955" s="57" t="s">
        <v>60</v>
      </c>
      <c r="D955" s="36" t="s">
        <v>61</v>
      </c>
      <c r="E955" s="93">
        <v>47710</v>
      </c>
      <c r="F955" s="46">
        <v>132500</v>
      </c>
      <c r="G955" s="46">
        <v>132500</v>
      </c>
    </row>
    <row r="956" spans="1:7">
      <c r="A956" s="56" t="s">
        <v>792</v>
      </c>
      <c r="B956" s="56" t="s">
        <v>233</v>
      </c>
      <c r="C956" s="57" t="s">
        <v>60</v>
      </c>
      <c r="D956" s="36" t="s">
        <v>61</v>
      </c>
      <c r="E956" s="93">
        <v>47894</v>
      </c>
      <c r="F956" s="46">
        <v>132500</v>
      </c>
      <c r="G956" s="46">
        <v>5132500</v>
      </c>
    </row>
    <row r="957" spans="1:7">
      <c r="A957" s="87" t="s">
        <v>440</v>
      </c>
      <c r="B957" s="87" t="s">
        <v>223</v>
      </c>
      <c r="C957" s="88" t="s">
        <v>43</v>
      </c>
      <c r="D957" s="87" t="s">
        <v>61</v>
      </c>
      <c r="E957" s="89">
        <v>45444</v>
      </c>
      <c r="F957" s="90">
        <v>23000</v>
      </c>
      <c r="G957" s="90">
        <v>23000</v>
      </c>
    </row>
    <row r="958" spans="1:7">
      <c r="A958" s="33" t="s">
        <v>440</v>
      </c>
      <c r="B958" s="33" t="s">
        <v>223</v>
      </c>
      <c r="C958" s="33" t="s">
        <v>60</v>
      </c>
      <c r="D958" s="36" t="s">
        <v>61</v>
      </c>
      <c r="E958" s="93">
        <v>45627</v>
      </c>
      <c r="F958" s="94">
        <v>23000</v>
      </c>
      <c r="G958" s="94">
        <v>23000</v>
      </c>
    </row>
    <row r="959" spans="1:7">
      <c r="A959" s="33" t="s">
        <v>440</v>
      </c>
      <c r="B959" s="33" t="s">
        <v>223</v>
      </c>
      <c r="C959" s="33" t="s">
        <v>60</v>
      </c>
      <c r="D959" s="36" t="s">
        <v>61</v>
      </c>
      <c r="E959" s="93">
        <v>45809</v>
      </c>
      <c r="F959" s="94">
        <v>23000</v>
      </c>
      <c r="G959" s="94">
        <v>23000</v>
      </c>
    </row>
    <row r="960" spans="1:7">
      <c r="A960" s="33" t="s">
        <v>793</v>
      </c>
      <c r="B960" s="33" t="s">
        <v>223</v>
      </c>
      <c r="C960" s="33" t="s">
        <v>60</v>
      </c>
      <c r="D960" s="36" t="s">
        <v>61</v>
      </c>
      <c r="E960" s="93">
        <v>45992</v>
      </c>
      <c r="F960" s="94">
        <v>23000</v>
      </c>
      <c r="G960" s="94">
        <v>23000</v>
      </c>
    </row>
    <row r="961" spans="1:7">
      <c r="A961" s="33" t="s">
        <v>793</v>
      </c>
      <c r="B961" s="33" t="s">
        <v>223</v>
      </c>
      <c r="C961" s="33" t="s">
        <v>60</v>
      </c>
      <c r="D961" s="36" t="s">
        <v>61</v>
      </c>
      <c r="E961" s="93">
        <v>46174</v>
      </c>
      <c r="F961" s="94">
        <v>23000</v>
      </c>
      <c r="G961" s="94">
        <v>23000</v>
      </c>
    </row>
    <row r="962" spans="1:7">
      <c r="A962" s="33" t="s">
        <v>793</v>
      </c>
      <c r="B962" s="33" t="s">
        <v>223</v>
      </c>
      <c r="C962" s="33" t="s">
        <v>60</v>
      </c>
      <c r="D962" s="36" t="s">
        <v>61</v>
      </c>
      <c r="E962" s="93">
        <v>46357</v>
      </c>
      <c r="F962" s="94">
        <v>23000</v>
      </c>
      <c r="G962" s="94">
        <v>23000</v>
      </c>
    </row>
    <row r="963" spans="1:7">
      <c r="A963" s="33" t="s">
        <v>793</v>
      </c>
      <c r="B963" s="33" t="s">
        <v>223</v>
      </c>
      <c r="C963" s="33" t="s">
        <v>60</v>
      </c>
      <c r="D963" s="36" t="s">
        <v>61</v>
      </c>
      <c r="E963" s="93">
        <v>46539</v>
      </c>
      <c r="F963" s="94">
        <v>23000</v>
      </c>
      <c r="G963" s="94">
        <v>23000</v>
      </c>
    </row>
    <row r="964" spans="1:7">
      <c r="A964" s="33" t="s">
        <v>793</v>
      </c>
      <c r="B964" s="33" t="s">
        <v>223</v>
      </c>
      <c r="C964" s="33" t="s">
        <v>60</v>
      </c>
      <c r="D964" s="36" t="s">
        <v>61</v>
      </c>
      <c r="E964" s="93">
        <v>46722</v>
      </c>
      <c r="F964" s="94">
        <v>23000</v>
      </c>
      <c r="G964" s="94">
        <v>23000</v>
      </c>
    </row>
    <row r="965" spans="1:7">
      <c r="A965" s="33" t="s">
        <v>793</v>
      </c>
      <c r="B965" s="33" t="s">
        <v>223</v>
      </c>
      <c r="C965" s="33" t="s">
        <v>60</v>
      </c>
      <c r="D965" s="36" t="s">
        <v>61</v>
      </c>
      <c r="E965" s="93">
        <v>46905</v>
      </c>
      <c r="F965" s="94">
        <v>23000</v>
      </c>
      <c r="G965" s="94">
        <v>23000</v>
      </c>
    </row>
    <row r="966" spans="1:7">
      <c r="A966" s="33" t="s">
        <v>793</v>
      </c>
      <c r="B966" s="33" t="s">
        <v>223</v>
      </c>
      <c r="C966" s="33" t="s">
        <v>60</v>
      </c>
      <c r="D966" s="36" t="s">
        <v>61</v>
      </c>
      <c r="E966" s="93">
        <v>47088</v>
      </c>
      <c r="F966" s="94">
        <v>23000</v>
      </c>
      <c r="G966" s="94">
        <v>23000</v>
      </c>
    </row>
    <row r="967" spans="1:7">
      <c r="A967" s="33" t="s">
        <v>793</v>
      </c>
      <c r="B967" s="33" t="s">
        <v>223</v>
      </c>
      <c r="C967" s="33" t="s">
        <v>60</v>
      </c>
      <c r="D967" s="36" t="s">
        <v>61</v>
      </c>
      <c r="E967" s="93">
        <v>47270</v>
      </c>
      <c r="F967" s="94">
        <v>23000</v>
      </c>
      <c r="G967" s="94">
        <v>23000</v>
      </c>
    </row>
    <row r="968" spans="1:7">
      <c r="A968" s="33" t="s">
        <v>793</v>
      </c>
      <c r="B968" s="33" t="s">
        <v>223</v>
      </c>
      <c r="C968" s="33" t="s">
        <v>60</v>
      </c>
      <c r="D968" s="36" t="s">
        <v>61</v>
      </c>
      <c r="E968" s="93">
        <v>47453</v>
      </c>
      <c r="F968" s="94">
        <v>23000</v>
      </c>
      <c r="G968" s="94">
        <v>23000</v>
      </c>
    </row>
    <row r="969" spans="1:7">
      <c r="A969" s="33" t="s">
        <v>793</v>
      </c>
      <c r="B969" s="33" t="s">
        <v>223</v>
      </c>
      <c r="C969" s="33" t="s">
        <v>60</v>
      </c>
      <c r="D969" s="36" t="s">
        <v>61</v>
      </c>
      <c r="E969" s="93">
        <v>47635</v>
      </c>
      <c r="F969" s="94">
        <v>23000</v>
      </c>
      <c r="G969" s="94">
        <v>2023000</v>
      </c>
    </row>
    <row r="970" spans="1:7">
      <c r="A970" s="87" t="s">
        <v>440</v>
      </c>
      <c r="B970" s="87" t="s">
        <v>54</v>
      </c>
      <c r="C970" s="88" t="s">
        <v>43</v>
      </c>
      <c r="D970" s="87" t="s">
        <v>61</v>
      </c>
      <c r="E970" s="89">
        <v>45444</v>
      </c>
      <c r="F970" s="90">
        <v>28750</v>
      </c>
      <c r="G970" s="90">
        <v>28750</v>
      </c>
    </row>
    <row r="971" spans="1:7">
      <c r="A971" s="33" t="s">
        <v>440</v>
      </c>
      <c r="B971" s="33" t="s">
        <v>54</v>
      </c>
      <c r="C971" s="48" t="s">
        <v>43</v>
      </c>
      <c r="D971" s="33" t="s">
        <v>61</v>
      </c>
      <c r="E971" s="93">
        <v>45627</v>
      </c>
      <c r="F971" s="92">
        <v>28750</v>
      </c>
      <c r="G971" s="92">
        <v>28750</v>
      </c>
    </row>
    <row r="972" spans="1:7">
      <c r="A972" s="33" t="s">
        <v>440</v>
      </c>
      <c r="B972" s="33" t="s">
        <v>54</v>
      </c>
      <c r="C972" s="48" t="s">
        <v>43</v>
      </c>
      <c r="D972" s="33" t="s">
        <v>61</v>
      </c>
      <c r="E972" s="93">
        <v>45809</v>
      </c>
      <c r="F972" s="92">
        <v>28750</v>
      </c>
      <c r="G972" s="92">
        <v>28750</v>
      </c>
    </row>
    <row r="973" spans="1:7">
      <c r="A973" s="33" t="s">
        <v>793</v>
      </c>
      <c r="B973" s="33" t="s">
        <v>54</v>
      </c>
      <c r="C973" s="48" t="s">
        <v>43</v>
      </c>
      <c r="D973" s="33" t="s">
        <v>61</v>
      </c>
      <c r="E973" s="93">
        <v>45992</v>
      </c>
      <c r="F973" s="92">
        <v>28750</v>
      </c>
      <c r="G973" s="92">
        <v>28750</v>
      </c>
    </row>
    <row r="974" spans="1:7">
      <c r="A974" s="33" t="s">
        <v>793</v>
      </c>
      <c r="B974" s="33" t="s">
        <v>54</v>
      </c>
      <c r="C974" s="48" t="s">
        <v>43</v>
      </c>
      <c r="D974" s="33" t="s">
        <v>61</v>
      </c>
      <c r="E974" s="93">
        <v>46174</v>
      </c>
      <c r="F974" s="92">
        <v>28750</v>
      </c>
      <c r="G974" s="92">
        <v>28750</v>
      </c>
    </row>
    <row r="975" spans="1:7">
      <c r="A975" s="33" t="s">
        <v>793</v>
      </c>
      <c r="B975" s="33" t="s">
        <v>54</v>
      </c>
      <c r="C975" s="48" t="s">
        <v>43</v>
      </c>
      <c r="D975" s="33" t="s">
        <v>61</v>
      </c>
      <c r="E975" s="93">
        <v>46357</v>
      </c>
      <c r="F975" s="92">
        <v>28750</v>
      </c>
      <c r="G975" s="92">
        <v>28750</v>
      </c>
    </row>
    <row r="976" spans="1:7">
      <c r="A976" s="33" t="s">
        <v>793</v>
      </c>
      <c r="B976" s="33" t="s">
        <v>54</v>
      </c>
      <c r="C976" s="48" t="s">
        <v>43</v>
      </c>
      <c r="D976" s="33" t="s">
        <v>61</v>
      </c>
      <c r="E976" s="93">
        <v>46539</v>
      </c>
      <c r="F976" s="92">
        <v>28750</v>
      </c>
      <c r="G976" s="92">
        <v>28750</v>
      </c>
    </row>
    <row r="977" spans="1:7">
      <c r="A977" s="33" t="s">
        <v>793</v>
      </c>
      <c r="B977" s="33" t="s">
        <v>54</v>
      </c>
      <c r="C977" s="48" t="s">
        <v>43</v>
      </c>
      <c r="D977" s="33" t="s">
        <v>61</v>
      </c>
      <c r="E977" s="93">
        <v>46722</v>
      </c>
      <c r="F977" s="92">
        <v>28750</v>
      </c>
      <c r="G977" s="92">
        <v>28750</v>
      </c>
    </row>
    <row r="978" spans="1:7">
      <c r="A978" s="33" t="s">
        <v>793</v>
      </c>
      <c r="B978" s="33" t="s">
        <v>54</v>
      </c>
      <c r="C978" s="48" t="s">
        <v>43</v>
      </c>
      <c r="D978" s="33" t="s">
        <v>61</v>
      </c>
      <c r="E978" s="93">
        <v>46905</v>
      </c>
      <c r="F978" s="92">
        <v>28750</v>
      </c>
      <c r="G978" s="92">
        <v>28750</v>
      </c>
    </row>
    <row r="979" spans="1:7">
      <c r="A979" s="33" t="s">
        <v>793</v>
      </c>
      <c r="B979" s="33" t="s">
        <v>54</v>
      </c>
      <c r="C979" s="48" t="s">
        <v>43</v>
      </c>
      <c r="D979" s="33" t="s">
        <v>61</v>
      </c>
      <c r="E979" s="93">
        <v>47088</v>
      </c>
      <c r="F979" s="92">
        <v>28750</v>
      </c>
      <c r="G979" s="92">
        <v>28750</v>
      </c>
    </row>
    <row r="980" spans="1:7">
      <c r="A980" s="33" t="s">
        <v>793</v>
      </c>
      <c r="B980" s="33" t="s">
        <v>54</v>
      </c>
      <c r="C980" s="48" t="s">
        <v>43</v>
      </c>
      <c r="D980" s="33" t="s">
        <v>61</v>
      </c>
      <c r="E980" s="93">
        <v>47270</v>
      </c>
      <c r="F980" s="92">
        <v>28750</v>
      </c>
      <c r="G980" s="92">
        <v>28750</v>
      </c>
    </row>
    <row r="981" spans="1:7">
      <c r="A981" s="33" t="s">
        <v>793</v>
      </c>
      <c r="B981" s="33" t="s">
        <v>54</v>
      </c>
      <c r="C981" s="48" t="s">
        <v>43</v>
      </c>
      <c r="D981" s="33" t="s">
        <v>61</v>
      </c>
      <c r="E981" s="93">
        <v>47453</v>
      </c>
      <c r="F981" s="92">
        <v>28750</v>
      </c>
      <c r="G981" s="92">
        <v>28750</v>
      </c>
    </row>
    <row r="982" spans="1:7">
      <c r="A982" s="33" t="s">
        <v>793</v>
      </c>
      <c r="B982" s="33" t="s">
        <v>54</v>
      </c>
      <c r="C982" s="48" t="s">
        <v>43</v>
      </c>
      <c r="D982" s="33" t="s">
        <v>61</v>
      </c>
      <c r="E982" s="93">
        <v>47635</v>
      </c>
      <c r="F982" s="92">
        <v>28750</v>
      </c>
      <c r="G982" s="92">
        <v>2528750</v>
      </c>
    </row>
    <row r="983" spans="1:7">
      <c r="A983" s="87" t="s">
        <v>106</v>
      </c>
      <c r="B983" s="87" t="s">
        <v>77</v>
      </c>
      <c r="C983" s="88" t="s">
        <v>43</v>
      </c>
      <c r="D983" s="87" t="s">
        <v>61</v>
      </c>
      <c r="E983" s="89">
        <v>45031</v>
      </c>
      <c r="F983" s="90">
        <v>15000</v>
      </c>
      <c r="G983" s="90">
        <v>15000</v>
      </c>
    </row>
    <row r="984" spans="1:7">
      <c r="A984" s="33" t="s">
        <v>106</v>
      </c>
      <c r="B984" s="33" t="s">
        <v>77</v>
      </c>
      <c r="C984" s="48" t="s">
        <v>43</v>
      </c>
      <c r="D984" s="33" t="s">
        <v>61</v>
      </c>
      <c r="E984" s="91">
        <v>45214</v>
      </c>
      <c r="F984" s="92">
        <v>15000</v>
      </c>
      <c r="G984" s="92">
        <v>15000</v>
      </c>
    </row>
    <row r="985" spans="1:7">
      <c r="A985" s="33" t="s">
        <v>106</v>
      </c>
      <c r="B985" s="33" t="s">
        <v>77</v>
      </c>
      <c r="C985" s="48" t="s">
        <v>43</v>
      </c>
      <c r="D985" s="33" t="s">
        <v>61</v>
      </c>
      <c r="E985" s="91">
        <v>45397</v>
      </c>
      <c r="F985" s="92">
        <v>15000</v>
      </c>
      <c r="G985" s="92">
        <v>15000</v>
      </c>
    </row>
    <row r="986" spans="1:7">
      <c r="A986" s="33" t="s">
        <v>106</v>
      </c>
      <c r="B986" s="33" t="s">
        <v>77</v>
      </c>
      <c r="C986" s="48" t="s">
        <v>43</v>
      </c>
      <c r="D986" s="33" t="s">
        <v>61</v>
      </c>
      <c r="E986" s="91">
        <v>45580</v>
      </c>
      <c r="F986" s="92">
        <v>15000</v>
      </c>
      <c r="G986" s="92">
        <v>15000</v>
      </c>
    </row>
    <row r="987" spans="1:7">
      <c r="A987" s="33" t="s">
        <v>106</v>
      </c>
      <c r="B987" s="33" t="s">
        <v>77</v>
      </c>
      <c r="C987" s="48" t="s">
        <v>43</v>
      </c>
      <c r="D987" s="33" t="s">
        <v>61</v>
      </c>
      <c r="E987" s="91">
        <v>45762</v>
      </c>
      <c r="F987" s="92">
        <v>15000</v>
      </c>
      <c r="G987" s="92">
        <v>15000</v>
      </c>
    </row>
    <row r="988" spans="1:7">
      <c r="A988" s="33" t="s">
        <v>106</v>
      </c>
      <c r="B988" s="33" t="s">
        <v>77</v>
      </c>
      <c r="C988" s="48" t="s">
        <v>43</v>
      </c>
      <c r="D988" s="33" t="s">
        <v>61</v>
      </c>
      <c r="E988" s="91">
        <v>45945</v>
      </c>
      <c r="F988" s="92">
        <v>15000</v>
      </c>
      <c r="G988" s="92">
        <v>15000</v>
      </c>
    </row>
    <row r="989" spans="1:7">
      <c r="A989" s="33" t="s">
        <v>106</v>
      </c>
      <c r="B989" s="33" t="s">
        <v>77</v>
      </c>
      <c r="C989" s="48" t="s">
        <v>43</v>
      </c>
      <c r="D989" s="33" t="s">
        <v>61</v>
      </c>
      <c r="E989" s="91">
        <v>46127</v>
      </c>
      <c r="F989" s="92">
        <v>15000</v>
      </c>
      <c r="G989" s="92">
        <v>15000</v>
      </c>
    </row>
    <row r="990" spans="1:7">
      <c r="A990" s="33" t="s">
        <v>106</v>
      </c>
      <c r="B990" s="33" t="s">
        <v>77</v>
      </c>
      <c r="C990" s="48" t="s">
        <v>43</v>
      </c>
      <c r="D990" s="33" t="s">
        <v>61</v>
      </c>
      <c r="E990" s="91">
        <v>46310</v>
      </c>
      <c r="F990" s="92">
        <v>15000</v>
      </c>
      <c r="G990" s="92">
        <v>15000</v>
      </c>
    </row>
    <row r="991" spans="1:7">
      <c r="A991" s="33" t="s">
        <v>106</v>
      </c>
      <c r="B991" s="33" t="s">
        <v>77</v>
      </c>
      <c r="C991" s="48" t="s">
        <v>43</v>
      </c>
      <c r="D991" s="33" t="s">
        <v>61</v>
      </c>
      <c r="E991" s="91">
        <v>46492</v>
      </c>
      <c r="F991" s="92">
        <v>15000</v>
      </c>
      <c r="G991" s="92">
        <v>15000</v>
      </c>
    </row>
    <row r="992" spans="1:7">
      <c r="A992" s="33" t="s">
        <v>106</v>
      </c>
      <c r="B992" s="33" t="s">
        <v>77</v>
      </c>
      <c r="C992" s="48" t="s">
        <v>43</v>
      </c>
      <c r="D992" s="33" t="s">
        <v>61</v>
      </c>
      <c r="E992" s="91">
        <v>46675</v>
      </c>
      <c r="F992" s="92">
        <v>15000</v>
      </c>
      <c r="G992" s="92">
        <v>1015000</v>
      </c>
    </row>
    <row r="993" spans="1:7">
      <c r="A993" s="87" t="s">
        <v>432</v>
      </c>
      <c r="B993" s="87" t="s">
        <v>101</v>
      </c>
      <c r="C993" s="88" t="s">
        <v>43</v>
      </c>
      <c r="D993" s="87" t="s">
        <v>61</v>
      </c>
      <c r="E993" s="89">
        <v>45249</v>
      </c>
      <c r="F993" s="90">
        <v>69750</v>
      </c>
      <c r="G993" s="90">
        <v>69750</v>
      </c>
    </row>
    <row r="994" spans="1:7">
      <c r="A994" s="33" t="s">
        <v>432</v>
      </c>
      <c r="B994" s="33" t="s">
        <v>101</v>
      </c>
      <c r="C994" s="33" t="s">
        <v>60</v>
      </c>
      <c r="D994" s="36" t="s">
        <v>61</v>
      </c>
      <c r="E994" s="91">
        <v>45431</v>
      </c>
      <c r="F994" s="92">
        <v>69750</v>
      </c>
      <c r="G994" s="92">
        <v>69750</v>
      </c>
    </row>
    <row r="995" spans="1:7">
      <c r="A995" s="33" t="s">
        <v>432</v>
      </c>
      <c r="B995" s="33" t="s">
        <v>101</v>
      </c>
      <c r="C995" s="33" t="s">
        <v>60</v>
      </c>
      <c r="D995" s="36" t="s">
        <v>61</v>
      </c>
      <c r="E995" s="91">
        <v>45615</v>
      </c>
      <c r="F995" s="92">
        <v>69750</v>
      </c>
      <c r="G995" s="92">
        <v>69750</v>
      </c>
    </row>
    <row r="996" spans="1:7">
      <c r="A996" s="33" t="s">
        <v>432</v>
      </c>
      <c r="B996" s="33" t="s">
        <v>101</v>
      </c>
      <c r="C996" s="33" t="s">
        <v>60</v>
      </c>
      <c r="D996" s="36" t="s">
        <v>61</v>
      </c>
      <c r="E996" s="91">
        <v>45796</v>
      </c>
      <c r="F996" s="92">
        <v>69750</v>
      </c>
      <c r="G996" s="92">
        <v>69750</v>
      </c>
    </row>
    <row r="997" spans="1:7">
      <c r="A997" s="33" t="s">
        <v>432</v>
      </c>
      <c r="B997" s="33" t="s">
        <v>101</v>
      </c>
      <c r="C997" s="33" t="s">
        <v>60</v>
      </c>
      <c r="D997" s="36" t="s">
        <v>61</v>
      </c>
      <c r="E997" s="91">
        <v>45980</v>
      </c>
      <c r="F997" s="92">
        <v>69750</v>
      </c>
      <c r="G997" s="92">
        <v>69750</v>
      </c>
    </row>
    <row r="998" spans="1:7">
      <c r="A998" s="33" t="s">
        <v>432</v>
      </c>
      <c r="B998" s="33" t="s">
        <v>101</v>
      </c>
      <c r="C998" s="33" t="s">
        <v>60</v>
      </c>
      <c r="D998" s="36" t="s">
        <v>61</v>
      </c>
      <c r="E998" s="91">
        <v>46161</v>
      </c>
      <c r="F998" s="92">
        <v>69750</v>
      </c>
      <c r="G998" s="92">
        <v>69750</v>
      </c>
    </row>
    <row r="999" spans="1:7">
      <c r="A999" s="33" t="s">
        <v>432</v>
      </c>
      <c r="B999" s="33" t="s">
        <v>101</v>
      </c>
      <c r="C999" s="33" t="s">
        <v>60</v>
      </c>
      <c r="D999" s="36" t="s">
        <v>61</v>
      </c>
      <c r="E999" s="91">
        <v>46345</v>
      </c>
      <c r="F999" s="92">
        <v>69750</v>
      </c>
      <c r="G999" s="92">
        <v>69750</v>
      </c>
    </row>
    <row r="1000" spans="1:7">
      <c r="A1000" s="33" t="s">
        <v>432</v>
      </c>
      <c r="B1000" s="33" t="s">
        <v>101</v>
      </c>
      <c r="C1000" s="33" t="s">
        <v>60</v>
      </c>
      <c r="D1000" s="36" t="s">
        <v>61</v>
      </c>
      <c r="E1000" s="91">
        <v>46526</v>
      </c>
      <c r="F1000" s="92">
        <v>69750</v>
      </c>
      <c r="G1000" s="92">
        <v>69750</v>
      </c>
    </row>
    <row r="1001" spans="1:7">
      <c r="A1001" s="33" t="s">
        <v>432</v>
      </c>
      <c r="B1001" s="33" t="s">
        <v>101</v>
      </c>
      <c r="C1001" s="33" t="s">
        <v>60</v>
      </c>
      <c r="D1001" s="36" t="s">
        <v>61</v>
      </c>
      <c r="E1001" s="91">
        <v>46710</v>
      </c>
      <c r="F1001" s="92">
        <v>69750</v>
      </c>
      <c r="G1001" s="92">
        <v>69750</v>
      </c>
    </row>
    <row r="1002" spans="1:7">
      <c r="A1002" s="33" t="s">
        <v>432</v>
      </c>
      <c r="B1002" s="33" t="s">
        <v>101</v>
      </c>
      <c r="C1002" s="33" t="s">
        <v>60</v>
      </c>
      <c r="D1002" s="36" t="s">
        <v>61</v>
      </c>
      <c r="E1002" s="91">
        <v>46892</v>
      </c>
      <c r="F1002" s="92">
        <v>69750</v>
      </c>
      <c r="G1002" s="92">
        <v>69750</v>
      </c>
    </row>
    <row r="1003" spans="1:7">
      <c r="A1003" s="33" t="s">
        <v>432</v>
      </c>
      <c r="B1003" s="33" t="s">
        <v>101</v>
      </c>
      <c r="C1003" s="33" t="s">
        <v>60</v>
      </c>
      <c r="D1003" s="36" t="s">
        <v>61</v>
      </c>
      <c r="E1003" s="91">
        <v>47076</v>
      </c>
      <c r="F1003" s="92">
        <v>69750</v>
      </c>
      <c r="G1003" s="92">
        <v>69750</v>
      </c>
    </row>
    <row r="1004" spans="1:7">
      <c r="A1004" s="33" t="s">
        <v>432</v>
      </c>
      <c r="B1004" s="33" t="s">
        <v>101</v>
      </c>
      <c r="C1004" s="33" t="s">
        <v>60</v>
      </c>
      <c r="D1004" s="36" t="s">
        <v>61</v>
      </c>
      <c r="E1004" s="91">
        <v>47257</v>
      </c>
      <c r="F1004" s="92">
        <v>69750</v>
      </c>
      <c r="G1004" s="92">
        <v>69750</v>
      </c>
    </row>
    <row r="1005" spans="1:7">
      <c r="A1005" s="33" t="s">
        <v>432</v>
      </c>
      <c r="B1005" s="33" t="s">
        <v>101</v>
      </c>
      <c r="C1005" s="33" t="s">
        <v>60</v>
      </c>
      <c r="D1005" s="36" t="s">
        <v>61</v>
      </c>
      <c r="E1005" s="91">
        <v>47441</v>
      </c>
      <c r="F1005" s="92">
        <v>69750</v>
      </c>
      <c r="G1005" s="92">
        <v>69750</v>
      </c>
    </row>
    <row r="1006" spans="1:7">
      <c r="A1006" s="33" t="s">
        <v>432</v>
      </c>
      <c r="B1006" s="33" t="s">
        <v>101</v>
      </c>
      <c r="C1006" s="33" t="s">
        <v>60</v>
      </c>
      <c r="D1006" s="36" t="s">
        <v>61</v>
      </c>
      <c r="E1006" s="91">
        <v>47622</v>
      </c>
      <c r="F1006" s="92">
        <v>69750</v>
      </c>
      <c r="G1006" s="92">
        <v>3069750</v>
      </c>
    </row>
    <row r="1007" spans="1:7">
      <c r="A1007" s="87" t="s">
        <v>432</v>
      </c>
      <c r="B1007" s="87" t="s">
        <v>77</v>
      </c>
      <c r="C1007" s="88" t="s">
        <v>43</v>
      </c>
      <c r="D1007" s="87" t="s">
        <v>61</v>
      </c>
      <c r="E1007" s="89">
        <v>45249</v>
      </c>
      <c r="F1007" s="90">
        <v>174375</v>
      </c>
      <c r="G1007" s="90">
        <v>174375</v>
      </c>
    </row>
    <row r="1008" spans="1:7">
      <c r="A1008" s="33" t="s">
        <v>432</v>
      </c>
      <c r="B1008" s="33" t="s">
        <v>77</v>
      </c>
      <c r="C1008" s="33" t="s">
        <v>60</v>
      </c>
      <c r="D1008" s="36" t="s">
        <v>61</v>
      </c>
      <c r="E1008" s="91">
        <v>45431</v>
      </c>
      <c r="F1008" s="92">
        <v>174375</v>
      </c>
      <c r="G1008" s="92">
        <v>174375</v>
      </c>
    </row>
    <row r="1009" spans="1:7">
      <c r="A1009" s="33" t="s">
        <v>794</v>
      </c>
      <c r="B1009" s="33" t="s">
        <v>77</v>
      </c>
      <c r="C1009" s="33" t="s">
        <v>60</v>
      </c>
      <c r="D1009" s="36" t="s">
        <v>61</v>
      </c>
      <c r="E1009" s="91">
        <v>45615</v>
      </c>
      <c r="F1009" s="92">
        <v>174375</v>
      </c>
      <c r="G1009" s="92">
        <v>174375</v>
      </c>
    </row>
    <row r="1010" spans="1:7">
      <c r="A1010" s="33" t="s">
        <v>794</v>
      </c>
      <c r="B1010" s="33" t="s">
        <v>77</v>
      </c>
      <c r="C1010" s="33" t="s">
        <v>60</v>
      </c>
      <c r="D1010" s="36" t="s">
        <v>61</v>
      </c>
      <c r="E1010" s="91">
        <v>45796</v>
      </c>
      <c r="F1010" s="92">
        <v>174375</v>
      </c>
      <c r="G1010" s="92">
        <v>174375</v>
      </c>
    </row>
    <row r="1011" spans="1:7">
      <c r="A1011" s="33" t="s">
        <v>794</v>
      </c>
      <c r="B1011" s="33" t="s">
        <v>77</v>
      </c>
      <c r="C1011" s="33" t="s">
        <v>60</v>
      </c>
      <c r="D1011" s="36" t="s">
        <v>61</v>
      </c>
      <c r="E1011" s="91">
        <v>45980</v>
      </c>
      <c r="F1011" s="92">
        <v>174375</v>
      </c>
      <c r="G1011" s="92">
        <v>174375</v>
      </c>
    </row>
    <row r="1012" spans="1:7">
      <c r="A1012" s="33" t="s">
        <v>794</v>
      </c>
      <c r="B1012" s="33" t="s">
        <v>77</v>
      </c>
      <c r="C1012" s="33" t="s">
        <v>60</v>
      </c>
      <c r="D1012" s="36" t="s">
        <v>61</v>
      </c>
      <c r="E1012" s="91">
        <v>46161</v>
      </c>
      <c r="F1012" s="92">
        <v>174375</v>
      </c>
      <c r="G1012" s="92">
        <v>174375</v>
      </c>
    </row>
    <row r="1013" spans="1:7">
      <c r="A1013" s="33" t="s">
        <v>794</v>
      </c>
      <c r="B1013" s="33" t="s">
        <v>77</v>
      </c>
      <c r="C1013" s="33" t="s">
        <v>60</v>
      </c>
      <c r="D1013" s="36" t="s">
        <v>61</v>
      </c>
      <c r="E1013" s="91">
        <v>46345</v>
      </c>
      <c r="F1013" s="92">
        <v>174375</v>
      </c>
      <c r="G1013" s="92">
        <v>174375</v>
      </c>
    </row>
    <row r="1014" spans="1:7">
      <c r="A1014" s="33" t="s">
        <v>794</v>
      </c>
      <c r="B1014" s="33" t="s">
        <v>77</v>
      </c>
      <c r="C1014" s="33" t="s">
        <v>60</v>
      </c>
      <c r="D1014" s="36" t="s">
        <v>61</v>
      </c>
      <c r="E1014" s="91">
        <v>46526</v>
      </c>
      <c r="F1014" s="92">
        <v>174375</v>
      </c>
      <c r="G1014" s="92">
        <v>174375</v>
      </c>
    </row>
    <row r="1015" spans="1:7">
      <c r="A1015" s="33" t="s">
        <v>794</v>
      </c>
      <c r="B1015" s="33" t="s">
        <v>77</v>
      </c>
      <c r="C1015" s="33" t="s">
        <v>60</v>
      </c>
      <c r="D1015" s="36" t="s">
        <v>61</v>
      </c>
      <c r="E1015" s="91">
        <v>46710</v>
      </c>
      <c r="F1015" s="92">
        <v>174375</v>
      </c>
      <c r="G1015" s="92">
        <v>174375</v>
      </c>
    </row>
    <row r="1016" spans="1:7">
      <c r="A1016" s="33" t="s">
        <v>794</v>
      </c>
      <c r="B1016" s="33" t="s">
        <v>77</v>
      </c>
      <c r="C1016" s="33" t="s">
        <v>60</v>
      </c>
      <c r="D1016" s="36" t="s">
        <v>61</v>
      </c>
      <c r="E1016" s="91">
        <v>46892</v>
      </c>
      <c r="F1016" s="92">
        <v>174375</v>
      </c>
      <c r="G1016" s="92">
        <v>174375</v>
      </c>
    </row>
    <row r="1017" spans="1:7">
      <c r="A1017" s="33" t="s">
        <v>794</v>
      </c>
      <c r="B1017" s="33" t="s">
        <v>77</v>
      </c>
      <c r="C1017" s="33" t="s">
        <v>60</v>
      </c>
      <c r="D1017" s="36" t="s">
        <v>61</v>
      </c>
      <c r="E1017" s="91">
        <v>47076</v>
      </c>
      <c r="F1017" s="92">
        <v>174375</v>
      </c>
      <c r="G1017" s="92">
        <v>174375</v>
      </c>
    </row>
    <row r="1018" spans="1:7">
      <c r="A1018" s="33" t="s">
        <v>794</v>
      </c>
      <c r="B1018" s="33" t="s">
        <v>77</v>
      </c>
      <c r="C1018" s="33" t="s">
        <v>60</v>
      </c>
      <c r="D1018" s="36" t="s">
        <v>61</v>
      </c>
      <c r="E1018" s="91">
        <v>47257</v>
      </c>
      <c r="F1018" s="92">
        <v>174375</v>
      </c>
      <c r="G1018" s="92">
        <v>174375</v>
      </c>
    </row>
    <row r="1019" spans="1:7">
      <c r="A1019" s="33" t="s">
        <v>794</v>
      </c>
      <c r="B1019" s="33" t="s">
        <v>77</v>
      </c>
      <c r="C1019" s="33" t="s">
        <v>60</v>
      </c>
      <c r="D1019" s="36" t="s">
        <v>61</v>
      </c>
      <c r="E1019" s="91">
        <v>47441</v>
      </c>
      <c r="F1019" s="92">
        <v>174375</v>
      </c>
      <c r="G1019" s="92">
        <v>174375</v>
      </c>
    </row>
    <row r="1020" spans="1:7">
      <c r="A1020" s="33" t="s">
        <v>794</v>
      </c>
      <c r="B1020" s="33" t="s">
        <v>77</v>
      </c>
      <c r="C1020" s="33" t="s">
        <v>60</v>
      </c>
      <c r="D1020" s="36" t="s">
        <v>61</v>
      </c>
      <c r="E1020" s="91">
        <v>47622</v>
      </c>
      <c r="F1020" s="92">
        <v>174375</v>
      </c>
      <c r="G1020" s="92">
        <v>7674375</v>
      </c>
    </row>
    <row r="1021" spans="1:7">
      <c r="A1021" s="87" t="s">
        <v>80</v>
      </c>
      <c r="B1021" s="87" t="s">
        <v>77</v>
      </c>
      <c r="C1021" s="88" t="s">
        <v>43</v>
      </c>
      <c r="D1021" s="87" t="s">
        <v>61</v>
      </c>
      <c r="E1021" s="89">
        <v>45092</v>
      </c>
      <c r="F1021" s="90">
        <v>22500</v>
      </c>
      <c r="G1021" s="90">
        <v>22500</v>
      </c>
    </row>
    <row r="1022" spans="1:7">
      <c r="A1022" s="33" t="s">
        <v>80</v>
      </c>
      <c r="B1022" s="33" t="s">
        <v>77</v>
      </c>
      <c r="C1022" s="33" t="s">
        <v>60</v>
      </c>
      <c r="D1022" s="36" t="s">
        <v>61</v>
      </c>
      <c r="E1022" s="91">
        <v>45275</v>
      </c>
      <c r="F1022" s="92">
        <v>22500</v>
      </c>
      <c r="G1022" s="92">
        <v>22500</v>
      </c>
    </row>
    <row r="1023" spans="1:7">
      <c r="A1023" s="33" t="s">
        <v>80</v>
      </c>
      <c r="B1023" s="33" t="s">
        <v>77</v>
      </c>
      <c r="C1023" s="33" t="s">
        <v>60</v>
      </c>
      <c r="D1023" s="36" t="s">
        <v>61</v>
      </c>
      <c r="E1023" s="91">
        <v>45458</v>
      </c>
      <c r="F1023" s="92">
        <v>22500</v>
      </c>
      <c r="G1023" s="92">
        <v>22500</v>
      </c>
    </row>
    <row r="1024" spans="1:7">
      <c r="A1024" s="33" t="s">
        <v>80</v>
      </c>
      <c r="B1024" s="33" t="s">
        <v>77</v>
      </c>
      <c r="C1024" s="33" t="s">
        <v>60</v>
      </c>
      <c r="D1024" s="36" t="s">
        <v>61</v>
      </c>
      <c r="E1024" s="91">
        <v>45641</v>
      </c>
      <c r="F1024" s="92">
        <v>22500</v>
      </c>
      <c r="G1024" s="92">
        <v>22500</v>
      </c>
    </row>
    <row r="1025" spans="1:7">
      <c r="A1025" s="33" t="s">
        <v>80</v>
      </c>
      <c r="B1025" s="33" t="s">
        <v>77</v>
      </c>
      <c r="C1025" s="33" t="s">
        <v>60</v>
      </c>
      <c r="D1025" s="36" t="s">
        <v>61</v>
      </c>
      <c r="E1025" s="91">
        <v>45823</v>
      </c>
      <c r="F1025" s="92">
        <v>22500</v>
      </c>
      <c r="G1025" s="92">
        <v>22500</v>
      </c>
    </row>
    <row r="1026" spans="1:7">
      <c r="A1026" s="33" t="s">
        <v>80</v>
      </c>
      <c r="B1026" s="33" t="s">
        <v>77</v>
      </c>
      <c r="C1026" s="33" t="s">
        <v>60</v>
      </c>
      <c r="D1026" s="36" t="s">
        <v>61</v>
      </c>
      <c r="E1026" s="91">
        <v>46006</v>
      </c>
      <c r="F1026" s="92">
        <v>22500</v>
      </c>
      <c r="G1026" s="92">
        <v>22500</v>
      </c>
    </row>
    <row r="1027" spans="1:7">
      <c r="A1027" s="33" t="s">
        <v>80</v>
      </c>
      <c r="B1027" s="33" t="s">
        <v>77</v>
      </c>
      <c r="C1027" s="33" t="s">
        <v>60</v>
      </c>
      <c r="D1027" s="36" t="s">
        <v>61</v>
      </c>
      <c r="E1027" s="91">
        <v>46188</v>
      </c>
      <c r="F1027" s="92">
        <v>22500</v>
      </c>
      <c r="G1027" s="92">
        <v>22500</v>
      </c>
    </row>
    <row r="1028" spans="1:7">
      <c r="A1028" s="33" t="s">
        <v>80</v>
      </c>
      <c r="B1028" s="33" t="s">
        <v>77</v>
      </c>
      <c r="C1028" s="33" t="s">
        <v>60</v>
      </c>
      <c r="D1028" s="36" t="s">
        <v>61</v>
      </c>
      <c r="E1028" s="91">
        <v>46371</v>
      </c>
      <c r="F1028" s="92">
        <v>22500</v>
      </c>
      <c r="G1028" s="92">
        <v>1522500</v>
      </c>
    </row>
    <row r="1029" spans="1:7">
      <c r="A1029" s="87" t="s">
        <v>469</v>
      </c>
      <c r="B1029" s="87" t="s">
        <v>54</v>
      </c>
      <c r="C1029" s="88" t="s">
        <v>43</v>
      </c>
      <c r="D1029" s="87" t="s">
        <v>61</v>
      </c>
      <c r="E1029" s="89">
        <v>45542</v>
      </c>
      <c r="F1029" s="90">
        <v>110000</v>
      </c>
      <c r="G1029" s="90">
        <v>110000</v>
      </c>
    </row>
    <row r="1030" spans="1:7">
      <c r="A1030" s="33" t="s">
        <v>469</v>
      </c>
      <c r="B1030" s="33" t="s">
        <v>54</v>
      </c>
      <c r="C1030" s="33" t="s">
        <v>60</v>
      </c>
      <c r="D1030" s="36" t="s">
        <v>61</v>
      </c>
      <c r="E1030" s="91">
        <v>45723</v>
      </c>
      <c r="F1030" s="92">
        <v>110000</v>
      </c>
      <c r="G1030" s="92">
        <v>110000</v>
      </c>
    </row>
    <row r="1031" spans="1:7">
      <c r="A1031" s="33" t="s">
        <v>795</v>
      </c>
      <c r="B1031" s="33" t="s">
        <v>54</v>
      </c>
      <c r="C1031" s="33" t="s">
        <v>60</v>
      </c>
      <c r="D1031" s="36" t="s">
        <v>61</v>
      </c>
      <c r="E1031" s="91">
        <v>45907</v>
      </c>
      <c r="F1031" s="92">
        <v>110000</v>
      </c>
      <c r="G1031" s="92">
        <v>110000</v>
      </c>
    </row>
    <row r="1032" spans="1:7">
      <c r="A1032" s="33" t="s">
        <v>795</v>
      </c>
      <c r="B1032" s="33" t="s">
        <v>54</v>
      </c>
      <c r="C1032" s="33" t="s">
        <v>60</v>
      </c>
      <c r="D1032" s="36" t="s">
        <v>61</v>
      </c>
      <c r="E1032" s="91">
        <v>46088</v>
      </c>
      <c r="F1032" s="92">
        <v>110000</v>
      </c>
      <c r="G1032" s="92">
        <v>110000</v>
      </c>
    </row>
    <row r="1033" spans="1:7">
      <c r="A1033" s="33" t="s">
        <v>795</v>
      </c>
      <c r="B1033" s="33" t="s">
        <v>54</v>
      </c>
      <c r="C1033" s="33" t="s">
        <v>60</v>
      </c>
      <c r="D1033" s="36" t="s">
        <v>61</v>
      </c>
      <c r="E1033" s="91">
        <v>46272</v>
      </c>
      <c r="F1033" s="92">
        <v>110000</v>
      </c>
      <c r="G1033" s="92">
        <v>110000</v>
      </c>
    </row>
    <row r="1034" spans="1:7">
      <c r="A1034" s="33" t="s">
        <v>795</v>
      </c>
      <c r="B1034" s="33" t="s">
        <v>54</v>
      </c>
      <c r="C1034" s="33" t="s">
        <v>60</v>
      </c>
      <c r="D1034" s="36" t="s">
        <v>61</v>
      </c>
      <c r="E1034" s="91">
        <v>46453</v>
      </c>
      <c r="F1034" s="92">
        <v>110000</v>
      </c>
      <c r="G1034" s="92">
        <v>110000</v>
      </c>
    </row>
    <row r="1035" spans="1:7">
      <c r="A1035" s="33" t="s">
        <v>795</v>
      </c>
      <c r="B1035" s="33" t="s">
        <v>54</v>
      </c>
      <c r="C1035" s="33" t="s">
        <v>60</v>
      </c>
      <c r="D1035" s="36" t="s">
        <v>61</v>
      </c>
      <c r="E1035" s="91">
        <v>46637</v>
      </c>
      <c r="F1035" s="92">
        <v>110000</v>
      </c>
      <c r="G1035" s="92">
        <v>110000</v>
      </c>
    </row>
    <row r="1036" spans="1:7">
      <c r="A1036" s="33" t="s">
        <v>795</v>
      </c>
      <c r="B1036" s="33" t="s">
        <v>54</v>
      </c>
      <c r="C1036" s="33" t="s">
        <v>60</v>
      </c>
      <c r="D1036" s="36" t="s">
        <v>61</v>
      </c>
      <c r="E1036" s="91">
        <v>46819</v>
      </c>
      <c r="F1036" s="92">
        <v>110000</v>
      </c>
      <c r="G1036" s="92">
        <v>110000</v>
      </c>
    </row>
    <row r="1037" spans="1:7">
      <c r="A1037" s="33" t="s">
        <v>795</v>
      </c>
      <c r="B1037" s="33" t="s">
        <v>54</v>
      </c>
      <c r="C1037" s="33" t="s">
        <v>60</v>
      </c>
      <c r="D1037" s="36" t="s">
        <v>61</v>
      </c>
      <c r="E1037" s="91">
        <v>47003</v>
      </c>
      <c r="F1037" s="92">
        <v>110000</v>
      </c>
      <c r="G1037" s="92">
        <v>110000</v>
      </c>
    </row>
    <row r="1038" spans="1:7">
      <c r="A1038" s="33" t="s">
        <v>795</v>
      </c>
      <c r="B1038" s="33" t="s">
        <v>54</v>
      </c>
      <c r="C1038" s="33" t="s">
        <v>60</v>
      </c>
      <c r="D1038" s="36" t="s">
        <v>61</v>
      </c>
      <c r="E1038" s="91">
        <v>47184</v>
      </c>
      <c r="F1038" s="92">
        <v>110000</v>
      </c>
      <c r="G1038" s="92">
        <v>110000</v>
      </c>
    </row>
    <row r="1039" spans="1:7">
      <c r="A1039" s="33" t="s">
        <v>795</v>
      </c>
      <c r="B1039" s="33" t="s">
        <v>54</v>
      </c>
      <c r="C1039" s="33" t="s">
        <v>60</v>
      </c>
      <c r="D1039" s="36" t="s">
        <v>61</v>
      </c>
      <c r="E1039" s="91">
        <v>47368</v>
      </c>
      <c r="F1039" s="92">
        <v>110000</v>
      </c>
      <c r="G1039" s="92">
        <v>110000</v>
      </c>
    </row>
    <row r="1040" spans="1:7">
      <c r="A1040" s="33" t="s">
        <v>795</v>
      </c>
      <c r="B1040" s="33" t="s">
        <v>54</v>
      </c>
      <c r="C1040" s="33" t="s">
        <v>60</v>
      </c>
      <c r="D1040" s="36" t="s">
        <v>61</v>
      </c>
      <c r="E1040" s="91">
        <v>47549</v>
      </c>
      <c r="F1040" s="92">
        <v>110000</v>
      </c>
      <c r="G1040" s="92">
        <v>110000</v>
      </c>
    </row>
    <row r="1041" spans="1:7">
      <c r="A1041" s="33" t="s">
        <v>795</v>
      </c>
      <c r="B1041" s="33" t="s">
        <v>54</v>
      </c>
      <c r="C1041" s="33" t="s">
        <v>60</v>
      </c>
      <c r="D1041" s="36" t="s">
        <v>61</v>
      </c>
      <c r="E1041" s="91">
        <v>47733</v>
      </c>
      <c r="F1041" s="92">
        <v>110000</v>
      </c>
      <c r="G1041" s="92">
        <v>4110000</v>
      </c>
    </row>
    <row r="1042" spans="1:7">
      <c r="A1042" s="87" t="s">
        <v>513</v>
      </c>
      <c r="B1042" s="87" t="s">
        <v>223</v>
      </c>
      <c r="C1042" s="88" t="s">
        <v>43</v>
      </c>
      <c r="D1042" s="87" t="s">
        <v>61</v>
      </c>
      <c r="E1042" s="89">
        <v>45517</v>
      </c>
      <c r="F1042" s="90">
        <v>128124.99999999999</v>
      </c>
      <c r="G1042" s="90">
        <v>128124.99999999999</v>
      </c>
    </row>
    <row r="1043" spans="1:7">
      <c r="A1043" s="33" t="s">
        <v>513</v>
      </c>
      <c r="B1043" s="33" t="s">
        <v>223</v>
      </c>
      <c r="C1043" s="48" t="s">
        <v>43</v>
      </c>
      <c r="D1043" s="33" t="s">
        <v>61</v>
      </c>
      <c r="E1043" s="91">
        <v>45701</v>
      </c>
      <c r="F1043" s="92">
        <v>128124.99999999999</v>
      </c>
      <c r="G1043" s="92">
        <v>128124.99999999999</v>
      </c>
    </row>
    <row r="1044" spans="1:7">
      <c r="A1044" s="33" t="s">
        <v>796</v>
      </c>
      <c r="B1044" s="33" t="s">
        <v>223</v>
      </c>
      <c r="C1044" s="48" t="s">
        <v>43</v>
      </c>
      <c r="D1044" s="33" t="s">
        <v>61</v>
      </c>
      <c r="E1044" s="91">
        <v>45882</v>
      </c>
      <c r="F1044" s="92">
        <v>128124.99999999999</v>
      </c>
      <c r="G1044" s="92">
        <v>128124.99999999999</v>
      </c>
    </row>
    <row r="1045" spans="1:7">
      <c r="A1045" s="33" t="s">
        <v>796</v>
      </c>
      <c r="B1045" s="33" t="s">
        <v>223</v>
      </c>
      <c r="C1045" s="48" t="s">
        <v>43</v>
      </c>
      <c r="D1045" s="33" t="s">
        <v>61</v>
      </c>
      <c r="E1045" s="91">
        <v>46066</v>
      </c>
      <c r="F1045" s="92">
        <v>128124.99999999999</v>
      </c>
      <c r="G1045" s="92">
        <v>128124.99999999999</v>
      </c>
    </row>
    <row r="1046" spans="1:7">
      <c r="A1046" s="33" t="s">
        <v>796</v>
      </c>
      <c r="B1046" s="33" t="s">
        <v>223</v>
      </c>
      <c r="C1046" s="48" t="s">
        <v>43</v>
      </c>
      <c r="D1046" s="33" t="s">
        <v>61</v>
      </c>
      <c r="E1046" s="91">
        <v>46247</v>
      </c>
      <c r="F1046" s="92">
        <v>128124.99999999999</v>
      </c>
      <c r="G1046" s="92">
        <v>128124.99999999999</v>
      </c>
    </row>
    <row r="1047" spans="1:7">
      <c r="A1047" s="33" t="s">
        <v>796</v>
      </c>
      <c r="B1047" s="33" t="s">
        <v>223</v>
      </c>
      <c r="C1047" s="48" t="s">
        <v>43</v>
      </c>
      <c r="D1047" s="33" t="s">
        <v>61</v>
      </c>
      <c r="E1047" s="91">
        <v>46431</v>
      </c>
      <c r="F1047" s="92">
        <v>128124.99999999999</v>
      </c>
      <c r="G1047" s="92">
        <v>128124.99999999999</v>
      </c>
    </row>
    <row r="1048" spans="1:7">
      <c r="A1048" s="33" t="s">
        <v>796</v>
      </c>
      <c r="B1048" s="33" t="s">
        <v>223</v>
      </c>
      <c r="C1048" s="48" t="s">
        <v>43</v>
      </c>
      <c r="D1048" s="33" t="s">
        <v>61</v>
      </c>
      <c r="E1048" s="91">
        <v>46612</v>
      </c>
      <c r="F1048" s="92">
        <v>128124.99999999999</v>
      </c>
      <c r="G1048" s="92">
        <v>128124.99999999999</v>
      </c>
    </row>
    <row r="1049" spans="1:7">
      <c r="A1049" s="33" t="s">
        <v>796</v>
      </c>
      <c r="B1049" s="33" t="s">
        <v>223</v>
      </c>
      <c r="C1049" s="48" t="s">
        <v>43</v>
      </c>
      <c r="D1049" s="33" t="s">
        <v>61</v>
      </c>
      <c r="E1049" s="91">
        <v>46796</v>
      </c>
      <c r="F1049" s="92">
        <v>128124.99999999999</v>
      </c>
      <c r="G1049" s="92">
        <v>128124.99999999999</v>
      </c>
    </row>
    <row r="1050" spans="1:7">
      <c r="A1050" s="33" t="s">
        <v>796</v>
      </c>
      <c r="B1050" s="33" t="s">
        <v>223</v>
      </c>
      <c r="C1050" s="48" t="s">
        <v>43</v>
      </c>
      <c r="D1050" s="33" t="s">
        <v>61</v>
      </c>
      <c r="E1050" s="91">
        <v>46978</v>
      </c>
      <c r="F1050" s="92">
        <v>128124.99999999999</v>
      </c>
      <c r="G1050" s="92">
        <v>128124.99999999999</v>
      </c>
    </row>
    <row r="1051" spans="1:7">
      <c r="A1051" s="33" t="s">
        <v>796</v>
      </c>
      <c r="B1051" s="33" t="s">
        <v>223</v>
      </c>
      <c r="C1051" s="48" t="s">
        <v>43</v>
      </c>
      <c r="D1051" s="33" t="s">
        <v>61</v>
      </c>
      <c r="E1051" s="91">
        <v>47162</v>
      </c>
      <c r="F1051" s="92">
        <v>128124.99999999999</v>
      </c>
      <c r="G1051" s="92">
        <v>128124.99999999999</v>
      </c>
    </row>
    <row r="1052" spans="1:7">
      <c r="A1052" s="33" t="s">
        <v>796</v>
      </c>
      <c r="B1052" s="33" t="s">
        <v>223</v>
      </c>
      <c r="C1052" s="48" t="s">
        <v>43</v>
      </c>
      <c r="D1052" s="33" t="s">
        <v>61</v>
      </c>
      <c r="E1052" s="91">
        <v>47343</v>
      </c>
      <c r="F1052" s="92">
        <v>128124.99999999999</v>
      </c>
      <c r="G1052" s="92">
        <v>128124.99999999999</v>
      </c>
    </row>
    <row r="1053" spans="1:7">
      <c r="A1053" s="33" t="s">
        <v>796</v>
      </c>
      <c r="B1053" s="33" t="s">
        <v>223</v>
      </c>
      <c r="C1053" s="48" t="s">
        <v>43</v>
      </c>
      <c r="D1053" s="33" t="s">
        <v>61</v>
      </c>
      <c r="E1053" s="91">
        <v>47527</v>
      </c>
      <c r="F1053" s="92">
        <v>128124.99999999999</v>
      </c>
      <c r="G1053" s="92">
        <v>128124.99999999999</v>
      </c>
    </row>
    <row r="1054" spans="1:7">
      <c r="A1054" s="33" t="s">
        <v>796</v>
      </c>
      <c r="B1054" s="33" t="s">
        <v>223</v>
      </c>
      <c r="C1054" s="48" t="s">
        <v>43</v>
      </c>
      <c r="D1054" s="33" t="s">
        <v>61</v>
      </c>
      <c r="E1054" s="91">
        <v>47708</v>
      </c>
      <c r="F1054" s="92">
        <v>128124.99999999999</v>
      </c>
      <c r="G1054" s="92">
        <v>128124.99999999999</v>
      </c>
    </row>
    <row r="1055" spans="1:7">
      <c r="A1055" s="33" t="s">
        <v>796</v>
      </c>
      <c r="B1055" s="33" t="s">
        <v>223</v>
      </c>
      <c r="C1055" s="48" t="s">
        <v>43</v>
      </c>
      <c r="D1055" s="33" t="s">
        <v>61</v>
      </c>
      <c r="E1055" s="91">
        <v>47892</v>
      </c>
      <c r="F1055" s="92">
        <v>128124.99999999999</v>
      </c>
      <c r="G1055" s="92">
        <v>5128125</v>
      </c>
    </row>
    <row r="1056" spans="1:7">
      <c r="A1056" s="87" t="s">
        <v>356</v>
      </c>
      <c r="B1056" s="87" t="s">
        <v>54</v>
      </c>
      <c r="C1056" s="88" t="s">
        <v>43</v>
      </c>
      <c r="D1056" s="87" t="s">
        <v>61</v>
      </c>
      <c r="E1056" s="89">
        <v>45194</v>
      </c>
      <c r="F1056" s="90">
        <v>75000</v>
      </c>
      <c r="G1056" s="90">
        <v>75000</v>
      </c>
    </row>
    <row r="1057" spans="1:7">
      <c r="A1057" s="33" t="s">
        <v>356</v>
      </c>
      <c r="B1057" s="33" t="s">
        <v>54</v>
      </c>
      <c r="C1057" s="33" t="s">
        <v>60</v>
      </c>
      <c r="D1057" s="36" t="s">
        <v>61</v>
      </c>
      <c r="E1057" s="91">
        <v>45376</v>
      </c>
      <c r="F1057" s="92">
        <v>75000</v>
      </c>
      <c r="G1057" s="92">
        <v>75000</v>
      </c>
    </row>
    <row r="1058" spans="1:7">
      <c r="A1058" s="33" t="s">
        <v>356</v>
      </c>
      <c r="B1058" s="33" t="s">
        <v>54</v>
      </c>
      <c r="C1058" s="33" t="s">
        <v>60</v>
      </c>
      <c r="D1058" s="36" t="s">
        <v>61</v>
      </c>
      <c r="E1058" s="91">
        <v>45560</v>
      </c>
      <c r="F1058" s="92">
        <v>75000</v>
      </c>
      <c r="G1058" s="92">
        <v>75000</v>
      </c>
    </row>
    <row r="1059" spans="1:7">
      <c r="A1059" s="33" t="s">
        <v>356</v>
      </c>
      <c r="B1059" s="33" t="s">
        <v>54</v>
      </c>
      <c r="C1059" s="33" t="s">
        <v>60</v>
      </c>
      <c r="D1059" s="36" t="s">
        <v>61</v>
      </c>
      <c r="E1059" s="91">
        <v>45741</v>
      </c>
      <c r="F1059" s="92">
        <v>75000</v>
      </c>
      <c r="G1059" s="92">
        <v>75000</v>
      </c>
    </row>
    <row r="1060" spans="1:7">
      <c r="A1060" s="33" t="s">
        <v>356</v>
      </c>
      <c r="B1060" s="33" t="s">
        <v>54</v>
      </c>
      <c r="C1060" s="33" t="s">
        <v>60</v>
      </c>
      <c r="D1060" s="36" t="s">
        <v>61</v>
      </c>
      <c r="E1060" s="91">
        <v>45925</v>
      </c>
      <c r="F1060" s="92">
        <v>75000</v>
      </c>
      <c r="G1060" s="92">
        <v>75000</v>
      </c>
    </row>
    <row r="1061" spans="1:7">
      <c r="A1061" s="33" t="s">
        <v>356</v>
      </c>
      <c r="B1061" s="33" t="s">
        <v>54</v>
      </c>
      <c r="C1061" s="33" t="s">
        <v>60</v>
      </c>
      <c r="D1061" s="36" t="s">
        <v>61</v>
      </c>
      <c r="E1061" s="91">
        <v>46106</v>
      </c>
      <c r="F1061" s="92">
        <v>75000</v>
      </c>
      <c r="G1061" s="92">
        <v>75000</v>
      </c>
    </row>
    <row r="1062" spans="1:7">
      <c r="A1062" s="33" t="s">
        <v>356</v>
      </c>
      <c r="B1062" s="33" t="s">
        <v>54</v>
      </c>
      <c r="C1062" s="33" t="s">
        <v>60</v>
      </c>
      <c r="D1062" s="36" t="s">
        <v>61</v>
      </c>
      <c r="E1062" s="91">
        <v>46290</v>
      </c>
      <c r="F1062" s="92">
        <v>75000</v>
      </c>
      <c r="G1062" s="92">
        <v>75000</v>
      </c>
    </row>
    <row r="1063" spans="1:7">
      <c r="A1063" s="33" t="s">
        <v>356</v>
      </c>
      <c r="B1063" s="33" t="s">
        <v>54</v>
      </c>
      <c r="C1063" s="33" t="s">
        <v>60</v>
      </c>
      <c r="D1063" s="36" t="s">
        <v>61</v>
      </c>
      <c r="E1063" s="91">
        <v>46471</v>
      </c>
      <c r="F1063" s="92">
        <v>75000</v>
      </c>
      <c r="G1063" s="92">
        <v>75000</v>
      </c>
    </row>
    <row r="1064" spans="1:7">
      <c r="A1064" s="33" t="s">
        <v>356</v>
      </c>
      <c r="B1064" s="33" t="s">
        <v>54</v>
      </c>
      <c r="C1064" s="33" t="s">
        <v>60</v>
      </c>
      <c r="D1064" s="36" t="s">
        <v>61</v>
      </c>
      <c r="E1064" s="91">
        <v>46655</v>
      </c>
      <c r="F1064" s="92">
        <v>75000</v>
      </c>
      <c r="G1064" s="92">
        <v>75000</v>
      </c>
    </row>
    <row r="1065" spans="1:7">
      <c r="A1065" s="33" t="s">
        <v>356</v>
      </c>
      <c r="B1065" s="33" t="s">
        <v>54</v>
      </c>
      <c r="C1065" s="33" t="s">
        <v>60</v>
      </c>
      <c r="D1065" s="36" t="s">
        <v>61</v>
      </c>
      <c r="E1065" s="91">
        <v>46837</v>
      </c>
      <c r="F1065" s="92">
        <v>75000</v>
      </c>
      <c r="G1065" s="92">
        <v>75000</v>
      </c>
    </row>
    <row r="1066" spans="1:7">
      <c r="A1066" s="33" t="s">
        <v>356</v>
      </c>
      <c r="B1066" s="33" t="s">
        <v>54</v>
      </c>
      <c r="C1066" s="33" t="s">
        <v>60</v>
      </c>
      <c r="D1066" s="36" t="s">
        <v>61</v>
      </c>
      <c r="E1066" s="91">
        <v>47021</v>
      </c>
      <c r="F1066" s="92">
        <v>75000</v>
      </c>
      <c r="G1066" s="92">
        <v>75000</v>
      </c>
    </row>
    <row r="1067" spans="1:7">
      <c r="A1067" s="33" t="s">
        <v>356</v>
      </c>
      <c r="B1067" s="33" t="s">
        <v>54</v>
      </c>
      <c r="C1067" s="33" t="s">
        <v>60</v>
      </c>
      <c r="D1067" s="36" t="s">
        <v>61</v>
      </c>
      <c r="E1067" s="91">
        <v>47202</v>
      </c>
      <c r="F1067" s="92">
        <v>75000</v>
      </c>
      <c r="G1067" s="92">
        <v>75000</v>
      </c>
    </row>
    <row r="1068" spans="1:7">
      <c r="A1068" s="33" t="s">
        <v>356</v>
      </c>
      <c r="B1068" s="33" t="s">
        <v>54</v>
      </c>
      <c r="C1068" s="33" t="s">
        <v>60</v>
      </c>
      <c r="D1068" s="36" t="s">
        <v>61</v>
      </c>
      <c r="E1068" s="91">
        <v>47386</v>
      </c>
      <c r="F1068" s="92">
        <v>75000</v>
      </c>
      <c r="G1068" s="92">
        <v>75000</v>
      </c>
    </row>
    <row r="1069" spans="1:7">
      <c r="A1069" s="33" t="s">
        <v>356</v>
      </c>
      <c r="B1069" s="33" t="s">
        <v>54</v>
      </c>
      <c r="C1069" s="33" t="s">
        <v>60</v>
      </c>
      <c r="D1069" s="36" t="s">
        <v>61</v>
      </c>
      <c r="E1069" s="91">
        <v>47567</v>
      </c>
      <c r="F1069" s="92">
        <v>75000</v>
      </c>
      <c r="G1069" s="92">
        <v>5075000</v>
      </c>
    </row>
    <row r="1070" spans="1:7">
      <c r="A1070" s="87" t="s">
        <v>356</v>
      </c>
      <c r="B1070" s="87" t="s">
        <v>77</v>
      </c>
      <c r="C1070" s="88" t="s">
        <v>43</v>
      </c>
      <c r="D1070" s="87" t="s">
        <v>61</v>
      </c>
      <c r="E1070" s="89">
        <v>45194</v>
      </c>
      <c r="F1070" s="90">
        <v>75000</v>
      </c>
      <c r="G1070" s="90">
        <v>75000</v>
      </c>
    </row>
    <row r="1071" spans="1:7">
      <c r="A1071" s="33" t="s">
        <v>356</v>
      </c>
      <c r="B1071" s="33" t="s">
        <v>77</v>
      </c>
      <c r="C1071" s="33" t="s">
        <v>60</v>
      </c>
      <c r="D1071" s="36" t="s">
        <v>61</v>
      </c>
      <c r="E1071" s="91">
        <v>45376</v>
      </c>
      <c r="F1071" s="92">
        <v>75000</v>
      </c>
      <c r="G1071" s="92">
        <v>75000</v>
      </c>
    </row>
    <row r="1072" spans="1:7">
      <c r="A1072" s="33" t="s">
        <v>356</v>
      </c>
      <c r="B1072" s="33" t="s">
        <v>77</v>
      </c>
      <c r="C1072" s="33" t="s">
        <v>60</v>
      </c>
      <c r="D1072" s="36" t="s">
        <v>61</v>
      </c>
      <c r="E1072" s="91">
        <v>45560</v>
      </c>
      <c r="F1072" s="92">
        <v>75000</v>
      </c>
      <c r="G1072" s="92">
        <v>75000</v>
      </c>
    </row>
    <row r="1073" spans="1:7">
      <c r="A1073" s="33" t="s">
        <v>356</v>
      </c>
      <c r="B1073" s="33" t="s">
        <v>77</v>
      </c>
      <c r="C1073" s="33" t="s">
        <v>60</v>
      </c>
      <c r="D1073" s="36" t="s">
        <v>61</v>
      </c>
      <c r="E1073" s="91">
        <v>45741</v>
      </c>
      <c r="F1073" s="92">
        <v>75000</v>
      </c>
      <c r="G1073" s="92">
        <v>75000</v>
      </c>
    </row>
    <row r="1074" spans="1:7">
      <c r="A1074" s="33" t="s">
        <v>356</v>
      </c>
      <c r="B1074" s="33" t="s">
        <v>77</v>
      </c>
      <c r="C1074" s="33" t="s">
        <v>60</v>
      </c>
      <c r="D1074" s="36" t="s">
        <v>61</v>
      </c>
      <c r="E1074" s="91">
        <v>45925</v>
      </c>
      <c r="F1074" s="92">
        <v>75000</v>
      </c>
      <c r="G1074" s="92">
        <v>75000</v>
      </c>
    </row>
    <row r="1075" spans="1:7">
      <c r="A1075" s="33" t="s">
        <v>356</v>
      </c>
      <c r="B1075" s="33" t="s">
        <v>77</v>
      </c>
      <c r="C1075" s="33" t="s">
        <v>60</v>
      </c>
      <c r="D1075" s="36" t="s">
        <v>61</v>
      </c>
      <c r="E1075" s="91">
        <v>46106</v>
      </c>
      <c r="F1075" s="92">
        <v>75000</v>
      </c>
      <c r="G1075" s="92">
        <v>75000</v>
      </c>
    </row>
    <row r="1076" spans="1:7">
      <c r="A1076" s="33" t="s">
        <v>356</v>
      </c>
      <c r="B1076" s="33" t="s">
        <v>77</v>
      </c>
      <c r="C1076" s="33" t="s">
        <v>60</v>
      </c>
      <c r="D1076" s="36" t="s">
        <v>61</v>
      </c>
      <c r="E1076" s="91">
        <v>46290</v>
      </c>
      <c r="F1076" s="92">
        <v>75000</v>
      </c>
      <c r="G1076" s="92">
        <v>75000</v>
      </c>
    </row>
    <row r="1077" spans="1:7">
      <c r="A1077" s="33" t="s">
        <v>356</v>
      </c>
      <c r="B1077" s="33" t="s">
        <v>77</v>
      </c>
      <c r="C1077" s="33" t="s">
        <v>60</v>
      </c>
      <c r="D1077" s="36" t="s">
        <v>61</v>
      </c>
      <c r="E1077" s="91">
        <v>46471</v>
      </c>
      <c r="F1077" s="92">
        <v>75000</v>
      </c>
      <c r="G1077" s="92">
        <v>75000</v>
      </c>
    </row>
    <row r="1078" spans="1:7">
      <c r="A1078" s="33" t="s">
        <v>356</v>
      </c>
      <c r="B1078" s="33" t="s">
        <v>77</v>
      </c>
      <c r="C1078" s="33" t="s">
        <v>60</v>
      </c>
      <c r="D1078" s="36" t="s">
        <v>61</v>
      </c>
      <c r="E1078" s="91">
        <v>46655</v>
      </c>
      <c r="F1078" s="92">
        <v>75000</v>
      </c>
      <c r="G1078" s="92">
        <v>75000</v>
      </c>
    </row>
    <row r="1079" spans="1:7">
      <c r="A1079" s="33" t="s">
        <v>356</v>
      </c>
      <c r="B1079" s="33" t="s">
        <v>77</v>
      </c>
      <c r="C1079" s="33" t="s">
        <v>60</v>
      </c>
      <c r="D1079" s="36" t="s">
        <v>61</v>
      </c>
      <c r="E1079" s="91">
        <v>46837</v>
      </c>
      <c r="F1079" s="92">
        <v>75000</v>
      </c>
      <c r="G1079" s="92">
        <v>75000</v>
      </c>
    </row>
    <row r="1080" spans="1:7">
      <c r="A1080" s="33" t="s">
        <v>356</v>
      </c>
      <c r="B1080" s="33" t="s">
        <v>77</v>
      </c>
      <c r="C1080" s="33" t="s">
        <v>60</v>
      </c>
      <c r="D1080" s="36" t="s">
        <v>61</v>
      </c>
      <c r="E1080" s="91">
        <v>47021</v>
      </c>
      <c r="F1080" s="92">
        <v>75000</v>
      </c>
      <c r="G1080" s="92">
        <v>75000</v>
      </c>
    </row>
    <row r="1081" spans="1:7">
      <c r="A1081" s="33" t="s">
        <v>356</v>
      </c>
      <c r="B1081" s="33" t="s">
        <v>77</v>
      </c>
      <c r="C1081" s="33" t="s">
        <v>60</v>
      </c>
      <c r="D1081" s="36" t="s">
        <v>61</v>
      </c>
      <c r="E1081" s="91">
        <v>47202</v>
      </c>
      <c r="F1081" s="92">
        <v>75000</v>
      </c>
      <c r="G1081" s="92">
        <v>75000</v>
      </c>
    </row>
    <row r="1082" spans="1:7">
      <c r="A1082" s="33" t="s">
        <v>356</v>
      </c>
      <c r="B1082" s="33" t="s">
        <v>77</v>
      </c>
      <c r="C1082" s="33" t="s">
        <v>60</v>
      </c>
      <c r="D1082" s="36" t="s">
        <v>61</v>
      </c>
      <c r="E1082" s="91">
        <v>47386</v>
      </c>
      <c r="F1082" s="92">
        <v>75000</v>
      </c>
      <c r="G1082" s="92">
        <v>75000</v>
      </c>
    </row>
    <row r="1083" spans="1:7">
      <c r="A1083" s="33" t="s">
        <v>356</v>
      </c>
      <c r="B1083" s="33" t="s">
        <v>77</v>
      </c>
      <c r="C1083" s="33" t="s">
        <v>60</v>
      </c>
      <c r="D1083" s="36" t="s">
        <v>61</v>
      </c>
      <c r="E1083" s="91">
        <v>47567</v>
      </c>
      <c r="F1083" s="92">
        <v>75000</v>
      </c>
      <c r="G1083" s="92">
        <v>5075000</v>
      </c>
    </row>
    <row r="1084" spans="1:7">
      <c r="A1084" s="87" t="s">
        <v>392</v>
      </c>
      <c r="B1084" s="87" t="s">
        <v>77</v>
      </c>
      <c r="C1084" s="88" t="s">
        <v>67</v>
      </c>
      <c r="D1084" s="87" t="s">
        <v>61</v>
      </c>
      <c r="E1084" s="89">
        <v>45396</v>
      </c>
      <c r="F1084" s="90">
        <v>17500</v>
      </c>
      <c r="G1084" s="90">
        <v>17500</v>
      </c>
    </row>
    <row r="1085" spans="1:7">
      <c r="A1085" s="33" t="s">
        <v>392</v>
      </c>
      <c r="B1085" s="33" t="s">
        <v>77</v>
      </c>
      <c r="C1085" s="33" t="s">
        <v>35</v>
      </c>
      <c r="D1085" s="36" t="s">
        <v>61</v>
      </c>
      <c r="E1085" s="91">
        <v>45579</v>
      </c>
      <c r="F1085" s="92">
        <v>17500</v>
      </c>
      <c r="G1085" s="92">
        <v>17500</v>
      </c>
    </row>
    <row r="1086" spans="1:7">
      <c r="A1086" s="33" t="s">
        <v>797</v>
      </c>
      <c r="B1086" s="33" t="s">
        <v>77</v>
      </c>
      <c r="C1086" s="33" t="s">
        <v>35</v>
      </c>
      <c r="D1086" s="36" t="s">
        <v>61</v>
      </c>
      <c r="E1086" s="91">
        <v>45761</v>
      </c>
      <c r="F1086" s="92">
        <v>17500</v>
      </c>
      <c r="G1086" s="92">
        <v>17500</v>
      </c>
    </row>
    <row r="1087" spans="1:7">
      <c r="A1087" s="33" t="s">
        <v>797</v>
      </c>
      <c r="B1087" s="33" t="s">
        <v>77</v>
      </c>
      <c r="C1087" s="33" t="s">
        <v>35</v>
      </c>
      <c r="D1087" s="36" t="s">
        <v>61</v>
      </c>
      <c r="E1087" s="91">
        <v>45944</v>
      </c>
      <c r="F1087" s="92">
        <v>17500</v>
      </c>
      <c r="G1087" s="92">
        <v>17500</v>
      </c>
    </row>
    <row r="1088" spans="1:7">
      <c r="A1088" s="33" t="s">
        <v>797</v>
      </c>
      <c r="B1088" s="33" t="s">
        <v>77</v>
      </c>
      <c r="C1088" s="33" t="s">
        <v>35</v>
      </c>
      <c r="D1088" s="36" t="s">
        <v>61</v>
      </c>
      <c r="E1088" s="91">
        <v>46126</v>
      </c>
      <c r="F1088" s="92">
        <v>17500</v>
      </c>
      <c r="G1088" s="92">
        <v>17500</v>
      </c>
    </row>
    <row r="1089" spans="1:7">
      <c r="A1089" s="33" t="s">
        <v>797</v>
      </c>
      <c r="B1089" s="33" t="s">
        <v>77</v>
      </c>
      <c r="C1089" s="33" t="s">
        <v>35</v>
      </c>
      <c r="D1089" s="36" t="s">
        <v>61</v>
      </c>
      <c r="E1089" s="91">
        <v>46309</v>
      </c>
      <c r="F1089" s="92">
        <v>17500</v>
      </c>
      <c r="G1089" s="92">
        <v>17500</v>
      </c>
    </row>
    <row r="1090" spans="1:7">
      <c r="A1090" s="33" t="s">
        <v>797</v>
      </c>
      <c r="B1090" s="33" t="s">
        <v>77</v>
      </c>
      <c r="C1090" s="33" t="s">
        <v>35</v>
      </c>
      <c r="D1090" s="36" t="s">
        <v>61</v>
      </c>
      <c r="E1090" s="91">
        <v>46491</v>
      </c>
      <c r="F1090" s="92">
        <v>17500</v>
      </c>
      <c r="G1090" s="92">
        <v>17500</v>
      </c>
    </row>
    <row r="1091" spans="1:7">
      <c r="A1091" s="33" t="s">
        <v>797</v>
      </c>
      <c r="B1091" s="33" t="s">
        <v>77</v>
      </c>
      <c r="C1091" s="33" t="s">
        <v>35</v>
      </c>
      <c r="D1091" s="36" t="s">
        <v>61</v>
      </c>
      <c r="E1091" s="91">
        <v>46674</v>
      </c>
      <c r="F1091" s="92">
        <v>17500</v>
      </c>
      <c r="G1091" s="92">
        <v>17500</v>
      </c>
    </row>
    <row r="1092" spans="1:7">
      <c r="A1092" s="33" t="s">
        <v>797</v>
      </c>
      <c r="B1092" s="33" t="s">
        <v>77</v>
      </c>
      <c r="C1092" s="33" t="s">
        <v>35</v>
      </c>
      <c r="D1092" s="36" t="s">
        <v>61</v>
      </c>
      <c r="E1092" s="91">
        <v>46857</v>
      </c>
      <c r="F1092" s="92">
        <v>17500</v>
      </c>
      <c r="G1092" s="92">
        <v>17500</v>
      </c>
    </row>
    <row r="1093" spans="1:7">
      <c r="A1093" s="33" t="s">
        <v>797</v>
      </c>
      <c r="B1093" s="33" t="s">
        <v>77</v>
      </c>
      <c r="C1093" s="33" t="s">
        <v>35</v>
      </c>
      <c r="D1093" s="36" t="s">
        <v>61</v>
      </c>
      <c r="E1093" s="91">
        <v>47040</v>
      </c>
      <c r="F1093" s="92">
        <v>17500</v>
      </c>
      <c r="G1093" s="92">
        <v>17500</v>
      </c>
    </row>
    <row r="1094" spans="1:7">
      <c r="A1094" s="33" t="s">
        <v>797</v>
      </c>
      <c r="B1094" s="33" t="s">
        <v>77</v>
      </c>
      <c r="C1094" s="33" t="s">
        <v>35</v>
      </c>
      <c r="D1094" s="36" t="s">
        <v>61</v>
      </c>
      <c r="E1094" s="91">
        <v>47222</v>
      </c>
      <c r="F1094" s="92">
        <v>17500</v>
      </c>
      <c r="G1094" s="92">
        <v>17500</v>
      </c>
    </row>
    <row r="1095" spans="1:7">
      <c r="A1095" s="33" t="s">
        <v>797</v>
      </c>
      <c r="B1095" s="33" t="s">
        <v>77</v>
      </c>
      <c r="C1095" s="33" t="s">
        <v>35</v>
      </c>
      <c r="D1095" s="36" t="s">
        <v>61</v>
      </c>
      <c r="E1095" s="91">
        <v>47405</v>
      </c>
      <c r="F1095" s="92">
        <v>17500</v>
      </c>
      <c r="G1095" s="92">
        <v>17500</v>
      </c>
    </row>
    <row r="1096" spans="1:7">
      <c r="A1096" s="33" t="s">
        <v>797</v>
      </c>
      <c r="B1096" s="33" t="s">
        <v>77</v>
      </c>
      <c r="C1096" s="33" t="s">
        <v>35</v>
      </c>
      <c r="D1096" s="36" t="s">
        <v>61</v>
      </c>
      <c r="E1096" s="91">
        <v>47587</v>
      </c>
      <c r="F1096" s="92">
        <v>17500</v>
      </c>
      <c r="G1096" s="92">
        <v>1137500</v>
      </c>
    </row>
    <row r="1097" spans="1:7">
      <c r="A1097" s="87" t="s">
        <v>392</v>
      </c>
      <c r="B1097" s="87" t="s">
        <v>54</v>
      </c>
      <c r="C1097" s="88" t="s">
        <v>67</v>
      </c>
      <c r="D1097" s="87" t="s">
        <v>61</v>
      </c>
      <c r="E1097" s="89">
        <v>45396</v>
      </c>
      <c r="F1097" s="90">
        <v>39062.5</v>
      </c>
      <c r="G1097" s="90">
        <v>39062.5</v>
      </c>
    </row>
    <row r="1098" spans="1:7">
      <c r="A1098" s="33" t="s">
        <v>392</v>
      </c>
      <c r="B1098" s="33" t="s">
        <v>54</v>
      </c>
      <c r="C1098" s="48" t="s">
        <v>67</v>
      </c>
      <c r="D1098" s="33" t="s">
        <v>61</v>
      </c>
      <c r="E1098" s="91">
        <v>45579</v>
      </c>
      <c r="F1098" s="92">
        <v>39062.5</v>
      </c>
      <c r="G1098" s="92">
        <v>39062.5</v>
      </c>
    </row>
    <row r="1099" spans="1:7">
      <c r="A1099" s="33" t="s">
        <v>797</v>
      </c>
      <c r="B1099" s="33" t="s">
        <v>54</v>
      </c>
      <c r="C1099" s="48" t="s">
        <v>67</v>
      </c>
      <c r="D1099" s="33" t="s">
        <v>61</v>
      </c>
      <c r="E1099" s="91">
        <v>45761</v>
      </c>
      <c r="F1099" s="92">
        <v>39062.5</v>
      </c>
      <c r="G1099" s="92">
        <v>39062.5</v>
      </c>
    </row>
    <row r="1100" spans="1:7">
      <c r="A1100" s="33" t="s">
        <v>797</v>
      </c>
      <c r="B1100" s="33" t="s">
        <v>54</v>
      </c>
      <c r="C1100" s="48" t="s">
        <v>67</v>
      </c>
      <c r="D1100" s="33" t="s">
        <v>61</v>
      </c>
      <c r="E1100" s="91">
        <v>45944</v>
      </c>
      <c r="F1100" s="92">
        <v>39062.5</v>
      </c>
      <c r="G1100" s="92">
        <v>39062.5</v>
      </c>
    </row>
    <row r="1101" spans="1:7">
      <c r="A1101" s="33" t="s">
        <v>797</v>
      </c>
      <c r="B1101" s="33" t="s">
        <v>54</v>
      </c>
      <c r="C1101" s="48" t="s">
        <v>67</v>
      </c>
      <c r="D1101" s="33" t="s">
        <v>61</v>
      </c>
      <c r="E1101" s="91">
        <v>46126</v>
      </c>
      <c r="F1101" s="92">
        <v>39062.5</v>
      </c>
      <c r="G1101" s="92">
        <v>39062.5</v>
      </c>
    </row>
    <row r="1102" spans="1:7">
      <c r="A1102" s="33" t="s">
        <v>797</v>
      </c>
      <c r="B1102" s="33" t="s">
        <v>54</v>
      </c>
      <c r="C1102" s="48" t="s">
        <v>67</v>
      </c>
      <c r="D1102" s="33" t="s">
        <v>61</v>
      </c>
      <c r="E1102" s="91">
        <v>46309</v>
      </c>
      <c r="F1102" s="92">
        <v>39062.5</v>
      </c>
      <c r="G1102" s="92">
        <v>39062.5</v>
      </c>
    </row>
    <row r="1103" spans="1:7">
      <c r="A1103" s="33" t="s">
        <v>797</v>
      </c>
      <c r="B1103" s="33" t="s">
        <v>54</v>
      </c>
      <c r="C1103" s="48" t="s">
        <v>67</v>
      </c>
      <c r="D1103" s="33" t="s">
        <v>61</v>
      </c>
      <c r="E1103" s="91">
        <v>46491</v>
      </c>
      <c r="F1103" s="92">
        <v>39062.5</v>
      </c>
      <c r="G1103" s="92">
        <v>39062.5</v>
      </c>
    </row>
    <row r="1104" spans="1:7">
      <c r="A1104" s="33" t="s">
        <v>797</v>
      </c>
      <c r="B1104" s="33" t="s">
        <v>54</v>
      </c>
      <c r="C1104" s="48" t="s">
        <v>67</v>
      </c>
      <c r="D1104" s="33" t="s">
        <v>61</v>
      </c>
      <c r="E1104" s="91">
        <v>46674</v>
      </c>
      <c r="F1104" s="92">
        <v>39062.5</v>
      </c>
      <c r="G1104" s="92">
        <v>39062.5</v>
      </c>
    </row>
    <row r="1105" spans="1:7">
      <c r="A1105" s="33" t="s">
        <v>797</v>
      </c>
      <c r="B1105" s="33" t="s">
        <v>54</v>
      </c>
      <c r="C1105" s="48" t="s">
        <v>67</v>
      </c>
      <c r="D1105" s="33" t="s">
        <v>61</v>
      </c>
      <c r="E1105" s="91">
        <v>46857</v>
      </c>
      <c r="F1105" s="92">
        <v>39062.5</v>
      </c>
      <c r="G1105" s="92">
        <v>39062.5</v>
      </c>
    </row>
    <row r="1106" spans="1:7">
      <c r="A1106" s="33" t="s">
        <v>797</v>
      </c>
      <c r="B1106" s="33" t="s">
        <v>54</v>
      </c>
      <c r="C1106" s="48" t="s">
        <v>67</v>
      </c>
      <c r="D1106" s="33" t="s">
        <v>61</v>
      </c>
      <c r="E1106" s="91">
        <v>47040</v>
      </c>
      <c r="F1106" s="92">
        <v>39062.5</v>
      </c>
      <c r="G1106" s="92">
        <v>39062.5</v>
      </c>
    </row>
    <row r="1107" spans="1:7">
      <c r="A1107" s="33" t="s">
        <v>797</v>
      </c>
      <c r="B1107" s="33" t="s">
        <v>54</v>
      </c>
      <c r="C1107" s="48" t="s">
        <v>67</v>
      </c>
      <c r="D1107" s="33" t="s">
        <v>61</v>
      </c>
      <c r="E1107" s="91">
        <v>47222</v>
      </c>
      <c r="F1107" s="92">
        <v>39062.5</v>
      </c>
      <c r="G1107" s="92">
        <v>39062.5</v>
      </c>
    </row>
    <row r="1108" spans="1:7">
      <c r="A1108" s="33" t="s">
        <v>797</v>
      </c>
      <c r="B1108" s="33" t="s">
        <v>54</v>
      </c>
      <c r="C1108" s="48" t="s">
        <v>67</v>
      </c>
      <c r="D1108" s="33" t="s">
        <v>61</v>
      </c>
      <c r="E1108" s="91">
        <v>47405</v>
      </c>
      <c r="F1108" s="92">
        <v>39062.5</v>
      </c>
      <c r="G1108" s="92">
        <v>39062.5</v>
      </c>
    </row>
    <row r="1109" spans="1:7">
      <c r="A1109" s="33" t="s">
        <v>797</v>
      </c>
      <c r="B1109" s="33" t="s">
        <v>54</v>
      </c>
      <c r="C1109" s="48" t="s">
        <v>67</v>
      </c>
      <c r="D1109" s="33" t="s">
        <v>61</v>
      </c>
      <c r="E1109" s="91">
        <v>47587</v>
      </c>
      <c r="F1109" s="92">
        <v>39062.5</v>
      </c>
      <c r="G1109" s="92">
        <v>2539062.5</v>
      </c>
    </row>
    <row r="1110" spans="1:7">
      <c r="A1110" s="87" t="s">
        <v>798</v>
      </c>
      <c r="B1110" s="87" t="s">
        <v>54</v>
      </c>
      <c r="C1110" s="88" t="s">
        <v>67</v>
      </c>
      <c r="D1110" s="87" t="s">
        <v>61</v>
      </c>
      <c r="E1110" s="89">
        <v>45559</v>
      </c>
      <c r="F1110" s="90">
        <v>145000</v>
      </c>
      <c r="G1110" s="90">
        <v>145000</v>
      </c>
    </row>
    <row r="1111" spans="1:7">
      <c r="A1111" s="56" t="s">
        <v>672</v>
      </c>
      <c r="B1111" s="56" t="s">
        <v>233</v>
      </c>
      <c r="C1111" s="57" t="s">
        <v>35</v>
      </c>
      <c r="D1111" s="36" t="s">
        <v>61</v>
      </c>
      <c r="E1111" s="93">
        <v>45740</v>
      </c>
      <c r="F1111" s="46">
        <v>145000</v>
      </c>
      <c r="G1111" s="46">
        <v>145000</v>
      </c>
    </row>
    <row r="1112" spans="1:7">
      <c r="A1112" s="56" t="s">
        <v>799</v>
      </c>
      <c r="B1112" s="56" t="s">
        <v>233</v>
      </c>
      <c r="C1112" s="57" t="s">
        <v>35</v>
      </c>
      <c r="D1112" s="36" t="s">
        <v>61</v>
      </c>
      <c r="E1112" s="93">
        <v>45924</v>
      </c>
      <c r="F1112" s="46">
        <v>145000</v>
      </c>
      <c r="G1112" s="46">
        <v>145000</v>
      </c>
    </row>
    <row r="1113" spans="1:7">
      <c r="A1113" s="56" t="s">
        <v>799</v>
      </c>
      <c r="B1113" s="56" t="s">
        <v>233</v>
      </c>
      <c r="C1113" s="57" t="s">
        <v>35</v>
      </c>
      <c r="D1113" s="36" t="s">
        <v>61</v>
      </c>
      <c r="E1113" s="93">
        <v>46105</v>
      </c>
      <c r="F1113" s="46">
        <v>145000</v>
      </c>
      <c r="G1113" s="46">
        <v>145000</v>
      </c>
    </row>
    <row r="1114" spans="1:7">
      <c r="A1114" s="56" t="s">
        <v>799</v>
      </c>
      <c r="B1114" s="56" t="s">
        <v>233</v>
      </c>
      <c r="C1114" s="57" t="s">
        <v>35</v>
      </c>
      <c r="D1114" s="36" t="s">
        <v>61</v>
      </c>
      <c r="E1114" s="93">
        <v>46289</v>
      </c>
      <c r="F1114" s="46">
        <v>145000</v>
      </c>
      <c r="G1114" s="46">
        <v>145000</v>
      </c>
    </row>
    <row r="1115" spans="1:7">
      <c r="A1115" s="56" t="s">
        <v>799</v>
      </c>
      <c r="B1115" s="56" t="s">
        <v>233</v>
      </c>
      <c r="C1115" s="57" t="s">
        <v>35</v>
      </c>
      <c r="D1115" s="36" t="s">
        <v>61</v>
      </c>
      <c r="E1115" s="93">
        <v>46470</v>
      </c>
      <c r="F1115" s="46">
        <v>145000</v>
      </c>
      <c r="G1115" s="46">
        <v>145000</v>
      </c>
    </row>
    <row r="1116" spans="1:7">
      <c r="A1116" s="56" t="s">
        <v>799</v>
      </c>
      <c r="B1116" s="56" t="s">
        <v>233</v>
      </c>
      <c r="C1116" s="57" t="s">
        <v>35</v>
      </c>
      <c r="D1116" s="36" t="s">
        <v>61</v>
      </c>
      <c r="E1116" s="93">
        <v>46654</v>
      </c>
      <c r="F1116" s="46">
        <v>145000</v>
      </c>
      <c r="G1116" s="46">
        <v>145000</v>
      </c>
    </row>
    <row r="1117" spans="1:7">
      <c r="A1117" s="56" t="s">
        <v>799</v>
      </c>
      <c r="B1117" s="56" t="s">
        <v>233</v>
      </c>
      <c r="C1117" s="57" t="s">
        <v>35</v>
      </c>
      <c r="D1117" s="36" t="s">
        <v>61</v>
      </c>
      <c r="E1117" s="93">
        <v>46836</v>
      </c>
      <c r="F1117" s="46">
        <v>145000</v>
      </c>
      <c r="G1117" s="46">
        <v>145000</v>
      </c>
    </row>
    <row r="1118" spans="1:7">
      <c r="A1118" s="56" t="s">
        <v>799</v>
      </c>
      <c r="B1118" s="56" t="s">
        <v>233</v>
      </c>
      <c r="C1118" s="57" t="s">
        <v>35</v>
      </c>
      <c r="D1118" s="36" t="s">
        <v>61</v>
      </c>
      <c r="E1118" s="93">
        <v>47020</v>
      </c>
      <c r="F1118" s="46">
        <v>145000</v>
      </c>
      <c r="G1118" s="46">
        <v>145000</v>
      </c>
    </row>
    <row r="1119" spans="1:7">
      <c r="A1119" s="56" t="s">
        <v>799</v>
      </c>
      <c r="B1119" s="56" t="s">
        <v>233</v>
      </c>
      <c r="C1119" s="57" t="s">
        <v>35</v>
      </c>
      <c r="D1119" s="36" t="s">
        <v>61</v>
      </c>
      <c r="E1119" s="93">
        <v>47201</v>
      </c>
      <c r="F1119" s="46">
        <v>145000</v>
      </c>
      <c r="G1119" s="46">
        <v>145000</v>
      </c>
    </row>
    <row r="1120" spans="1:7">
      <c r="A1120" s="56" t="s">
        <v>799</v>
      </c>
      <c r="B1120" s="56" t="s">
        <v>233</v>
      </c>
      <c r="C1120" s="57" t="s">
        <v>35</v>
      </c>
      <c r="D1120" s="36" t="s">
        <v>61</v>
      </c>
      <c r="E1120" s="93">
        <v>47385</v>
      </c>
      <c r="F1120" s="46">
        <v>145000</v>
      </c>
      <c r="G1120" s="46">
        <v>145000</v>
      </c>
    </row>
    <row r="1121" spans="1:7">
      <c r="A1121" s="56" t="s">
        <v>799</v>
      </c>
      <c r="B1121" s="56" t="s">
        <v>233</v>
      </c>
      <c r="C1121" s="57" t="s">
        <v>35</v>
      </c>
      <c r="D1121" s="36" t="s">
        <v>61</v>
      </c>
      <c r="E1121" s="93">
        <v>47566</v>
      </c>
      <c r="F1121" s="46">
        <v>145000</v>
      </c>
      <c r="G1121" s="46">
        <v>145000</v>
      </c>
    </row>
    <row r="1122" spans="1:7">
      <c r="A1122" s="56" t="s">
        <v>799</v>
      </c>
      <c r="B1122" s="56" t="s">
        <v>233</v>
      </c>
      <c r="C1122" s="57" t="s">
        <v>35</v>
      </c>
      <c r="D1122" s="36" t="s">
        <v>61</v>
      </c>
      <c r="E1122" s="93">
        <v>47750</v>
      </c>
      <c r="F1122" s="46">
        <v>145000</v>
      </c>
      <c r="G1122" s="46">
        <v>145000</v>
      </c>
    </row>
    <row r="1123" spans="1:7">
      <c r="A1123" s="56" t="s">
        <v>799</v>
      </c>
      <c r="B1123" s="56" t="s">
        <v>233</v>
      </c>
      <c r="C1123" s="57" t="s">
        <v>35</v>
      </c>
      <c r="D1123" s="36" t="s">
        <v>61</v>
      </c>
      <c r="E1123" s="93">
        <v>47931</v>
      </c>
      <c r="F1123" s="46">
        <v>145000</v>
      </c>
      <c r="G1123" s="46">
        <v>145000</v>
      </c>
    </row>
    <row r="1124" spans="1:7">
      <c r="A1124" s="56" t="s">
        <v>799</v>
      </c>
      <c r="B1124" s="56" t="s">
        <v>233</v>
      </c>
      <c r="C1124" s="57" t="s">
        <v>35</v>
      </c>
      <c r="D1124" s="36" t="s">
        <v>61</v>
      </c>
      <c r="E1124" s="93">
        <v>48115</v>
      </c>
      <c r="F1124" s="46">
        <v>145000</v>
      </c>
      <c r="G1124" s="46">
        <v>145000</v>
      </c>
    </row>
    <row r="1125" spans="1:7">
      <c r="A1125" s="56" t="s">
        <v>799</v>
      </c>
      <c r="B1125" s="56" t="s">
        <v>233</v>
      </c>
      <c r="C1125" s="57" t="s">
        <v>35</v>
      </c>
      <c r="D1125" s="36" t="s">
        <v>61</v>
      </c>
      <c r="E1125" s="93">
        <v>48297</v>
      </c>
      <c r="F1125" s="46">
        <v>145000</v>
      </c>
      <c r="G1125" s="46">
        <v>8145000</v>
      </c>
    </row>
    <row r="1126" spans="1:7">
      <c r="A1126" s="87" t="s">
        <v>399</v>
      </c>
      <c r="B1126" s="87" t="s">
        <v>754</v>
      </c>
      <c r="C1126" s="88" t="s">
        <v>67</v>
      </c>
      <c r="D1126" s="87" t="s">
        <v>61</v>
      </c>
      <c r="E1126" s="89">
        <v>45030</v>
      </c>
      <c r="F1126" s="90">
        <v>39062.5</v>
      </c>
      <c r="G1126" s="90">
        <v>39062.5</v>
      </c>
    </row>
    <row r="1127" spans="1:7">
      <c r="A1127" s="33" t="s">
        <v>800</v>
      </c>
      <c r="B1127" s="33" t="s">
        <v>754</v>
      </c>
      <c r="C1127" s="48" t="s">
        <v>67</v>
      </c>
      <c r="D1127" s="33" t="s">
        <v>61</v>
      </c>
      <c r="E1127" s="93">
        <v>45213</v>
      </c>
      <c r="F1127" s="94">
        <v>39062.5</v>
      </c>
      <c r="G1127" s="94">
        <v>39062.5</v>
      </c>
    </row>
    <row r="1128" spans="1:7">
      <c r="A1128" s="33" t="s">
        <v>800</v>
      </c>
      <c r="B1128" s="33" t="s">
        <v>754</v>
      </c>
      <c r="C1128" s="48" t="s">
        <v>67</v>
      </c>
      <c r="D1128" s="33" t="s">
        <v>61</v>
      </c>
      <c r="E1128" s="91">
        <v>45396</v>
      </c>
      <c r="F1128" s="94">
        <v>39062.5</v>
      </c>
      <c r="G1128" s="94">
        <v>39062.5</v>
      </c>
    </row>
    <row r="1129" spans="1:7">
      <c r="A1129" s="33" t="s">
        <v>800</v>
      </c>
      <c r="B1129" s="33" t="s">
        <v>754</v>
      </c>
      <c r="C1129" s="48" t="s">
        <v>67</v>
      </c>
      <c r="D1129" s="33" t="s">
        <v>61</v>
      </c>
      <c r="E1129" s="93">
        <v>45579</v>
      </c>
      <c r="F1129" s="94">
        <v>39062.5</v>
      </c>
      <c r="G1129" s="94">
        <v>39062.5</v>
      </c>
    </row>
    <row r="1130" spans="1:7">
      <c r="A1130" s="33" t="s">
        <v>800</v>
      </c>
      <c r="B1130" s="33" t="s">
        <v>754</v>
      </c>
      <c r="C1130" s="48" t="s">
        <v>67</v>
      </c>
      <c r="D1130" s="33" t="s">
        <v>61</v>
      </c>
      <c r="E1130" s="91">
        <v>45761</v>
      </c>
      <c r="F1130" s="94">
        <v>39062.5</v>
      </c>
      <c r="G1130" s="94">
        <v>39062.5</v>
      </c>
    </row>
    <row r="1131" spans="1:7">
      <c r="A1131" s="33" t="s">
        <v>800</v>
      </c>
      <c r="B1131" s="33" t="s">
        <v>754</v>
      </c>
      <c r="C1131" s="48" t="s">
        <v>67</v>
      </c>
      <c r="D1131" s="33" t="s">
        <v>61</v>
      </c>
      <c r="E1131" s="93">
        <v>45944</v>
      </c>
      <c r="F1131" s="94">
        <v>39062.5</v>
      </c>
      <c r="G1131" s="94">
        <v>39062.5</v>
      </c>
    </row>
    <row r="1132" spans="1:7">
      <c r="A1132" s="33" t="s">
        <v>800</v>
      </c>
      <c r="B1132" s="33" t="s">
        <v>754</v>
      </c>
      <c r="C1132" s="48" t="s">
        <v>67</v>
      </c>
      <c r="D1132" s="33" t="s">
        <v>61</v>
      </c>
      <c r="E1132" s="91">
        <v>46126</v>
      </c>
      <c r="F1132" s="94">
        <v>39062.5</v>
      </c>
      <c r="G1132" s="94">
        <v>39062.5</v>
      </c>
    </row>
    <row r="1133" spans="1:7">
      <c r="A1133" s="33" t="s">
        <v>800</v>
      </c>
      <c r="B1133" s="33" t="s">
        <v>754</v>
      </c>
      <c r="C1133" s="48" t="s">
        <v>67</v>
      </c>
      <c r="D1133" s="33" t="s">
        <v>61</v>
      </c>
      <c r="E1133" s="93">
        <v>46309</v>
      </c>
      <c r="F1133" s="94">
        <v>39062.5</v>
      </c>
      <c r="G1133" s="94">
        <v>39062.5</v>
      </c>
    </row>
    <row r="1134" spans="1:7">
      <c r="A1134" s="33" t="s">
        <v>800</v>
      </c>
      <c r="B1134" s="33" t="s">
        <v>754</v>
      </c>
      <c r="C1134" s="48" t="s">
        <v>67</v>
      </c>
      <c r="D1134" s="33" t="s">
        <v>61</v>
      </c>
      <c r="E1134" s="91">
        <v>46491</v>
      </c>
      <c r="F1134" s="94">
        <v>39062.5</v>
      </c>
      <c r="G1134" s="94">
        <v>39062.5</v>
      </c>
    </row>
    <row r="1135" spans="1:7">
      <c r="A1135" s="33" t="s">
        <v>800</v>
      </c>
      <c r="B1135" s="33" t="s">
        <v>754</v>
      </c>
      <c r="C1135" s="48" t="s">
        <v>67</v>
      </c>
      <c r="D1135" s="33" t="s">
        <v>61</v>
      </c>
      <c r="E1135" s="93">
        <v>46674</v>
      </c>
      <c r="F1135" s="94">
        <v>39062.5</v>
      </c>
      <c r="G1135" s="94">
        <v>39062.5</v>
      </c>
    </row>
    <row r="1136" spans="1:7">
      <c r="A1136" s="33" t="s">
        <v>800</v>
      </c>
      <c r="B1136" s="33" t="s">
        <v>754</v>
      </c>
      <c r="C1136" s="48" t="s">
        <v>67</v>
      </c>
      <c r="D1136" s="33" t="s">
        <v>61</v>
      </c>
      <c r="E1136" s="91">
        <v>46857</v>
      </c>
      <c r="F1136" s="94">
        <v>39062.5</v>
      </c>
      <c r="G1136" s="94">
        <v>39062.5</v>
      </c>
    </row>
    <row r="1137" spans="1:7">
      <c r="A1137" s="33" t="s">
        <v>800</v>
      </c>
      <c r="B1137" s="33" t="s">
        <v>754</v>
      </c>
      <c r="C1137" s="48" t="s">
        <v>67</v>
      </c>
      <c r="D1137" s="33" t="s">
        <v>61</v>
      </c>
      <c r="E1137" s="93">
        <v>47040</v>
      </c>
      <c r="F1137" s="94">
        <v>39062.5</v>
      </c>
      <c r="G1137" s="94">
        <v>39062.5</v>
      </c>
    </row>
    <row r="1138" spans="1:7">
      <c r="A1138" s="33" t="s">
        <v>800</v>
      </c>
      <c r="B1138" s="33" t="s">
        <v>754</v>
      </c>
      <c r="C1138" s="48" t="s">
        <v>67</v>
      </c>
      <c r="D1138" s="33" t="s">
        <v>61</v>
      </c>
      <c r="E1138" s="91">
        <v>47222</v>
      </c>
      <c r="F1138" s="94">
        <v>39062.5</v>
      </c>
      <c r="G1138" s="94">
        <v>39062.5</v>
      </c>
    </row>
    <row r="1139" spans="1:7">
      <c r="A1139" s="33" t="s">
        <v>800</v>
      </c>
      <c r="B1139" s="33" t="s">
        <v>754</v>
      </c>
      <c r="C1139" s="48" t="s">
        <v>67</v>
      </c>
      <c r="D1139" s="33" t="s">
        <v>61</v>
      </c>
      <c r="E1139" s="93">
        <v>47405</v>
      </c>
      <c r="F1139" s="94">
        <v>39062.5</v>
      </c>
      <c r="G1139" s="94">
        <v>39062.5</v>
      </c>
    </row>
    <row r="1140" spans="1:7">
      <c r="A1140" s="33" t="s">
        <v>800</v>
      </c>
      <c r="B1140" s="33" t="s">
        <v>754</v>
      </c>
      <c r="C1140" s="48" t="s">
        <v>67</v>
      </c>
      <c r="D1140" s="33" t="s">
        <v>61</v>
      </c>
      <c r="E1140" s="91">
        <v>47587</v>
      </c>
      <c r="F1140" s="94">
        <v>39062.5</v>
      </c>
      <c r="G1140" s="94">
        <v>2539062.5</v>
      </c>
    </row>
    <row r="1141" spans="1:7">
      <c r="A1141" s="87" t="s">
        <v>648</v>
      </c>
      <c r="B1141" s="87" t="s">
        <v>77</v>
      </c>
      <c r="C1141" s="88" t="s">
        <v>43</v>
      </c>
      <c r="D1141" s="87" t="s">
        <v>61</v>
      </c>
      <c r="E1141" s="89">
        <v>45538</v>
      </c>
      <c r="F1141" s="90">
        <v>29000</v>
      </c>
      <c r="G1141" s="90">
        <v>29000</v>
      </c>
    </row>
    <row r="1142" spans="1:7">
      <c r="A1142" s="33" t="s">
        <v>648</v>
      </c>
      <c r="B1142" s="33" t="s">
        <v>77</v>
      </c>
      <c r="C1142" s="48" t="s">
        <v>43</v>
      </c>
      <c r="D1142" s="33" t="s">
        <v>61</v>
      </c>
      <c r="E1142" s="91">
        <v>45719</v>
      </c>
      <c r="F1142" s="92">
        <v>29000</v>
      </c>
      <c r="G1142" s="92">
        <v>29000</v>
      </c>
    </row>
    <row r="1143" spans="1:7">
      <c r="A1143" s="33" t="s">
        <v>801</v>
      </c>
      <c r="B1143" s="33" t="s">
        <v>77</v>
      </c>
      <c r="C1143" s="48" t="s">
        <v>43</v>
      </c>
      <c r="D1143" s="33" t="s">
        <v>61</v>
      </c>
      <c r="E1143" s="91">
        <v>45903</v>
      </c>
      <c r="F1143" s="92">
        <v>29000</v>
      </c>
      <c r="G1143" s="92">
        <v>29000</v>
      </c>
    </row>
    <row r="1144" spans="1:7">
      <c r="A1144" s="33" t="s">
        <v>801</v>
      </c>
      <c r="B1144" s="33" t="s">
        <v>77</v>
      </c>
      <c r="C1144" s="48" t="s">
        <v>43</v>
      </c>
      <c r="D1144" s="33" t="s">
        <v>61</v>
      </c>
      <c r="E1144" s="91">
        <v>46084</v>
      </c>
      <c r="F1144" s="92">
        <v>29000</v>
      </c>
      <c r="G1144" s="92">
        <v>29000</v>
      </c>
    </row>
    <row r="1145" spans="1:7">
      <c r="A1145" s="33" t="s">
        <v>801</v>
      </c>
      <c r="B1145" s="33" t="s">
        <v>77</v>
      </c>
      <c r="C1145" s="48" t="s">
        <v>43</v>
      </c>
      <c r="D1145" s="33" t="s">
        <v>61</v>
      </c>
      <c r="E1145" s="91">
        <v>46268</v>
      </c>
      <c r="F1145" s="92">
        <v>29000</v>
      </c>
      <c r="G1145" s="92">
        <v>29000</v>
      </c>
    </row>
    <row r="1146" spans="1:7">
      <c r="A1146" s="33" t="s">
        <v>801</v>
      </c>
      <c r="B1146" s="33" t="s">
        <v>77</v>
      </c>
      <c r="C1146" s="48" t="s">
        <v>43</v>
      </c>
      <c r="D1146" s="33" t="s">
        <v>61</v>
      </c>
      <c r="E1146" s="91">
        <v>46449</v>
      </c>
      <c r="F1146" s="92">
        <v>29000</v>
      </c>
      <c r="G1146" s="92">
        <v>29000</v>
      </c>
    </row>
    <row r="1147" spans="1:7">
      <c r="A1147" s="33" t="s">
        <v>801</v>
      </c>
      <c r="B1147" s="33" t="s">
        <v>77</v>
      </c>
      <c r="C1147" s="48" t="s">
        <v>43</v>
      </c>
      <c r="D1147" s="33" t="s">
        <v>61</v>
      </c>
      <c r="E1147" s="91">
        <v>46633</v>
      </c>
      <c r="F1147" s="92">
        <v>29000</v>
      </c>
      <c r="G1147" s="92">
        <v>29000</v>
      </c>
    </row>
    <row r="1148" spans="1:7">
      <c r="A1148" s="33" t="s">
        <v>801</v>
      </c>
      <c r="B1148" s="33" t="s">
        <v>77</v>
      </c>
      <c r="C1148" s="48" t="s">
        <v>43</v>
      </c>
      <c r="D1148" s="33" t="s">
        <v>61</v>
      </c>
      <c r="E1148" s="91">
        <v>46815</v>
      </c>
      <c r="F1148" s="92">
        <v>29000</v>
      </c>
      <c r="G1148" s="92">
        <v>29000</v>
      </c>
    </row>
    <row r="1149" spans="1:7">
      <c r="A1149" s="33" t="s">
        <v>801</v>
      </c>
      <c r="B1149" s="33" t="s">
        <v>77</v>
      </c>
      <c r="C1149" s="48" t="s">
        <v>43</v>
      </c>
      <c r="D1149" s="33" t="s">
        <v>61</v>
      </c>
      <c r="E1149" s="91">
        <v>46999</v>
      </c>
      <c r="F1149" s="92">
        <v>29000</v>
      </c>
      <c r="G1149" s="92">
        <v>29000</v>
      </c>
    </row>
    <row r="1150" spans="1:7">
      <c r="A1150" s="33" t="s">
        <v>801</v>
      </c>
      <c r="B1150" s="33" t="s">
        <v>77</v>
      </c>
      <c r="C1150" s="48" t="s">
        <v>43</v>
      </c>
      <c r="D1150" s="33" t="s">
        <v>61</v>
      </c>
      <c r="E1150" s="91">
        <v>47180</v>
      </c>
      <c r="F1150" s="92">
        <v>29000</v>
      </c>
      <c r="G1150" s="92">
        <v>29000</v>
      </c>
    </row>
    <row r="1151" spans="1:7">
      <c r="A1151" s="33" t="s">
        <v>801</v>
      </c>
      <c r="B1151" s="33" t="s">
        <v>77</v>
      </c>
      <c r="C1151" s="48" t="s">
        <v>43</v>
      </c>
      <c r="D1151" s="33" t="s">
        <v>61</v>
      </c>
      <c r="E1151" s="91">
        <v>47364</v>
      </c>
      <c r="F1151" s="92">
        <v>29000</v>
      </c>
      <c r="G1151" s="92">
        <v>29000</v>
      </c>
    </row>
    <row r="1152" spans="1:7">
      <c r="A1152" s="33" t="s">
        <v>801</v>
      </c>
      <c r="B1152" s="33" t="s">
        <v>77</v>
      </c>
      <c r="C1152" s="48" t="s">
        <v>43</v>
      </c>
      <c r="D1152" s="33" t="s">
        <v>61</v>
      </c>
      <c r="E1152" s="91">
        <v>47545</v>
      </c>
      <c r="F1152" s="92">
        <v>29000</v>
      </c>
      <c r="G1152" s="92">
        <v>29000</v>
      </c>
    </row>
    <row r="1153" spans="1:7">
      <c r="A1153" s="33" t="s">
        <v>801</v>
      </c>
      <c r="B1153" s="33" t="s">
        <v>77</v>
      </c>
      <c r="C1153" s="48" t="s">
        <v>43</v>
      </c>
      <c r="D1153" s="33" t="s">
        <v>61</v>
      </c>
      <c r="E1153" s="91">
        <v>47729</v>
      </c>
      <c r="F1153" s="92">
        <v>29000</v>
      </c>
      <c r="G1153" s="92">
        <v>29000</v>
      </c>
    </row>
    <row r="1154" spans="1:7">
      <c r="A1154" s="33" t="s">
        <v>801</v>
      </c>
      <c r="B1154" s="33" t="s">
        <v>77</v>
      </c>
      <c r="C1154" s="48" t="s">
        <v>43</v>
      </c>
      <c r="D1154" s="33" t="s">
        <v>61</v>
      </c>
      <c r="E1154" s="91">
        <v>47910</v>
      </c>
      <c r="F1154" s="92">
        <v>29000</v>
      </c>
      <c r="G1154" s="92">
        <v>29000</v>
      </c>
    </row>
    <row r="1155" spans="1:7">
      <c r="A1155" s="33" t="s">
        <v>801</v>
      </c>
      <c r="B1155" s="33" t="s">
        <v>77</v>
      </c>
      <c r="C1155" s="48" t="s">
        <v>43</v>
      </c>
      <c r="D1155" s="33" t="s">
        <v>61</v>
      </c>
      <c r="E1155" s="91">
        <v>48460</v>
      </c>
      <c r="F1155" s="92">
        <v>29000</v>
      </c>
      <c r="G1155" s="92">
        <v>29000</v>
      </c>
    </row>
    <row r="1156" spans="1:7">
      <c r="A1156" s="33" t="s">
        <v>801</v>
      </c>
      <c r="B1156" s="33" t="s">
        <v>77</v>
      </c>
      <c r="C1156" s="48" t="s">
        <v>43</v>
      </c>
      <c r="D1156" s="33" t="s">
        <v>61</v>
      </c>
      <c r="E1156" s="91">
        <v>48276</v>
      </c>
      <c r="F1156" s="92">
        <v>29000</v>
      </c>
      <c r="G1156" s="92">
        <v>2029000</v>
      </c>
    </row>
    <row r="1157" spans="1:7">
      <c r="A1157" s="87" t="s">
        <v>648</v>
      </c>
      <c r="B1157" s="87" t="s">
        <v>54</v>
      </c>
      <c r="C1157" s="88" t="s">
        <v>43</v>
      </c>
      <c r="D1157" s="87" t="s">
        <v>61</v>
      </c>
      <c r="E1157" s="89">
        <v>45538</v>
      </c>
      <c r="F1157" s="90">
        <v>29000</v>
      </c>
      <c r="G1157" s="90">
        <v>29000</v>
      </c>
    </row>
    <row r="1158" spans="1:7">
      <c r="A1158" s="33" t="s">
        <v>648</v>
      </c>
      <c r="B1158" s="33" t="s">
        <v>54</v>
      </c>
      <c r="C1158" s="48" t="s">
        <v>43</v>
      </c>
      <c r="D1158" s="33" t="s">
        <v>61</v>
      </c>
      <c r="E1158" s="91">
        <v>45719</v>
      </c>
      <c r="F1158" s="92">
        <v>29000</v>
      </c>
      <c r="G1158" s="92">
        <v>29000</v>
      </c>
    </row>
    <row r="1159" spans="1:7">
      <c r="A1159" s="33" t="s">
        <v>801</v>
      </c>
      <c r="B1159" s="33" t="s">
        <v>54</v>
      </c>
      <c r="C1159" s="48" t="s">
        <v>43</v>
      </c>
      <c r="D1159" s="33" t="s">
        <v>61</v>
      </c>
      <c r="E1159" s="91">
        <v>45903</v>
      </c>
      <c r="F1159" s="92">
        <v>29000</v>
      </c>
      <c r="G1159" s="92">
        <v>29000</v>
      </c>
    </row>
    <row r="1160" spans="1:7">
      <c r="A1160" s="33" t="s">
        <v>801</v>
      </c>
      <c r="B1160" s="33" t="s">
        <v>54</v>
      </c>
      <c r="C1160" s="48" t="s">
        <v>43</v>
      </c>
      <c r="D1160" s="33" t="s">
        <v>61</v>
      </c>
      <c r="E1160" s="91">
        <v>46084</v>
      </c>
      <c r="F1160" s="92">
        <v>29000</v>
      </c>
      <c r="G1160" s="92">
        <v>29000</v>
      </c>
    </row>
    <row r="1161" spans="1:7">
      <c r="A1161" s="33" t="s">
        <v>801</v>
      </c>
      <c r="B1161" s="33" t="s">
        <v>54</v>
      </c>
      <c r="C1161" s="48" t="s">
        <v>43</v>
      </c>
      <c r="D1161" s="33" t="s">
        <v>61</v>
      </c>
      <c r="E1161" s="91">
        <v>46268</v>
      </c>
      <c r="F1161" s="92">
        <v>29000</v>
      </c>
      <c r="G1161" s="92">
        <v>29000</v>
      </c>
    </row>
    <row r="1162" spans="1:7">
      <c r="A1162" s="33" t="s">
        <v>801</v>
      </c>
      <c r="B1162" s="33" t="s">
        <v>54</v>
      </c>
      <c r="C1162" s="48" t="s">
        <v>43</v>
      </c>
      <c r="D1162" s="33" t="s">
        <v>61</v>
      </c>
      <c r="E1162" s="91">
        <v>46449</v>
      </c>
      <c r="F1162" s="92">
        <v>29000</v>
      </c>
      <c r="G1162" s="92">
        <v>29000</v>
      </c>
    </row>
    <row r="1163" spans="1:7">
      <c r="A1163" s="33" t="s">
        <v>801</v>
      </c>
      <c r="B1163" s="33" t="s">
        <v>54</v>
      </c>
      <c r="C1163" s="48" t="s">
        <v>43</v>
      </c>
      <c r="D1163" s="33" t="s">
        <v>61</v>
      </c>
      <c r="E1163" s="91">
        <v>46633</v>
      </c>
      <c r="F1163" s="92">
        <v>29000</v>
      </c>
      <c r="G1163" s="92">
        <v>29000</v>
      </c>
    </row>
    <row r="1164" spans="1:7">
      <c r="A1164" s="33" t="s">
        <v>801</v>
      </c>
      <c r="B1164" s="33" t="s">
        <v>54</v>
      </c>
      <c r="C1164" s="48" t="s">
        <v>43</v>
      </c>
      <c r="D1164" s="33" t="s">
        <v>61</v>
      </c>
      <c r="E1164" s="91">
        <v>46815</v>
      </c>
      <c r="F1164" s="92">
        <v>29000</v>
      </c>
      <c r="G1164" s="92">
        <v>29000</v>
      </c>
    </row>
    <row r="1165" spans="1:7">
      <c r="A1165" s="33" t="s">
        <v>801</v>
      </c>
      <c r="B1165" s="33" t="s">
        <v>54</v>
      </c>
      <c r="C1165" s="48" t="s">
        <v>43</v>
      </c>
      <c r="D1165" s="33" t="s">
        <v>61</v>
      </c>
      <c r="E1165" s="91">
        <v>46999</v>
      </c>
      <c r="F1165" s="92">
        <v>29000</v>
      </c>
      <c r="G1165" s="92">
        <v>29000</v>
      </c>
    </row>
    <row r="1166" spans="1:7">
      <c r="A1166" s="33" t="s">
        <v>801</v>
      </c>
      <c r="B1166" s="33" t="s">
        <v>54</v>
      </c>
      <c r="C1166" s="48" t="s">
        <v>43</v>
      </c>
      <c r="D1166" s="33" t="s">
        <v>61</v>
      </c>
      <c r="E1166" s="91">
        <v>47180</v>
      </c>
      <c r="F1166" s="92">
        <v>29000</v>
      </c>
      <c r="G1166" s="92">
        <v>29000</v>
      </c>
    </row>
    <row r="1167" spans="1:7">
      <c r="A1167" s="33" t="s">
        <v>801</v>
      </c>
      <c r="B1167" s="33" t="s">
        <v>54</v>
      </c>
      <c r="C1167" s="48" t="s">
        <v>43</v>
      </c>
      <c r="D1167" s="33" t="s">
        <v>61</v>
      </c>
      <c r="E1167" s="91">
        <v>47364</v>
      </c>
      <c r="F1167" s="92">
        <v>29000</v>
      </c>
      <c r="G1167" s="92">
        <v>29000</v>
      </c>
    </row>
    <row r="1168" spans="1:7">
      <c r="A1168" s="33" t="s">
        <v>801</v>
      </c>
      <c r="B1168" s="33" t="s">
        <v>54</v>
      </c>
      <c r="C1168" s="48" t="s">
        <v>43</v>
      </c>
      <c r="D1168" s="33" t="s">
        <v>61</v>
      </c>
      <c r="E1168" s="91">
        <v>47545</v>
      </c>
      <c r="F1168" s="92">
        <v>29000</v>
      </c>
      <c r="G1168" s="92">
        <v>29000</v>
      </c>
    </row>
    <row r="1169" spans="1:7">
      <c r="A1169" s="33" t="s">
        <v>801</v>
      </c>
      <c r="B1169" s="33" t="s">
        <v>54</v>
      </c>
      <c r="C1169" s="48" t="s">
        <v>43</v>
      </c>
      <c r="D1169" s="33" t="s">
        <v>61</v>
      </c>
      <c r="E1169" s="91">
        <v>47729</v>
      </c>
      <c r="F1169" s="92">
        <v>29000</v>
      </c>
      <c r="G1169" s="92">
        <v>29000</v>
      </c>
    </row>
    <row r="1170" spans="1:7">
      <c r="A1170" s="33" t="s">
        <v>801</v>
      </c>
      <c r="B1170" s="33" t="s">
        <v>54</v>
      </c>
      <c r="C1170" s="48" t="s">
        <v>43</v>
      </c>
      <c r="D1170" s="33" t="s">
        <v>61</v>
      </c>
      <c r="E1170" s="91">
        <v>47910</v>
      </c>
      <c r="F1170" s="92">
        <v>29000</v>
      </c>
      <c r="G1170" s="92">
        <v>29000</v>
      </c>
    </row>
    <row r="1171" spans="1:7">
      <c r="A1171" s="33" t="s">
        <v>801</v>
      </c>
      <c r="B1171" s="33" t="s">
        <v>54</v>
      </c>
      <c r="C1171" s="48" t="s">
        <v>43</v>
      </c>
      <c r="D1171" s="33" t="s">
        <v>61</v>
      </c>
      <c r="E1171" s="91">
        <v>48460</v>
      </c>
      <c r="F1171" s="92">
        <v>29000</v>
      </c>
      <c r="G1171" s="92">
        <v>29000</v>
      </c>
    </row>
    <row r="1172" spans="1:7">
      <c r="A1172" s="33" t="s">
        <v>801</v>
      </c>
      <c r="B1172" s="33" t="s">
        <v>54</v>
      </c>
      <c r="C1172" s="48" t="s">
        <v>43</v>
      </c>
      <c r="D1172" s="33" t="s">
        <v>61</v>
      </c>
      <c r="E1172" s="91">
        <v>48276</v>
      </c>
      <c r="F1172" s="92">
        <v>29000</v>
      </c>
      <c r="G1172" s="92">
        <v>2029000</v>
      </c>
    </row>
    <row r="1173" spans="1:7">
      <c r="A1173" s="87" t="s">
        <v>202</v>
      </c>
      <c r="B1173" s="87" t="s">
        <v>54</v>
      </c>
      <c r="C1173" s="88" t="s">
        <v>43</v>
      </c>
      <c r="D1173" s="87" t="s">
        <v>61</v>
      </c>
      <c r="E1173" s="89">
        <v>45061</v>
      </c>
      <c r="F1173" s="90">
        <v>38750</v>
      </c>
      <c r="G1173" s="90">
        <v>38750</v>
      </c>
    </row>
    <row r="1174" spans="1:7">
      <c r="A1174" s="33" t="s">
        <v>202</v>
      </c>
      <c r="B1174" s="33" t="s">
        <v>54</v>
      </c>
      <c r="C1174" s="33" t="s">
        <v>60</v>
      </c>
      <c r="D1174" s="36" t="s">
        <v>61</v>
      </c>
      <c r="E1174" s="91">
        <v>45243</v>
      </c>
      <c r="F1174" s="92">
        <v>38750</v>
      </c>
      <c r="G1174" s="92">
        <v>38750</v>
      </c>
    </row>
    <row r="1175" spans="1:7">
      <c r="A1175" s="33" t="s">
        <v>202</v>
      </c>
      <c r="B1175" s="33" t="s">
        <v>54</v>
      </c>
      <c r="C1175" s="33" t="s">
        <v>60</v>
      </c>
      <c r="D1175" s="36" t="s">
        <v>61</v>
      </c>
      <c r="E1175" s="91">
        <v>45427</v>
      </c>
      <c r="F1175" s="92">
        <v>38750</v>
      </c>
      <c r="G1175" s="92">
        <v>38750</v>
      </c>
    </row>
    <row r="1176" spans="1:7">
      <c r="A1176" s="33" t="s">
        <v>202</v>
      </c>
      <c r="B1176" s="33" t="s">
        <v>54</v>
      </c>
      <c r="C1176" s="33" t="s">
        <v>60</v>
      </c>
      <c r="D1176" s="36" t="s">
        <v>61</v>
      </c>
      <c r="E1176" s="91">
        <v>45609</v>
      </c>
      <c r="F1176" s="92">
        <v>38750</v>
      </c>
      <c r="G1176" s="92">
        <v>38750</v>
      </c>
    </row>
    <row r="1177" spans="1:7">
      <c r="A1177" s="33" t="s">
        <v>202</v>
      </c>
      <c r="B1177" s="33" t="s">
        <v>54</v>
      </c>
      <c r="C1177" s="33" t="s">
        <v>60</v>
      </c>
      <c r="D1177" s="36" t="s">
        <v>61</v>
      </c>
      <c r="E1177" s="91">
        <v>45792</v>
      </c>
      <c r="F1177" s="92">
        <v>38750</v>
      </c>
      <c r="G1177" s="92">
        <v>38750</v>
      </c>
    </row>
    <row r="1178" spans="1:7">
      <c r="A1178" s="33" t="s">
        <v>202</v>
      </c>
      <c r="B1178" s="33" t="s">
        <v>54</v>
      </c>
      <c r="C1178" s="33" t="s">
        <v>60</v>
      </c>
      <c r="D1178" s="36" t="s">
        <v>61</v>
      </c>
      <c r="E1178" s="91">
        <v>45974</v>
      </c>
      <c r="F1178" s="92">
        <v>38750</v>
      </c>
      <c r="G1178" s="92">
        <v>38750</v>
      </c>
    </row>
    <row r="1179" spans="1:7">
      <c r="A1179" s="33" t="s">
        <v>202</v>
      </c>
      <c r="B1179" s="33" t="s">
        <v>54</v>
      </c>
      <c r="C1179" s="33" t="s">
        <v>60</v>
      </c>
      <c r="D1179" s="36" t="s">
        <v>61</v>
      </c>
      <c r="E1179" s="91">
        <v>46157</v>
      </c>
      <c r="F1179" s="92">
        <v>38750</v>
      </c>
      <c r="G1179" s="92">
        <v>38750</v>
      </c>
    </row>
    <row r="1180" spans="1:7">
      <c r="A1180" s="33" t="s">
        <v>202</v>
      </c>
      <c r="B1180" s="33" t="s">
        <v>54</v>
      </c>
      <c r="C1180" s="33" t="s">
        <v>60</v>
      </c>
      <c r="D1180" s="36" t="s">
        <v>61</v>
      </c>
      <c r="E1180" s="91">
        <v>46339</v>
      </c>
      <c r="F1180" s="92">
        <v>38750</v>
      </c>
      <c r="G1180" s="92">
        <v>38750</v>
      </c>
    </row>
    <row r="1181" spans="1:7">
      <c r="A1181" s="33" t="s">
        <v>202</v>
      </c>
      <c r="B1181" s="33" t="s">
        <v>54</v>
      </c>
      <c r="C1181" s="33" t="s">
        <v>60</v>
      </c>
      <c r="D1181" s="36" t="s">
        <v>61</v>
      </c>
      <c r="E1181" s="91">
        <v>46522</v>
      </c>
      <c r="F1181" s="92">
        <v>38750</v>
      </c>
      <c r="G1181" s="92">
        <v>38750</v>
      </c>
    </row>
    <row r="1182" spans="1:7">
      <c r="A1182" s="33" t="s">
        <v>202</v>
      </c>
      <c r="B1182" s="33" t="s">
        <v>54</v>
      </c>
      <c r="C1182" s="33" t="s">
        <v>60</v>
      </c>
      <c r="D1182" s="36" t="s">
        <v>61</v>
      </c>
      <c r="E1182" s="91">
        <v>46704</v>
      </c>
      <c r="F1182" s="92">
        <v>38750</v>
      </c>
      <c r="G1182" s="92">
        <v>38750</v>
      </c>
    </row>
    <row r="1183" spans="1:7">
      <c r="A1183" s="33" t="s">
        <v>202</v>
      </c>
      <c r="B1183" s="33" t="s">
        <v>54</v>
      </c>
      <c r="C1183" s="33" t="s">
        <v>60</v>
      </c>
      <c r="D1183" s="36" t="s">
        <v>61</v>
      </c>
      <c r="E1183" s="91">
        <v>46888</v>
      </c>
      <c r="F1183" s="92">
        <v>38750</v>
      </c>
      <c r="G1183" s="92">
        <v>38750</v>
      </c>
    </row>
    <row r="1184" spans="1:7">
      <c r="A1184" s="33" t="s">
        <v>202</v>
      </c>
      <c r="B1184" s="33" t="s">
        <v>54</v>
      </c>
      <c r="C1184" s="33" t="s">
        <v>60</v>
      </c>
      <c r="D1184" s="36" t="s">
        <v>61</v>
      </c>
      <c r="E1184" s="91">
        <v>47070</v>
      </c>
      <c r="F1184" s="92">
        <v>38750</v>
      </c>
      <c r="G1184" s="92">
        <v>2038750</v>
      </c>
    </row>
    <row r="1185" spans="1:7">
      <c r="A1185" s="87" t="s">
        <v>202</v>
      </c>
      <c r="B1185" s="87" t="s">
        <v>77</v>
      </c>
      <c r="C1185" s="88" t="s">
        <v>43</v>
      </c>
      <c r="D1185" s="87" t="s">
        <v>61</v>
      </c>
      <c r="E1185" s="89">
        <v>45061</v>
      </c>
      <c r="F1185" s="90">
        <v>58125</v>
      </c>
      <c r="G1185" s="90">
        <v>58125</v>
      </c>
    </row>
    <row r="1186" spans="1:7">
      <c r="A1186" s="33" t="s">
        <v>202</v>
      </c>
      <c r="B1186" s="33" t="s">
        <v>77</v>
      </c>
      <c r="C1186" s="48" t="s">
        <v>43</v>
      </c>
      <c r="D1186" s="33" t="s">
        <v>61</v>
      </c>
      <c r="E1186" s="91">
        <v>45243</v>
      </c>
      <c r="F1186" s="92">
        <v>58125</v>
      </c>
      <c r="G1186" s="92">
        <v>58125</v>
      </c>
    </row>
    <row r="1187" spans="1:7">
      <c r="A1187" s="33" t="s">
        <v>202</v>
      </c>
      <c r="B1187" s="33" t="s">
        <v>77</v>
      </c>
      <c r="C1187" s="48" t="s">
        <v>43</v>
      </c>
      <c r="D1187" s="33" t="s">
        <v>61</v>
      </c>
      <c r="E1187" s="91">
        <v>45427</v>
      </c>
      <c r="F1187" s="92">
        <v>58125</v>
      </c>
      <c r="G1187" s="92">
        <v>58125</v>
      </c>
    </row>
    <row r="1188" spans="1:7">
      <c r="A1188" s="33" t="s">
        <v>202</v>
      </c>
      <c r="B1188" s="33" t="s">
        <v>77</v>
      </c>
      <c r="C1188" s="48" t="s">
        <v>43</v>
      </c>
      <c r="D1188" s="33" t="s">
        <v>61</v>
      </c>
      <c r="E1188" s="91">
        <v>45609</v>
      </c>
      <c r="F1188" s="92">
        <v>58125</v>
      </c>
      <c r="G1188" s="92">
        <v>58125</v>
      </c>
    </row>
    <row r="1189" spans="1:7">
      <c r="A1189" s="33" t="s">
        <v>202</v>
      </c>
      <c r="B1189" s="33" t="s">
        <v>77</v>
      </c>
      <c r="C1189" s="48" t="s">
        <v>43</v>
      </c>
      <c r="D1189" s="33" t="s">
        <v>61</v>
      </c>
      <c r="E1189" s="91">
        <v>45792</v>
      </c>
      <c r="F1189" s="92">
        <v>58125</v>
      </c>
      <c r="G1189" s="92">
        <v>58125</v>
      </c>
    </row>
    <row r="1190" spans="1:7">
      <c r="A1190" s="33" t="s">
        <v>202</v>
      </c>
      <c r="B1190" s="33" t="s">
        <v>77</v>
      </c>
      <c r="C1190" s="48" t="s">
        <v>43</v>
      </c>
      <c r="D1190" s="33" t="s">
        <v>61</v>
      </c>
      <c r="E1190" s="91">
        <v>45974</v>
      </c>
      <c r="F1190" s="92">
        <v>58125</v>
      </c>
      <c r="G1190" s="92">
        <v>58125</v>
      </c>
    </row>
    <row r="1191" spans="1:7">
      <c r="A1191" s="33" t="s">
        <v>202</v>
      </c>
      <c r="B1191" s="33" t="s">
        <v>77</v>
      </c>
      <c r="C1191" s="48" t="s">
        <v>43</v>
      </c>
      <c r="D1191" s="33" t="s">
        <v>61</v>
      </c>
      <c r="E1191" s="91">
        <v>46157</v>
      </c>
      <c r="F1191" s="92">
        <v>58125</v>
      </c>
      <c r="G1191" s="92">
        <v>58125</v>
      </c>
    </row>
    <row r="1192" spans="1:7">
      <c r="A1192" s="33" t="s">
        <v>202</v>
      </c>
      <c r="B1192" s="33" t="s">
        <v>77</v>
      </c>
      <c r="C1192" s="48" t="s">
        <v>43</v>
      </c>
      <c r="D1192" s="33" t="s">
        <v>61</v>
      </c>
      <c r="E1192" s="91">
        <v>46339</v>
      </c>
      <c r="F1192" s="92">
        <v>58125</v>
      </c>
      <c r="G1192" s="92">
        <v>58125</v>
      </c>
    </row>
    <row r="1193" spans="1:7">
      <c r="A1193" s="33" t="s">
        <v>202</v>
      </c>
      <c r="B1193" s="33" t="s">
        <v>77</v>
      </c>
      <c r="C1193" s="48" t="s">
        <v>43</v>
      </c>
      <c r="D1193" s="33" t="s">
        <v>61</v>
      </c>
      <c r="E1193" s="91">
        <v>46522</v>
      </c>
      <c r="F1193" s="92">
        <v>58125</v>
      </c>
      <c r="G1193" s="92">
        <v>58125</v>
      </c>
    </row>
    <row r="1194" spans="1:7">
      <c r="A1194" s="33" t="s">
        <v>202</v>
      </c>
      <c r="B1194" s="33" t="s">
        <v>77</v>
      </c>
      <c r="C1194" s="48" t="s">
        <v>43</v>
      </c>
      <c r="D1194" s="33" t="s">
        <v>61</v>
      </c>
      <c r="E1194" s="91">
        <v>46704</v>
      </c>
      <c r="F1194" s="92">
        <v>58125</v>
      </c>
      <c r="G1194" s="92">
        <v>58125</v>
      </c>
    </row>
    <row r="1195" spans="1:7">
      <c r="A1195" s="33" t="s">
        <v>202</v>
      </c>
      <c r="B1195" s="33" t="s">
        <v>77</v>
      </c>
      <c r="C1195" s="48" t="s">
        <v>43</v>
      </c>
      <c r="D1195" s="33" t="s">
        <v>61</v>
      </c>
      <c r="E1195" s="91">
        <v>46888</v>
      </c>
      <c r="F1195" s="92">
        <v>58125</v>
      </c>
      <c r="G1195" s="92">
        <v>58125</v>
      </c>
    </row>
    <row r="1196" spans="1:7">
      <c r="A1196" s="33" t="s">
        <v>202</v>
      </c>
      <c r="B1196" s="33" t="s">
        <v>77</v>
      </c>
      <c r="C1196" s="48" t="s">
        <v>43</v>
      </c>
      <c r="D1196" s="33" t="s">
        <v>61</v>
      </c>
      <c r="E1196" s="91">
        <v>47070</v>
      </c>
      <c r="F1196" s="92">
        <v>58125</v>
      </c>
      <c r="G1196" s="92">
        <v>3058125</v>
      </c>
    </row>
    <row r="1197" spans="1:7">
      <c r="A1197" s="87" t="s">
        <v>202</v>
      </c>
      <c r="B1197" s="87" t="s">
        <v>54</v>
      </c>
      <c r="C1197" s="88" t="s">
        <v>43</v>
      </c>
      <c r="D1197" s="87" t="s">
        <v>61</v>
      </c>
      <c r="E1197" s="89">
        <v>45059</v>
      </c>
      <c r="F1197" s="90">
        <v>135625</v>
      </c>
      <c r="G1197" s="90">
        <v>135625</v>
      </c>
    </row>
    <row r="1198" spans="1:7">
      <c r="A1198" s="33" t="s">
        <v>202</v>
      </c>
      <c r="B1198" s="33" t="s">
        <v>54</v>
      </c>
      <c r="C1198" s="48" t="s">
        <v>43</v>
      </c>
      <c r="D1198" s="33" t="s">
        <v>61</v>
      </c>
      <c r="E1198" s="91">
        <v>45243</v>
      </c>
      <c r="F1198" s="92">
        <v>135625</v>
      </c>
      <c r="G1198" s="92">
        <v>135625</v>
      </c>
    </row>
    <row r="1199" spans="1:7">
      <c r="A1199" s="33" t="s">
        <v>202</v>
      </c>
      <c r="B1199" s="33" t="s">
        <v>54</v>
      </c>
      <c r="C1199" s="48" t="s">
        <v>43</v>
      </c>
      <c r="D1199" s="33" t="s">
        <v>61</v>
      </c>
      <c r="E1199" s="91">
        <v>45425</v>
      </c>
      <c r="F1199" s="92">
        <v>135625</v>
      </c>
      <c r="G1199" s="92">
        <v>135625</v>
      </c>
    </row>
    <row r="1200" spans="1:7">
      <c r="A1200" s="33" t="s">
        <v>202</v>
      </c>
      <c r="B1200" s="33" t="s">
        <v>54</v>
      </c>
      <c r="C1200" s="48" t="s">
        <v>43</v>
      </c>
      <c r="D1200" s="33" t="s">
        <v>61</v>
      </c>
      <c r="E1200" s="91">
        <v>45609</v>
      </c>
      <c r="F1200" s="92">
        <v>135625</v>
      </c>
      <c r="G1200" s="92">
        <v>135625</v>
      </c>
    </row>
    <row r="1201" spans="1:7">
      <c r="A1201" s="33" t="s">
        <v>202</v>
      </c>
      <c r="B1201" s="33" t="s">
        <v>54</v>
      </c>
      <c r="C1201" s="48" t="s">
        <v>43</v>
      </c>
      <c r="D1201" s="33" t="s">
        <v>61</v>
      </c>
      <c r="E1201" s="91">
        <v>45790</v>
      </c>
      <c r="F1201" s="92">
        <v>135625</v>
      </c>
      <c r="G1201" s="92">
        <v>135625</v>
      </c>
    </row>
    <row r="1202" spans="1:7">
      <c r="A1202" s="33" t="s">
        <v>202</v>
      </c>
      <c r="B1202" s="33" t="s">
        <v>54</v>
      </c>
      <c r="C1202" s="48" t="s">
        <v>43</v>
      </c>
      <c r="D1202" s="33" t="s">
        <v>61</v>
      </c>
      <c r="E1202" s="91">
        <v>45974</v>
      </c>
      <c r="F1202" s="92">
        <v>135625</v>
      </c>
      <c r="G1202" s="92">
        <v>135625</v>
      </c>
    </row>
    <row r="1203" spans="1:7">
      <c r="A1203" s="33" t="s">
        <v>202</v>
      </c>
      <c r="B1203" s="33" t="s">
        <v>54</v>
      </c>
      <c r="C1203" s="48" t="s">
        <v>43</v>
      </c>
      <c r="D1203" s="33" t="s">
        <v>61</v>
      </c>
      <c r="E1203" s="91">
        <v>46155</v>
      </c>
      <c r="F1203" s="92">
        <v>135625</v>
      </c>
      <c r="G1203" s="92">
        <v>135625</v>
      </c>
    </row>
    <row r="1204" spans="1:7">
      <c r="A1204" s="33" t="s">
        <v>202</v>
      </c>
      <c r="B1204" s="33" t="s">
        <v>54</v>
      </c>
      <c r="C1204" s="48" t="s">
        <v>43</v>
      </c>
      <c r="D1204" s="33" t="s">
        <v>61</v>
      </c>
      <c r="E1204" s="91">
        <v>46339</v>
      </c>
      <c r="F1204" s="92">
        <v>135625</v>
      </c>
      <c r="G1204" s="92">
        <v>135625</v>
      </c>
    </row>
    <row r="1205" spans="1:7">
      <c r="A1205" s="33" t="s">
        <v>202</v>
      </c>
      <c r="B1205" s="33" t="s">
        <v>54</v>
      </c>
      <c r="C1205" s="48" t="s">
        <v>43</v>
      </c>
      <c r="D1205" s="33" t="s">
        <v>61</v>
      </c>
      <c r="E1205" s="91">
        <v>46520</v>
      </c>
      <c r="F1205" s="92">
        <v>135625</v>
      </c>
      <c r="G1205" s="92">
        <v>135625</v>
      </c>
    </row>
    <row r="1206" spans="1:7">
      <c r="A1206" s="33" t="s">
        <v>202</v>
      </c>
      <c r="B1206" s="33" t="s">
        <v>54</v>
      </c>
      <c r="C1206" s="48" t="s">
        <v>43</v>
      </c>
      <c r="D1206" s="33" t="s">
        <v>61</v>
      </c>
      <c r="E1206" s="91">
        <v>46704</v>
      </c>
      <c r="F1206" s="92">
        <v>135625</v>
      </c>
      <c r="G1206" s="92">
        <v>135625</v>
      </c>
    </row>
    <row r="1207" spans="1:7">
      <c r="A1207" s="33" t="s">
        <v>202</v>
      </c>
      <c r="B1207" s="33" t="s">
        <v>54</v>
      </c>
      <c r="C1207" s="48" t="s">
        <v>43</v>
      </c>
      <c r="D1207" s="33" t="s">
        <v>61</v>
      </c>
      <c r="E1207" s="91">
        <v>46886</v>
      </c>
      <c r="F1207" s="92">
        <v>135625</v>
      </c>
      <c r="G1207" s="92">
        <v>135625</v>
      </c>
    </row>
    <row r="1208" spans="1:7">
      <c r="A1208" s="33" t="s">
        <v>202</v>
      </c>
      <c r="B1208" s="33" t="s">
        <v>54</v>
      </c>
      <c r="C1208" s="48" t="s">
        <v>43</v>
      </c>
      <c r="D1208" s="33" t="s">
        <v>61</v>
      </c>
      <c r="E1208" s="91">
        <v>47070</v>
      </c>
      <c r="F1208" s="92">
        <v>135625</v>
      </c>
      <c r="G1208" s="92">
        <v>7135625</v>
      </c>
    </row>
    <row r="1209" spans="1:7">
      <c r="A1209" s="87" t="s">
        <v>802</v>
      </c>
      <c r="B1209" s="87" t="s">
        <v>77</v>
      </c>
      <c r="C1209" s="88" t="s">
        <v>43</v>
      </c>
      <c r="D1209" s="87" t="s">
        <v>61</v>
      </c>
      <c r="E1209" s="89">
        <v>45627</v>
      </c>
      <c r="F1209" s="90">
        <v>182575</v>
      </c>
      <c r="G1209" s="90">
        <v>182575</v>
      </c>
    </row>
    <row r="1210" spans="1:7">
      <c r="A1210" s="56" t="s">
        <v>552</v>
      </c>
      <c r="B1210" s="56" t="s">
        <v>364</v>
      </c>
      <c r="C1210" s="57" t="s">
        <v>60</v>
      </c>
      <c r="D1210" s="36" t="s">
        <v>61</v>
      </c>
      <c r="E1210" s="93">
        <v>45809</v>
      </c>
      <c r="F1210" s="98">
        <v>182575</v>
      </c>
      <c r="G1210" s="98">
        <v>182575</v>
      </c>
    </row>
    <row r="1211" spans="1:7">
      <c r="A1211" s="56" t="s">
        <v>803</v>
      </c>
      <c r="B1211" s="56" t="s">
        <v>364</v>
      </c>
      <c r="C1211" s="57" t="s">
        <v>60</v>
      </c>
      <c r="D1211" s="36" t="s">
        <v>61</v>
      </c>
      <c r="E1211" s="93">
        <v>45992</v>
      </c>
      <c r="F1211" s="98">
        <v>182575</v>
      </c>
      <c r="G1211" s="98">
        <v>182575</v>
      </c>
    </row>
    <row r="1212" spans="1:7">
      <c r="A1212" s="56" t="s">
        <v>803</v>
      </c>
      <c r="B1212" s="56" t="s">
        <v>364</v>
      </c>
      <c r="C1212" s="57" t="s">
        <v>60</v>
      </c>
      <c r="D1212" s="36" t="s">
        <v>61</v>
      </c>
      <c r="E1212" s="93">
        <v>46174</v>
      </c>
      <c r="F1212" s="98">
        <v>182575</v>
      </c>
      <c r="G1212" s="98">
        <v>182575</v>
      </c>
    </row>
    <row r="1213" spans="1:7">
      <c r="A1213" s="56" t="s">
        <v>803</v>
      </c>
      <c r="B1213" s="56" t="s">
        <v>364</v>
      </c>
      <c r="C1213" s="57" t="s">
        <v>60</v>
      </c>
      <c r="D1213" s="36" t="s">
        <v>61</v>
      </c>
      <c r="E1213" s="93">
        <v>46357</v>
      </c>
      <c r="F1213" s="98">
        <v>182575</v>
      </c>
      <c r="G1213" s="98">
        <v>182575</v>
      </c>
    </row>
    <row r="1214" spans="1:7">
      <c r="A1214" s="56" t="s">
        <v>803</v>
      </c>
      <c r="B1214" s="56" t="s">
        <v>364</v>
      </c>
      <c r="C1214" s="57" t="s">
        <v>60</v>
      </c>
      <c r="D1214" s="36" t="s">
        <v>61</v>
      </c>
      <c r="E1214" s="93">
        <v>46539</v>
      </c>
      <c r="F1214" s="98">
        <v>182575</v>
      </c>
      <c r="G1214" s="98">
        <v>182575</v>
      </c>
    </row>
    <row r="1215" spans="1:7">
      <c r="A1215" s="56" t="s">
        <v>803</v>
      </c>
      <c r="B1215" s="56" t="s">
        <v>364</v>
      </c>
      <c r="C1215" s="57" t="s">
        <v>60</v>
      </c>
      <c r="D1215" s="36" t="s">
        <v>61</v>
      </c>
      <c r="E1215" s="93">
        <v>46722</v>
      </c>
      <c r="F1215" s="98">
        <v>182575</v>
      </c>
      <c r="G1215" s="98">
        <v>182575</v>
      </c>
    </row>
    <row r="1216" spans="1:7">
      <c r="A1216" s="56" t="s">
        <v>803</v>
      </c>
      <c r="B1216" s="56" t="s">
        <v>364</v>
      </c>
      <c r="C1216" s="57" t="s">
        <v>60</v>
      </c>
      <c r="D1216" s="36" t="s">
        <v>61</v>
      </c>
      <c r="E1216" s="93">
        <v>46905</v>
      </c>
      <c r="F1216" s="98">
        <v>182575</v>
      </c>
      <c r="G1216" s="98">
        <v>182575</v>
      </c>
    </row>
    <row r="1217" spans="1:7">
      <c r="A1217" s="56" t="s">
        <v>803</v>
      </c>
      <c r="B1217" s="56" t="s">
        <v>364</v>
      </c>
      <c r="C1217" s="57" t="s">
        <v>60</v>
      </c>
      <c r="D1217" s="36" t="s">
        <v>61</v>
      </c>
      <c r="E1217" s="93">
        <v>47088</v>
      </c>
      <c r="F1217" s="98">
        <v>182575</v>
      </c>
      <c r="G1217" s="98">
        <v>182575</v>
      </c>
    </row>
    <row r="1218" spans="1:7">
      <c r="A1218" s="56" t="s">
        <v>803</v>
      </c>
      <c r="B1218" s="56" t="s">
        <v>364</v>
      </c>
      <c r="C1218" s="57" t="s">
        <v>60</v>
      </c>
      <c r="D1218" s="36" t="s">
        <v>61</v>
      </c>
      <c r="E1218" s="93">
        <v>47270</v>
      </c>
      <c r="F1218" s="98">
        <v>182575</v>
      </c>
      <c r="G1218" s="98">
        <v>182575</v>
      </c>
    </row>
    <row r="1219" spans="1:7">
      <c r="A1219" s="56" t="s">
        <v>803</v>
      </c>
      <c r="B1219" s="56" t="s">
        <v>364</v>
      </c>
      <c r="C1219" s="57" t="s">
        <v>60</v>
      </c>
      <c r="D1219" s="36" t="s">
        <v>61</v>
      </c>
      <c r="E1219" s="93">
        <v>47453</v>
      </c>
      <c r="F1219" s="98">
        <v>182575</v>
      </c>
      <c r="G1219" s="98">
        <v>182575</v>
      </c>
    </row>
    <row r="1220" spans="1:7">
      <c r="A1220" s="56" t="s">
        <v>803</v>
      </c>
      <c r="B1220" s="56" t="s">
        <v>364</v>
      </c>
      <c r="C1220" s="57" t="s">
        <v>60</v>
      </c>
      <c r="D1220" s="36" t="s">
        <v>61</v>
      </c>
      <c r="E1220" s="93">
        <v>47635</v>
      </c>
      <c r="F1220" s="98">
        <v>182575</v>
      </c>
      <c r="G1220" s="98">
        <v>182575</v>
      </c>
    </row>
    <row r="1221" spans="1:7">
      <c r="A1221" s="56" t="s">
        <v>803</v>
      </c>
      <c r="B1221" s="56" t="s">
        <v>364</v>
      </c>
      <c r="C1221" s="57" t="s">
        <v>60</v>
      </c>
      <c r="D1221" s="36" t="s">
        <v>61</v>
      </c>
      <c r="E1221" s="93">
        <v>47818</v>
      </c>
      <c r="F1221" s="98">
        <v>182575</v>
      </c>
      <c r="G1221" s="98">
        <v>182575</v>
      </c>
    </row>
    <row r="1222" spans="1:7">
      <c r="A1222" s="56" t="s">
        <v>803</v>
      </c>
      <c r="B1222" s="56" t="s">
        <v>364</v>
      </c>
      <c r="C1222" s="57" t="s">
        <v>60</v>
      </c>
      <c r="D1222" s="36" t="s">
        <v>61</v>
      </c>
      <c r="E1222" s="93">
        <v>48000</v>
      </c>
      <c r="F1222" s="98">
        <v>182575</v>
      </c>
      <c r="G1222" s="98">
        <v>6882575</v>
      </c>
    </row>
    <row r="1223" spans="1:7">
      <c r="A1223" s="87" t="s">
        <v>96</v>
      </c>
      <c r="B1223" s="87" t="s">
        <v>91</v>
      </c>
      <c r="C1223" s="87" t="s">
        <v>60</v>
      </c>
      <c r="D1223" s="96" t="s">
        <v>36</v>
      </c>
      <c r="E1223" s="89">
        <v>44856</v>
      </c>
      <c r="F1223" s="90">
        <v>58125</v>
      </c>
      <c r="G1223" s="90">
        <v>58125</v>
      </c>
    </row>
    <row r="1224" spans="1:7">
      <c r="A1224" s="33" t="s">
        <v>96</v>
      </c>
      <c r="B1224" s="33" t="s">
        <v>91</v>
      </c>
      <c r="C1224" s="33" t="s">
        <v>60</v>
      </c>
      <c r="D1224" s="36" t="s">
        <v>36</v>
      </c>
      <c r="E1224" s="91">
        <v>45038</v>
      </c>
      <c r="F1224" s="92">
        <v>58125</v>
      </c>
      <c r="G1224" s="92">
        <v>58125</v>
      </c>
    </row>
    <row r="1225" spans="1:7">
      <c r="A1225" s="33" t="s">
        <v>96</v>
      </c>
      <c r="B1225" s="33" t="s">
        <v>91</v>
      </c>
      <c r="C1225" s="33" t="s">
        <v>60</v>
      </c>
      <c r="D1225" s="36" t="s">
        <v>36</v>
      </c>
      <c r="E1225" s="91">
        <v>45221</v>
      </c>
      <c r="F1225" s="92">
        <v>58125</v>
      </c>
      <c r="G1225" s="92">
        <v>58125</v>
      </c>
    </row>
    <row r="1226" spans="1:7">
      <c r="A1226" s="33" t="s">
        <v>96</v>
      </c>
      <c r="B1226" s="33" t="s">
        <v>91</v>
      </c>
      <c r="C1226" s="33" t="s">
        <v>60</v>
      </c>
      <c r="D1226" s="36" t="s">
        <v>36</v>
      </c>
      <c r="E1226" s="91">
        <v>45404</v>
      </c>
      <c r="F1226" s="92">
        <v>58125</v>
      </c>
      <c r="G1226" s="92">
        <v>58125</v>
      </c>
    </row>
    <row r="1227" spans="1:7">
      <c r="A1227" s="33" t="s">
        <v>96</v>
      </c>
      <c r="B1227" s="33" t="s">
        <v>91</v>
      </c>
      <c r="C1227" s="33" t="s">
        <v>60</v>
      </c>
      <c r="D1227" s="36" t="s">
        <v>36</v>
      </c>
      <c r="E1227" s="91">
        <v>45587</v>
      </c>
      <c r="F1227" s="92">
        <v>58125</v>
      </c>
      <c r="G1227" s="92">
        <v>58125</v>
      </c>
    </row>
    <row r="1228" spans="1:7">
      <c r="A1228" s="33" t="s">
        <v>96</v>
      </c>
      <c r="B1228" s="33" t="s">
        <v>91</v>
      </c>
      <c r="C1228" s="33" t="s">
        <v>60</v>
      </c>
      <c r="D1228" s="36" t="s">
        <v>36</v>
      </c>
      <c r="E1228" s="91">
        <v>45769</v>
      </c>
      <c r="F1228" s="92">
        <v>58125</v>
      </c>
      <c r="G1228" s="92">
        <v>58125</v>
      </c>
    </row>
    <row r="1229" spans="1:7">
      <c r="A1229" s="33" t="s">
        <v>96</v>
      </c>
      <c r="B1229" s="33" t="s">
        <v>91</v>
      </c>
      <c r="C1229" s="33" t="s">
        <v>60</v>
      </c>
      <c r="D1229" s="36" t="s">
        <v>36</v>
      </c>
      <c r="E1229" s="91">
        <v>45952</v>
      </c>
      <c r="F1229" s="92">
        <v>58125</v>
      </c>
      <c r="G1229" s="92">
        <v>58125</v>
      </c>
    </row>
    <row r="1230" spans="1:7">
      <c r="A1230" s="33" t="s">
        <v>96</v>
      </c>
      <c r="B1230" s="33" t="s">
        <v>91</v>
      </c>
      <c r="C1230" s="33" t="s">
        <v>60</v>
      </c>
      <c r="D1230" s="36" t="s">
        <v>36</v>
      </c>
      <c r="E1230" s="91">
        <v>46134</v>
      </c>
      <c r="F1230" s="92">
        <v>58125</v>
      </c>
      <c r="G1230" s="92">
        <v>58125</v>
      </c>
    </row>
    <row r="1231" spans="1:7">
      <c r="A1231" s="33" t="s">
        <v>96</v>
      </c>
      <c r="B1231" s="33" t="s">
        <v>91</v>
      </c>
      <c r="C1231" s="33" t="s">
        <v>60</v>
      </c>
      <c r="D1231" s="36" t="s">
        <v>36</v>
      </c>
      <c r="E1231" s="91">
        <v>46317</v>
      </c>
      <c r="F1231" s="92">
        <v>58125</v>
      </c>
      <c r="G1231" s="92">
        <v>58125</v>
      </c>
    </row>
    <row r="1232" spans="1:7">
      <c r="A1232" s="33" t="s">
        <v>96</v>
      </c>
      <c r="B1232" s="33" t="s">
        <v>91</v>
      </c>
      <c r="C1232" s="33" t="s">
        <v>60</v>
      </c>
      <c r="D1232" s="36" t="s">
        <v>36</v>
      </c>
      <c r="E1232" s="91">
        <v>46499</v>
      </c>
      <c r="F1232" s="92">
        <v>58125</v>
      </c>
      <c r="G1232" s="92">
        <v>3058125</v>
      </c>
    </row>
    <row r="1233" spans="1:7">
      <c r="A1233" s="87" t="s">
        <v>804</v>
      </c>
      <c r="B1233" s="87" t="s">
        <v>77</v>
      </c>
      <c r="C1233" s="88" t="s">
        <v>43</v>
      </c>
      <c r="D1233" s="87" t="s">
        <v>61</v>
      </c>
      <c r="E1233" s="89">
        <v>45565</v>
      </c>
      <c r="F1233" s="90">
        <v>23165</v>
      </c>
      <c r="G1233" s="90">
        <v>23165</v>
      </c>
    </row>
    <row r="1234" spans="1:7">
      <c r="A1234" s="56" t="s">
        <v>804</v>
      </c>
      <c r="B1234" s="56" t="s">
        <v>77</v>
      </c>
      <c r="C1234" s="57" t="s">
        <v>43</v>
      </c>
      <c r="D1234" s="36" t="s">
        <v>61</v>
      </c>
      <c r="E1234" s="93">
        <v>45747</v>
      </c>
      <c r="F1234" s="46">
        <v>23165</v>
      </c>
      <c r="G1234" s="95">
        <v>23165</v>
      </c>
    </row>
    <row r="1235" spans="1:7">
      <c r="A1235" s="56" t="s">
        <v>805</v>
      </c>
      <c r="B1235" s="56" t="s">
        <v>364</v>
      </c>
      <c r="C1235" s="57" t="s">
        <v>60</v>
      </c>
      <c r="D1235" s="36" t="s">
        <v>61</v>
      </c>
      <c r="E1235" s="93">
        <v>45930</v>
      </c>
      <c r="F1235" s="46">
        <v>23165</v>
      </c>
      <c r="G1235" s="95">
        <v>23165</v>
      </c>
    </row>
    <row r="1236" spans="1:7">
      <c r="A1236" s="56" t="s">
        <v>805</v>
      </c>
      <c r="B1236" s="56" t="s">
        <v>364</v>
      </c>
      <c r="C1236" s="57" t="s">
        <v>60</v>
      </c>
      <c r="D1236" s="36" t="s">
        <v>61</v>
      </c>
      <c r="E1236" s="93">
        <v>46112</v>
      </c>
      <c r="F1236" s="46">
        <v>23165</v>
      </c>
      <c r="G1236" s="95">
        <v>23165</v>
      </c>
    </row>
    <row r="1237" spans="1:7">
      <c r="A1237" s="56" t="s">
        <v>805</v>
      </c>
      <c r="B1237" s="56" t="s">
        <v>364</v>
      </c>
      <c r="C1237" s="57" t="s">
        <v>60</v>
      </c>
      <c r="D1237" s="36" t="s">
        <v>61</v>
      </c>
      <c r="E1237" s="93">
        <v>46295</v>
      </c>
      <c r="F1237" s="46">
        <v>23165</v>
      </c>
      <c r="G1237" s="95">
        <v>23165</v>
      </c>
    </row>
    <row r="1238" spans="1:7">
      <c r="A1238" s="56" t="s">
        <v>805</v>
      </c>
      <c r="B1238" s="56" t="s">
        <v>364</v>
      </c>
      <c r="C1238" s="57" t="s">
        <v>60</v>
      </c>
      <c r="D1238" s="36" t="s">
        <v>61</v>
      </c>
      <c r="E1238" s="93">
        <v>46477</v>
      </c>
      <c r="F1238" s="46">
        <v>23165</v>
      </c>
      <c r="G1238" s="95">
        <v>23165</v>
      </c>
    </row>
    <row r="1239" spans="1:7">
      <c r="A1239" s="56" t="s">
        <v>805</v>
      </c>
      <c r="B1239" s="56" t="s">
        <v>364</v>
      </c>
      <c r="C1239" s="57" t="s">
        <v>60</v>
      </c>
      <c r="D1239" s="36" t="s">
        <v>61</v>
      </c>
      <c r="E1239" s="93">
        <v>46660</v>
      </c>
      <c r="F1239" s="46">
        <v>23165</v>
      </c>
      <c r="G1239" s="95">
        <v>23165</v>
      </c>
    </row>
    <row r="1240" spans="1:7">
      <c r="A1240" s="56" t="s">
        <v>805</v>
      </c>
      <c r="B1240" s="56" t="s">
        <v>364</v>
      </c>
      <c r="C1240" s="57" t="s">
        <v>60</v>
      </c>
      <c r="D1240" s="36" t="s">
        <v>61</v>
      </c>
      <c r="E1240" s="93">
        <v>46843</v>
      </c>
      <c r="F1240" s="46">
        <v>23165</v>
      </c>
      <c r="G1240" s="95">
        <v>23165</v>
      </c>
    </row>
    <row r="1241" spans="1:7">
      <c r="A1241" s="56" t="s">
        <v>805</v>
      </c>
      <c r="B1241" s="56" t="s">
        <v>364</v>
      </c>
      <c r="C1241" s="57" t="s">
        <v>60</v>
      </c>
      <c r="D1241" s="36" t="s">
        <v>61</v>
      </c>
      <c r="E1241" s="93">
        <v>47026</v>
      </c>
      <c r="F1241" s="46">
        <v>23165</v>
      </c>
      <c r="G1241" s="95">
        <v>23165</v>
      </c>
    </row>
    <row r="1242" spans="1:7">
      <c r="A1242" s="56" t="s">
        <v>805</v>
      </c>
      <c r="B1242" s="56" t="s">
        <v>364</v>
      </c>
      <c r="C1242" s="57" t="s">
        <v>60</v>
      </c>
      <c r="D1242" s="36" t="s">
        <v>61</v>
      </c>
      <c r="E1242" s="93">
        <v>47208</v>
      </c>
      <c r="F1242" s="46">
        <v>23165</v>
      </c>
      <c r="G1242" s="95">
        <v>23165</v>
      </c>
    </row>
    <row r="1243" spans="1:7">
      <c r="A1243" s="56" t="s">
        <v>805</v>
      </c>
      <c r="B1243" s="56" t="s">
        <v>364</v>
      </c>
      <c r="C1243" s="57" t="s">
        <v>60</v>
      </c>
      <c r="D1243" s="36" t="s">
        <v>61</v>
      </c>
      <c r="E1243" s="93">
        <v>47391</v>
      </c>
      <c r="F1243" s="46">
        <v>23165</v>
      </c>
      <c r="G1243" s="95">
        <v>23165</v>
      </c>
    </row>
    <row r="1244" spans="1:7">
      <c r="A1244" s="56" t="s">
        <v>805</v>
      </c>
      <c r="B1244" s="56" t="s">
        <v>364</v>
      </c>
      <c r="C1244" s="57" t="s">
        <v>60</v>
      </c>
      <c r="D1244" s="36" t="s">
        <v>61</v>
      </c>
      <c r="E1244" s="93">
        <v>47573</v>
      </c>
      <c r="F1244" s="46">
        <v>23165</v>
      </c>
      <c r="G1244" s="46">
        <v>2283165</v>
      </c>
    </row>
    <row r="1245" spans="1:7">
      <c r="A1245" s="87" t="s">
        <v>583</v>
      </c>
      <c r="B1245" s="87" t="s">
        <v>77</v>
      </c>
      <c r="C1245" s="88" t="s">
        <v>43</v>
      </c>
      <c r="D1245" s="87" t="s">
        <v>61</v>
      </c>
      <c r="E1245" s="89">
        <v>45140</v>
      </c>
      <c r="F1245" s="90">
        <v>16250</v>
      </c>
      <c r="G1245" s="90">
        <v>16250</v>
      </c>
    </row>
    <row r="1246" spans="1:7">
      <c r="A1246" s="33" t="s">
        <v>583</v>
      </c>
      <c r="B1246" s="33" t="s">
        <v>77</v>
      </c>
      <c r="C1246" s="48" t="s">
        <v>43</v>
      </c>
      <c r="D1246" s="33" t="s">
        <v>61</v>
      </c>
      <c r="E1246" s="91">
        <v>45324</v>
      </c>
      <c r="F1246" s="92">
        <v>16250</v>
      </c>
      <c r="G1246" s="92">
        <v>16250</v>
      </c>
    </row>
    <row r="1247" spans="1:7">
      <c r="A1247" s="33" t="s">
        <v>583</v>
      </c>
      <c r="B1247" s="33" t="s">
        <v>77</v>
      </c>
      <c r="C1247" s="48" t="s">
        <v>43</v>
      </c>
      <c r="D1247" s="33" t="s">
        <v>61</v>
      </c>
      <c r="E1247" s="91">
        <v>45506</v>
      </c>
      <c r="F1247" s="92">
        <v>16250</v>
      </c>
      <c r="G1247" s="92">
        <v>16250</v>
      </c>
    </row>
    <row r="1248" spans="1:7">
      <c r="A1248" s="33" t="s">
        <v>583</v>
      </c>
      <c r="B1248" s="33" t="s">
        <v>77</v>
      </c>
      <c r="C1248" s="48" t="s">
        <v>43</v>
      </c>
      <c r="D1248" s="33" t="s">
        <v>61</v>
      </c>
      <c r="E1248" s="91">
        <v>45690</v>
      </c>
      <c r="F1248" s="92">
        <v>16250</v>
      </c>
      <c r="G1248" s="92">
        <v>16250</v>
      </c>
    </row>
    <row r="1249" spans="1:7">
      <c r="A1249" s="33" t="s">
        <v>583</v>
      </c>
      <c r="B1249" s="33" t="s">
        <v>77</v>
      </c>
      <c r="C1249" s="48" t="s">
        <v>43</v>
      </c>
      <c r="D1249" s="33" t="s">
        <v>61</v>
      </c>
      <c r="E1249" s="91">
        <v>45871</v>
      </c>
      <c r="F1249" s="92">
        <v>16250</v>
      </c>
      <c r="G1249" s="92">
        <v>16250</v>
      </c>
    </row>
    <row r="1250" spans="1:7">
      <c r="A1250" s="33" t="s">
        <v>583</v>
      </c>
      <c r="B1250" s="33" t="s">
        <v>77</v>
      </c>
      <c r="C1250" s="48" t="s">
        <v>43</v>
      </c>
      <c r="D1250" s="33" t="s">
        <v>61</v>
      </c>
      <c r="E1250" s="91">
        <v>46055</v>
      </c>
      <c r="F1250" s="92">
        <v>16250</v>
      </c>
      <c r="G1250" s="92">
        <v>16250</v>
      </c>
    </row>
    <row r="1251" spans="1:7">
      <c r="A1251" s="33" t="s">
        <v>583</v>
      </c>
      <c r="B1251" s="33" t="s">
        <v>77</v>
      </c>
      <c r="C1251" s="48" t="s">
        <v>43</v>
      </c>
      <c r="D1251" s="33" t="s">
        <v>61</v>
      </c>
      <c r="E1251" s="91">
        <v>46236</v>
      </c>
      <c r="F1251" s="92">
        <v>16250</v>
      </c>
      <c r="G1251" s="92">
        <v>16250</v>
      </c>
    </row>
    <row r="1252" spans="1:7">
      <c r="A1252" s="33" t="s">
        <v>583</v>
      </c>
      <c r="B1252" s="33" t="s">
        <v>77</v>
      </c>
      <c r="C1252" s="48" t="s">
        <v>43</v>
      </c>
      <c r="D1252" s="33" t="s">
        <v>61</v>
      </c>
      <c r="E1252" s="91">
        <v>46420</v>
      </c>
      <c r="F1252" s="92">
        <v>16250</v>
      </c>
      <c r="G1252" s="92">
        <v>16250</v>
      </c>
    </row>
    <row r="1253" spans="1:7">
      <c r="A1253" s="33" t="s">
        <v>583</v>
      </c>
      <c r="B1253" s="33" t="s">
        <v>77</v>
      </c>
      <c r="C1253" s="48" t="s">
        <v>43</v>
      </c>
      <c r="D1253" s="33" t="s">
        <v>61</v>
      </c>
      <c r="E1253" s="91">
        <v>46601</v>
      </c>
      <c r="F1253" s="92">
        <v>16250</v>
      </c>
      <c r="G1253" s="92">
        <v>16250</v>
      </c>
    </row>
    <row r="1254" spans="1:7">
      <c r="A1254" s="33" t="s">
        <v>583</v>
      </c>
      <c r="B1254" s="33" t="s">
        <v>77</v>
      </c>
      <c r="C1254" s="48" t="s">
        <v>43</v>
      </c>
      <c r="D1254" s="33" t="s">
        <v>61</v>
      </c>
      <c r="E1254" s="91">
        <v>46785</v>
      </c>
      <c r="F1254" s="92">
        <v>16250</v>
      </c>
      <c r="G1254" s="92">
        <v>16250</v>
      </c>
    </row>
    <row r="1255" spans="1:7">
      <c r="A1255" s="33" t="s">
        <v>583</v>
      </c>
      <c r="B1255" s="33" t="s">
        <v>77</v>
      </c>
      <c r="C1255" s="48" t="s">
        <v>43</v>
      </c>
      <c r="D1255" s="33" t="s">
        <v>61</v>
      </c>
      <c r="E1255" s="91">
        <v>46967</v>
      </c>
      <c r="F1255" s="92">
        <v>16250</v>
      </c>
      <c r="G1255" s="92">
        <v>16250</v>
      </c>
    </row>
    <row r="1256" spans="1:7">
      <c r="A1256" s="33" t="s">
        <v>583</v>
      </c>
      <c r="B1256" s="33" t="s">
        <v>77</v>
      </c>
      <c r="C1256" s="48" t="s">
        <v>43</v>
      </c>
      <c r="D1256" s="33" t="s">
        <v>61</v>
      </c>
      <c r="E1256" s="91">
        <v>47151</v>
      </c>
      <c r="F1256" s="92">
        <v>16250</v>
      </c>
      <c r="G1256" s="92">
        <v>16250</v>
      </c>
    </row>
    <row r="1257" spans="1:7">
      <c r="A1257" s="33" t="s">
        <v>583</v>
      </c>
      <c r="B1257" s="33" t="s">
        <v>77</v>
      </c>
      <c r="C1257" s="48" t="s">
        <v>43</v>
      </c>
      <c r="D1257" s="33" t="s">
        <v>61</v>
      </c>
      <c r="E1257" s="91">
        <v>47332</v>
      </c>
      <c r="F1257" s="92">
        <v>16250</v>
      </c>
      <c r="G1257" s="92">
        <v>16250</v>
      </c>
    </row>
    <row r="1258" spans="1:7">
      <c r="A1258" s="33" t="s">
        <v>583</v>
      </c>
      <c r="B1258" s="33" t="s">
        <v>77</v>
      </c>
      <c r="C1258" s="48" t="s">
        <v>43</v>
      </c>
      <c r="D1258" s="33" t="s">
        <v>61</v>
      </c>
      <c r="E1258" s="91">
        <v>47516</v>
      </c>
      <c r="F1258" s="92">
        <v>16250</v>
      </c>
      <c r="G1258" s="92">
        <v>16250</v>
      </c>
    </row>
    <row r="1259" spans="1:7">
      <c r="A1259" s="33" t="s">
        <v>583</v>
      </c>
      <c r="B1259" s="33" t="s">
        <v>77</v>
      </c>
      <c r="C1259" s="48" t="s">
        <v>43</v>
      </c>
      <c r="D1259" s="33" t="s">
        <v>61</v>
      </c>
      <c r="E1259" s="91">
        <v>47697</v>
      </c>
      <c r="F1259" s="92">
        <v>16250</v>
      </c>
      <c r="G1259" s="92">
        <v>16250</v>
      </c>
    </row>
    <row r="1260" spans="1:7">
      <c r="A1260" s="33" t="s">
        <v>583</v>
      </c>
      <c r="B1260" s="33" t="s">
        <v>77</v>
      </c>
      <c r="C1260" s="48" t="s">
        <v>43</v>
      </c>
      <c r="D1260" s="33" t="s">
        <v>61</v>
      </c>
      <c r="E1260" s="91">
        <v>47881</v>
      </c>
      <c r="F1260" s="92">
        <v>16250</v>
      </c>
      <c r="G1260" s="92">
        <v>16250</v>
      </c>
    </row>
    <row r="1261" spans="1:7">
      <c r="A1261" s="33" t="s">
        <v>583</v>
      </c>
      <c r="B1261" s="33" t="s">
        <v>77</v>
      </c>
      <c r="C1261" s="48" t="s">
        <v>43</v>
      </c>
      <c r="D1261" s="33" t="s">
        <v>61</v>
      </c>
      <c r="E1261" s="91">
        <v>48062</v>
      </c>
      <c r="F1261" s="92">
        <v>16250</v>
      </c>
      <c r="G1261" s="92">
        <v>2016250</v>
      </c>
    </row>
    <row r="1262" spans="1:7">
      <c r="A1262" s="87" t="s">
        <v>583</v>
      </c>
      <c r="B1262" s="87" t="s">
        <v>54</v>
      </c>
      <c r="C1262" s="88" t="s">
        <v>43</v>
      </c>
      <c r="D1262" s="87" t="s">
        <v>61</v>
      </c>
      <c r="E1262" s="89">
        <v>45140</v>
      </c>
      <c r="F1262" s="90">
        <v>2031.25</v>
      </c>
      <c r="G1262" s="90">
        <v>2031.25</v>
      </c>
    </row>
    <row r="1263" spans="1:7">
      <c r="A1263" s="33" t="s">
        <v>583</v>
      </c>
      <c r="B1263" s="33" t="s">
        <v>54</v>
      </c>
      <c r="C1263" s="48" t="s">
        <v>43</v>
      </c>
      <c r="D1263" s="33" t="s">
        <v>61</v>
      </c>
      <c r="E1263" s="91">
        <v>45324</v>
      </c>
      <c r="F1263" s="92">
        <v>2031.25</v>
      </c>
      <c r="G1263" s="92">
        <v>2031.25</v>
      </c>
    </row>
    <row r="1264" spans="1:7">
      <c r="A1264" s="33" t="s">
        <v>583</v>
      </c>
      <c r="B1264" s="33" t="s">
        <v>54</v>
      </c>
      <c r="C1264" s="48" t="s">
        <v>43</v>
      </c>
      <c r="D1264" s="33" t="s">
        <v>61</v>
      </c>
      <c r="E1264" s="91">
        <v>45506</v>
      </c>
      <c r="F1264" s="92">
        <v>2031.25</v>
      </c>
      <c r="G1264" s="92">
        <v>2031.25</v>
      </c>
    </row>
    <row r="1265" spans="1:7">
      <c r="A1265" s="33" t="s">
        <v>583</v>
      </c>
      <c r="B1265" s="33" t="s">
        <v>54</v>
      </c>
      <c r="C1265" s="48" t="s">
        <v>43</v>
      </c>
      <c r="D1265" s="33" t="s">
        <v>61</v>
      </c>
      <c r="E1265" s="91">
        <v>45690</v>
      </c>
      <c r="F1265" s="92">
        <v>2031.25</v>
      </c>
      <c r="G1265" s="92">
        <v>2031.25</v>
      </c>
    </row>
    <row r="1266" spans="1:7">
      <c r="A1266" s="33" t="s">
        <v>583</v>
      </c>
      <c r="B1266" s="33" t="s">
        <v>54</v>
      </c>
      <c r="C1266" s="48" t="s">
        <v>43</v>
      </c>
      <c r="D1266" s="33" t="s">
        <v>61</v>
      </c>
      <c r="E1266" s="91">
        <v>45871</v>
      </c>
      <c r="F1266" s="92">
        <v>2031.25</v>
      </c>
      <c r="G1266" s="92">
        <v>2031.25</v>
      </c>
    </row>
    <row r="1267" spans="1:7">
      <c r="A1267" s="33" t="s">
        <v>583</v>
      </c>
      <c r="B1267" s="33" t="s">
        <v>54</v>
      </c>
      <c r="C1267" s="48" t="s">
        <v>43</v>
      </c>
      <c r="D1267" s="33" t="s">
        <v>61</v>
      </c>
      <c r="E1267" s="91">
        <v>46055</v>
      </c>
      <c r="F1267" s="92">
        <v>2031.25</v>
      </c>
      <c r="G1267" s="92">
        <v>2031.25</v>
      </c>
    </row>
    <row r="1268" spans="1:7">
      <c r="A1268" s="33" t="s">
        <v>583</v>
      </c>
      <c r="B1268" s="33" t="s">
        <v>54</v>
      </c>
      <c r="C1268" s="48" t="s">
        <v>43</v>
      </c>
      <c r="D1268" s="33" t="s">
        <v>61</v>
      </c>
      <c r="E1268" s="91">
        <v>46236</v>
      </c>
      <c r="F1268" s="92">
        <v>2031.25</v>
      </c>
      <c r="G1268" s="92">
        <v>2031.25</v>
      </c>
    </row>
    <row r="1269" spans="1:7">
      <c r="A1269" s="33" t="s">
        <v>583</v>
      </c>
      <c r="B1269" s="33" t="s">
        <v>54</v>
      </c>
      <c r="C1269" s="48" t="s">
        <v>43</v>
      </c>
      <c r="D1269" s="33" t="s">
        <v>61</v>
      </c>
      <c r="E1269" s="91">
        <v>46420</v>
      </c>
      <c r="F1269" s="92">
        <v>2031.25</v>
      </c>
      <c r="G1269" s="92">
        <v>2031.25</v>
      </c>
    </row>
    <row r="1270" spans="1:7">
      <c r="A1270" s="33" t="s">
        <v>583</v>
      </c>
      <c r="B1270" s="33" t="s">
        <v>54</v>
      </c>
      <c r="C1270" s="48" t="s">
        <v>43</v>
      </c>
      <c r="D1270" s="33" t="s">
        <v>61</v>
      </c>
      <c r="E1270" s="91">
        <v>46601</v>
      </c>
      <c r="F1270" s="92">
        <v>2031.25</v>
      </c>
      <c r="G1270" s="92">
        <v>2031.25</v>
      </c>
    </row>
    <row r="1271" spans="1:7">
      <c r="A1271" s="33" t="s">
        <v>583</v>
      </c>
      <c r="B1271" s="33" t="s">
        <v>54</v>
      </c>
      <c r="C1271" s="48" t="s">
        <v>43</v>
      </c>
      <c r="D1271" s="33" t="s">
        <v>61</v>
      </c>
      <c r="E1271" s="91">
        <v>46785</v>
      </c>
      <c r="F1271" s="92">
        <v>2031.25</v>
      </c>
      <c r="G1271" s="92">
        <v>2031.25</v>
      </c>
    </row>
    <row r="1272" spans="1:7">
      <c r="A1272" s="33" t="s">
        <v>583</v>
      </c>
      <c r="B1272" s="33" t="s">
        <v>54</v>
      </c>
      <c r="C1272" s="48" t="s">
        <v>43</v>
      </c>
      <c r="D1272" s="33" t="s">
        <v>61</v>
      </c>
      <c r="E1272" s="91">
        <v>46967</v>
      </c>
      <c r="F1272" s="92">
        <v>2031.25</v>
      </c>
      <c r="G1272" s="92">
        <v>2031.25</v>
      </c>
    </row>
    <row r="1273" spans="1:7">
      <c r="A1273" s="33" t="s">
        <v>583</v>
      </c>
      <c r="B1273" s="33" t="s">
        <v>54</v>
      </c>
      <c r="C1273" s="48" t="s">
        <v>43</v>
      </c>
      <c r="D1273" s="33" t="s">
        <v>61</v>
      </c>
      <c r="E1273" s="91">
        <v>47151</v>
      </c>
      <c r="F1273" s="92">
        <v>2031.25</v>
      </c>
      <c r="G1273" s="92">
        <v>2031.25</v>
      </c>
    </row>
    <row r="1274" spans="1:7">
      <c r="A1274" s="33" t="s">
        <v>583</v>
      </c>
      <c r="B1274" s="33" t="s">
        <v>54</v>
      </c>
      <c r="C1274" s="48" t="s">
        <v>43</v>
      </c>
      <c r="D1274" s="33" t="s">
        <v>61</v>
      </c>
      <c r="E1274" s="91">
        <v>47332</v>
      </c>
      <c r="F1274" s="92">
        <v>2031.25</v>
      </c>
      <c r="G1274" s="92">
        <v>2031.25</v>
      </c>
    </row>
    <row r="1275" spans="1:7">
      <c r="A1275" s="33" t="s">
        <v>583</v>
      </c>
      <c r="B1275" s="33" t="s">
        <v>54</v>
      </c>
      <c r="C1275" s="48" t="s">
        <v>43</v>
      </c>
      <c r="D1275" s="33" t="s">
        <v>61</v>
      </c>
      <c r="E1275" s="91">
        <v>47516</v>
      </c>
      <c r="F1275" s="92">
        <v>2031.25</v>
      </c>
      <c r="G1275" s="92">
        <v>2031.25</v>
      </c>
    </row>
    <row r="1276" spans="1:7">
      <c r="A1276" s="33" t="s">
        <v>583</v>
      </c>
      <c r="B1276" s="33" t="s">
        <v>54</v>
      </c>
      <c r="C1276" s="48" t="s">
        <v>43</v>
      </c>
      <c r="D1276" s="33" t="s">
        <v>61</v>
      </c>
      <c r="E1276" s="91">
        <v>47697</v>
      </c>
      <c r="F1276" s="92">
        <v>2031.25</v>
      </c>
      <c r="G1276" s="92">
        <v>2031.25</v>
      </c>
    </row>
    <row r="1277" spans="1:7">
      <c r="A1277" s="33" t="s">
        <v>583</v>
      </c>
      <c r="B1277" s="33" t="s">
        <v>54</v>
      </c>
      <c r="C1277" s="48" t="s">
        <v>43</v>
      </c>
      <c r="D1277" s="33" t="s">
        <v>61</v>
      </c>
      <c r="E1277" s="91">
        <v>47881</v>
      </c>
      <c r="F1277" s="92">
        <v>2031.25</v>
      </c>
      <c r="G1277" s="92">
        <v>2031.25</v>
      </c>
    </row>
    <row r="1278" spans="1:7">
      <c r="A1278" s="33" t="s">
        <v>583</v>
      </c>
      <c r="B1278" s="33" t="s">
        <v>54</v>
      </c>
      <c r="C1278" s="48" t="s">
        <v>43</v>
      </c>
      <c r="D1278" s="33" t="s">
        <v>61</v>
      </c>
      <c r="E1278" s="91">
        <v>48062</v>
      </c>
      <c r="F1278" s="92">
        <v>2031.25</v>
      </c>
      <c r="G1278" s="92">
        <v>252031.25</v>
      </c>
    </row>
    <row r="1279" spans="1:7">
      <c r="A1279" s="87" t="s">
        <v>583</v>
      </c>
      <c r="B1279" s="87" t="s">
        <v>754</v>
      </c>
      <c r="C1279" s="88" t="s">
        <v>43</v>
      </c>
      <c r="D1279" s="87" t="s">
        <v>61</v>
      </c>
      <c r="E1279" s="89">
        <v>45140</v>
      </c>
      <c r="F1279" s="90">
        <v>14218.75</v>
      </c>
      <c r="G1279" s="90">
        <v>14218.75</v>
      </c>
    </row>
    <row r="1280" spans="1:7">
      <c r="A1280" s="33" t="s">
        <v>583</v>
      </c>
      <c r="B1280" s="33" t="s">
        <v>754</v>
      </c>
      <c r="C1280" s="48" t="s">
        <v>43</v>
      </c>
      <c r="D1280" s="33" t="s">
        <v>61</v>
      </c>
      <c r="E1280" s="91">
        <v>45324</v>
      </c>
      <c r="F1280" s="92">
        <v>14218.75</v>
      </c>
      <c r="G1280" s="92">
        <v>14218.75</v>
      </c>
    </row>
    <row r="1281" spans="1:7">
      <c r="A1281" s="33" t="s">
        <v>583</v>
      </c>
      <c r="B1281" s="33" t="s">
        <v>754</v>
      </c>
      <c r="C1281" s="48" t="s">
        <v>43</v>
      </c>
      <c r="D1281" s="33" t="s">
        <v>61</v>
      </c>
      <c r="E1281" s="91">
        <v>45506</v>
      </c>
      <c r="F1281" s="92">
        <v>14218.75</v>
      </c>
      <c r="G1281" s="92">
        <v>14218.75</v>
      </c>
    </row>
    <row r="1282" spans="1:7">
      <c r="A1282" s="33" t="s">
        <v>583</v>
      </c>
      <c r="B1282" s="33" t="s">
        <v>754</v>
      </c>
      <c r="C1282" s="48" t="s">
        <v>43</v>
      </c>
      <c r="D1282" s="33" t="s">
        <v>61</v>
      </c>
      <c r="E1282" s="91">
        <v>45690</v>
      </c>
      <c r="F1282" s="92">
        <v>14218.75</v>
      </c>
      <c r="G1282" s="92">
        <v>14218.75</v>
      </c>
    </row>
    <row r="1283" spans="1:7">
      <c r="A1283" s="33" t="s">
        <v>583</v>
      </c>
      <c r="B1283" s="33" t="s">
        <v>754</v>
      </c>
      <c r="C1283" s="48" t="s">
        <v>43</v>
      </c>
      <c r="D1283" s="33" t="s">
        <v>61</v>
      </c>
      <c r="E1283" s="91">
        <v>45871</v>
      </c>
      <c r="F1283" s="92">
        <v>14218.75</v>
      </c>
      <c r="G1283" s="92">
        <v>14218.75</v>
      </c>
    </row>
    <row r="1284" spans="1:7">
      <c r="A1284" s="33" t="s">
        <v>583</v>
      </c>
      <c r="B1284" s="33" t="s">
        <v>754</v>
      </c>
      <c r="C1284" s="48" t="s">
        <v>43</v>
      </c>
      <c r="D1284" s="33" t="s">
        <v>61</v>
      </c>
      <c r="E1284" s="91">
        <v>46055</v>
      </c>
      <c r="F1284" s="92">
        <v>14218.75</v>
      </c>
      <c r="G1284" s="92">
        <v>14218.75</v>
      </c>
    </row>
    <row r="1285" spans="1:7">
      <c r="A1285" s="33" t="s">
        <v>583</v>
      </c>
      <c r="B1285" s="33" t="s">
        <v>754</v>
      </c>
      <c r="C1285" s="48" t="s">
        <v>43</v>
      </c>
      <c r="D1285" s="33" t="s">
        <v>61</v>
      </c>
      <c r="E1285" s="91">
        <v>46236</v>
      </c>
      <c r="F1285" s="92">
        <v>14218.75</v>
      </c>
      <c r="G1285" s="92">
        <v>14218.75</v>
      </c>
    </row>
    <row r="1286" spans="1:7">
      <c r="A1286" s="33" t="s">
        <v>583</v>
      </c>
      <c r="B1286" s="33" t="s">
        <v>754</v>
      </c>
      <c r="C1286" s="48" t="s">
        <v>43</v>
      </c>
      <c r="D1286" s="33" t="s">
        <v>61</v>
      </c>
      <c r="E1286" s="91">
        <v>46420</v>
      </c>
      <c r="F1286" s="92">
        <v>14218.75</v>
      </c>
      <c r="G1286" s="92">
        <v>14218.75</v>
      </c>
    </row>
    <row r="1287" spans="1:7">
      <c r="A1287" s="33" t="s">
        <v>583</v>
      </c>
      <c r="B1287" s="33" t="s">
        <v>754</v>
      </c>
      <c r="C1287" s="48" t="s">
        <v>43</v>
      </c>
      <c r="D1287" s="33" t="s">
        <v>61</v>
      </c>
      <c r="E1287" s="91">
        <v>46601</v>
      </c>
      <c r="F1287" s="92">
        <v>14218.75</v>
      </c>
      <c r="G1287" s="92">
        <v>14218.75</v>
      </c>
    </row>
    <row r="1288" spans="1:7">
      <c r="A1288" s="33" t="s">
        <v>583</v>
      </c>
      <c r="B1288" s="33" t="s">
        <v>754</v>
      </c>
      <c r="C1288" s="48" t="s">
        <v>43</v>
      </c>
      <c r="D1288" s="33" t="s">
        <v>61</v>
      </c>
      <c r="E1288" s="91">
        <v>46785</v>
      </c>
      <c r="F1288" s="92">
        <v>14218.75</v>
      </c>
      <c r="G1288" s="92">
        <v>14218.75</v>
      </c>
    </row>
    <row r="1289" spans="1:7">
      <c r="A1289" s="33" t="s">
        <v>583</v>
      </c>
      <c r="B1289" s="33" t="s">
        <v>754</v>
      </c>
      <c r="C1289" s="48" t="s">
        <v>43</v>
      </c>
      <c r="D1289" s="33" t="s">
        <v>61</v>
      </c>
      <c r="E1289" s="91">
        <v>46967</v>
      </c>
      <c r="F1289" s="92">
        <v>14218.75</v>
      </c>
      <c r="G1289" s="92">
        <v>14218.75</v>
      </c>
    </row>
    <row r="1290" spans="1:7">
      <c r="A1290" s="33" t="s">
        <v>583</v>
      </c>
      <c r="B1290" s="33" t="s">
        <v>754</v>
      </c>
      <c r="C1290" s="48" t="s">
        <v>43</v>
      </c>
      <c r="D1290" s="33" t="s">
        <v>61</v>
      </c>
      <c r="E1290" s="91">
        <v>47151</v>
      </c>
      <c r="F1290" s="92">
        <v>14218.75</v>
      </c>
      <c r="G1290" s="92">
        <v>14218.75</v>
      </c>
    </row>
    <row r="1291" spans="1:7">
      <c r="A1291" s="33" t="s">
        <v>583</v>
      </c>
      <c r="B1291" s="33" t="s">
        <v>754</v>
      </c>
      <c r="C1291" s="48" t="s">
        <v>43</v>
      </c>
      <c r="D1291" s="33" t="s">
        <v>61</v>
      </c>
      <c r="E1291" s="91">
        <v>47332</v>
      </c>
      <c r="F1291" s="92">
        <v>14218.75</v>
      </c>
      <c r="G1291" s="92">
        <v>14218.75</v>
      </c>
    </row>
    <row r="1292" spans="1:7">
      <c r="A1292" s="33" t="s">
        <v>583</v>
      </c>
      <c r="B1292" s="33" t="s">
        <v>754</v>
      </c>
      <c r="C1292" s="48" t="s">
        <v>43</v>
      </c>
      <c r="D1292" s="33" t="s">
        <v>61</v>
      </c>
      <c r="E1292" s="91">
        <v>47516</v>
      </c>
      <c r="F1292" s="92">
        <v>14218.75</v>
      </c>
      <c r="G1292" s="92">
        <v>14218.75</v>
      </c>
    </row>
    <row r="1293" spans="1:7">
      <c r="A1293" s="33" t="s">
        <v>583</v>
      </c>
      <c r="B1293" s="33" t="s">
        <v>754</v>
      </c>
      <c r="C1293" s="48" t="s">
        <v>43</v>
      </c>
      <c r="D1293" s="33" t="s">
        <v>61</v>
      </c>
      <c r="E1293" s="91">
        <v>47697</v>
      </c>
      <c r="F1293" s="92">
        <v>14218.75</v>
      </c>
      <c r="G1293" s="92">
        <v>14218.75</v>
      </c>
    </row>
    <row r="1294" spans="1:7">
      <c r="A1294" s="33" t="s">
        <v>583</v>
      </c>
      <c r="B1294" s="33" t="s">
        <v>754</v>
      </c>
      <c r="C1294" s="48" t="s">
        <v>43</v>
      </c>
      <c r="D1294" s="33" t="s">
        <v>61</v>
      </c>
      <c r="E1294" s="91">
        <v>47881</v>
      </c>
      <c r="F1294" s="92">
        <v>14218.75</v>
      </c>
      <c r="G1294" s="92">
        <v>14218.75</v>
      </c>
    </row>
    <row r="1295" spans="1:7">
      <c r="A1295" s="33" t="s">
        <v>583</v>
      </c>
      <c r="B1295" s="33" t="s">
        <v>754</v>
      </c>
      <c r="C1295" s="48" t="s">
        <v>43</v>
      </c>
      <c r="D1295" s="33" t="s">
        <v>61</v>
      </c>
      <c r="E1295" s="91">
        <v>48062</v>
      </c>
      <c r="F1295" s="92">
        <v>14218.75</v>
      </c>
      <c r="G1295" s="92">
        <v>1764218.75</v>
      </c>
    </row>
    <row r="1296" spans="1:7">
      <c r="A1296" s="87" t="s">
        <v>583</v>
      </c>
      <c r="B1296" s="87" t="s">
        <v>54</v>
      </c>
      <c r="C1296" s="88" t="s">
        <v>43</v>
      </c>
      <c r="D1296" s="87" t="s">
        <v>61</v>
      </c>
      <c r="E1296" s="89">
        <v>45140</v>
      </c>
      <c r="F1296" s="90">
        <v>16250</v>
      </c>
      <c r="G1296" s="90">
        <v>16250</v>
      </c>
    </row>
    <row r="1297" spans="1:7">
      <c r="A1297" s="33" t="s">
        <v>583</v>
      </c>
      <c r="B1297" s="33" t="s">
        <v>54</v>
      </c>
      <c r="C1297" s="48" t="s">
        <v>43</v>
      </c>
      <c r="D1297" s="33" t="s">
        <v>61</v>
      </c>
      <c r="E1297" s="91">
        <v>45324</v>
      </c>
      <c r="F1297" s="92">
        <v>16250</v>
      </c>
      <c r="G1297" s="92">
        <v>16250</v>
      </c>
    </row>
    <row r="1298" spans="1:7">
      <c r="A1298" s="33" t="s">
        <v>583</v>
      </c>
      <c r="B1298" s="33" t="s">
        <v>54</v>
      </c>
      <c r="C1298" s="48" t="s">
        <v>43</v>
      </c>
      <c r="D1298" s="33" t="s">
        <v>61</v>
      </c>
      <c r="E1298" s="91">
        <v>45506</v>
      </c>
      <c r="F1298" s="92">
        <v>16250</v>
      </c>
      <c r="G1298" s="92">
        <v>16250</v>
      </c>
    </row>
    <row r="1299" spans="1:7">
      <c r="A1299" s="33" t="s">
        <v>583</v>
      </c>
      <c r="B1299" s="33" t="s">
        <v>54</v>
      </c>
      <c r="C1299" s="48" t="s">
        <v>43</v>
      </c>
      <c r="D1299" s="33" t="s">
        <v>61</v>
      </c>
      <c r="E1299" s="91">
        <v>45690</v>
      </c>
      <c r="F1299" s="92">
        <v>16250</v>
      </c>
      <c r="G1299" s="92">
        <v>16250</v>
      </c>
    </row>
    <row r="1300" spans="1:7">
      <c r="A1300" s="33" t="s">
        <v>583</v>
      </c>
      <c r="B1300" s="33" t="s">
        <v>54</v>
      </c>
      <c r="C1300" s="48" t="s">
        <v>43</v>
      </c>
      <c r="D1300" s="33" t="s">
        <v>61</v>
      </c>
      <c r="E1300" s="91">
        <v>45871</v>
      </c>
      <c r="F1300" s="92">
        <v>16250</v>
      </c>
      <c r="G1300" s="92">
        <v>16250</v>
      </c>
    </row>
    <row r="1301" spans="1:7">
      <c r="A1301" s="33" t="s">
        <v>583</v>
      </c>
      <c r="B1301" s="33" t="s">
        <v>54</v>
      </c>
      <c r="C1301" s="48" t="s">
        <v>43</v>
      </c>
      <c r="D1301" s="33" t="s">
        <v>61</v>
      </c>
      <c r="E1301" s="91">
        <v>46055</v>
      </c>
      <c r="F1301" s="92">
        <v>16250</v>
      </c>
      <c r="G1301" s="92">
        <v>16250</v>
      </c>
    </row>
    <row r="1302" spans="1:7">
      <c r="A1302" s="33" t="s">
        <v>583</v>
      </c>
      <c r="B1302" s="33" t="s">
        <v>54</v>
      </c>
      <c r="C1302" s="48" t="s">
        <v>43</v>
      </c>
      <c r="D1302" s="33" t="s">
        <v>61</v>
      </c>
      <c r="E1302" s="91">
        <v>46236</v>
      </c>
      <c r="F1302" s="92">
        <v>16250</v>
      </c>
      <c r="G1302" s="92">
        <v>16250</v>
      </c>
    </row>
    <row r="1303" spans="1:7">
      <c r="A1303" s="33" t="s">
        <v>583</v>
      </c>
      <c r="B1303" s="33" t="s">
        <v>54</v>
      </c>
      <c r="C1303" s="48" t="s">
        <v>43</v>
      </c>
      <c r="D1303" s="33" t="s">
        <v>61</v>
      </c>
      <c r="E1303" s="91">
        <v>46420</v>
      </c>
      <c r="F1303" s="92">
        <v>16250</v>
      </c>
      <c r="G1303" s="92">
        <v>16250</v>
      </c>
    </row>
    <row r="1304" spans="1:7">
      <c r="A1304" s="33" t="s">
        <v>583</v>
      </c>
      <c r="B1304" s="33" t="s">
        <v>54</v>
      </c>
      <c r="C1304" s="48" t="s">
        <v>43</v>
      </c>
      <c r="D1304" s="33" t="s">
        <v>61</v>
      </c>
      <c r="E1304" s="91">
        <v>46601</v>
      </c>
      <c r="F1304" s="92">
        <v>16250</v>
      </c>
      <c r="G1304" s="92">
        <v>16250</v>
      </c>
    </row>
    <row r="1305" spans="1:7">
      <c r="A1305" s="33" t="s">
        <v>583</v>
      </c>
      <c r="B1305" s="33" t="s">
        <v>54</v>
      </c>
      <c r="C1305" s="48" t="s">
        <v>43</v>
      </c>
      <c r="D1305" s="33" t="s">
        <v>61</v>
      </c>
      <c r="E1305" s="91">
        <v>46785</v>
      </c>
      <c r="F1305" s="92">
        <v>16250</v>
      </c>
      <c r="G1305" s="92">
        <v>16250</v>
      </c>
    </row>
    <row r="1306" spans="1:7">
      <c r="A1306" s="33" t="s">
        <v>583</v>
      </c>
      <c r="B1306" s="33" t="s">
        <v>54</v>
      </c>
      <c r="C1306" s="48" t="s">
        <v>43</v>
      </c>
      <c r="D1306" s="33" t="s">
        <v>61</v>
      </c>
      <c r="E1306" s="91">
        <v>46967</v>
      </c>
      <c r="F1306" s="92">
        <v>16250</v>
      </c>
      <c r="G1306" s="92">
        <v>16250</v>
      </c>
    </row>
    <row r="1307" spans="1:7">
      <c r="A1307" s="33" t="s">
        <v>583</v>
      </c>
      <c r="B1307" s="33" t="s">
        <v>54</v>
      </c>
      <c r="C1307" s="48" t="s">
        <v>43</v>
      </c>
      <c r="D1307" s="33" t="s">
        <v>61</v>
      </c>
      <c r="E1307" s="91">
        <v>47151</v>
      </c>
      <c r="F1307" s="92">
        <v>16250</v>
      </c>
      <c r="G1307" s="92">
        <v>16250</v>
      </c>
    </row>
    <row r="1308" spans="1:7">
      <c r="A1308" s="33" t="s">
        <v>583</v>
      </c>
      <c r="B1308" s="33" t="s">
        <v>54</v>
      </c>
      <c r="C1308" s="48" t="s">
        <v>43</v>
      </c>
      <c r="D1308" s="33" t="s">
        <v>61</v>
      </c>
      <c r="E1308" s="91">
        <v>47332</v>
      </c>
      <c r="F1308" s="92">
        <v>16250</v>
      </c>
      <c r="G1308" s="92">
        <v>16250</v>
      </c>
    </row>
    <row r="1309" spans="1:7">
      <c r="A1309" s="33" t="s">
        <v>583</v>
      </c>
      <c r="B1309" s="33" t="s">
        <v>54</v>
      </c>
      <c r="C1309" s="48" t="s">
        <v>43</v>
      </c>
      <c r="D1309" s="33" t="s">
        <v>61</v>
      </c>
      <c r="E1309" s="91">
        <v>47516</v>
      </c>
      <c r="F1309" s="92">
        <v>16250</v>
      </c>
      <c r="G1309" s="92">
        <v>16250</v>
      </c>
    </row>
    <row r="1310" spans="1:7">
      <c r="A1310" s="33" t="s">
        <v>583</v>
      </c>
      <c r="B1310" s="33" t="s">
        <v>54</v>
      </c>
      <c r="C1310" s="48" t="s">
        <v>43</v>
      </c>
      <c r="D1310" s="33" t="s">
        <v>61</v>
      </c>
      <c r="E1310" s="91">
        <v>47697</v>
      </c>
      <c r="F1310" s="92">
        <v>16250</v>
      </c>
      <c r="G1310" s="92">
        <v>16250</v>
      </c>
    </row>
    <row r="1311" spans="1:7">
      <c r="A1311" s="33" t="s">
        <v>583</v>
      </c>
      <c r="B1311" s="33" t="s">
        <v>54</v>
      </c>
      <c r="C1311" s="48" t="s">
        <v>43</v>
      </c>
      <c r="D1311" s="33" t="s">
        <v>61</v>
      </c>
      <c r="E1311" s="91">
        <v>47881</v>
      </c>
      <c r="F1311" s="92">
        <v>16250</v>
      </c>
      <c r="G1311" s="92">
        <v>16250</v>
      </c>
    </row>
    <row r="1312" spans="1:7">
      <c r="A1312" s="33" t="s">
        <v>583</v>
      </c>
      <c r="B1312" s="33" t="s">
        <v>54</v>
      </c>
      <c r="C1312" s="48" t="s">
        <v>43</v>
      </c>
      <c r="D1312" s="33" t="s">
        <v>61</v>
      </c>
      <c r="E1312" s="91">
        <v>48062</v>
      </c>
      <c r="F1312" s="92">
        <v>16250</v>
      </c>
      <c r="G1312" s="92">
        <v>2016250</v>
      </c>
    </row>
    <row r="1313" spans="1:7">
      <c r="A1313" s="87" t="s">
        <v>311</v>
      </c>
      <c r="B1313" s="87" t="s">
        <v>54</v>
      </c>
      <c r="C1313" s="88" t="s">
        <v>43</v>
      </c>
      <c r="D1313" s="87" t="s">
        <v>61</v>
      </c>
      <c r="E1313" s="89">
        <v>45164</v>
      </c>
      <c r="F1313" s="90">
        <v>106875</v>
      </c>
      <c r="G1313" s="90">
        <v>106875</v>
      </c>
    </row>
    <row r="1314" spans="1:7">
      <c r="A1314" s="33" t="s">
        <v>311</v>
      </c>
      <c r="B1314" s="33" t="s">
        <v>54</v>
      </c>
      <c r="C1314" s="33" t="s">
        <v>60</v>
      </c>
      <c r="D1314" s="36" t="s">
        <v>61</v>
      </c>
      <c r="E1314" s="93">
        <v>45348</v>
      </c>
      <c r="F1314" s="94">
        <v>106875</v>
      </c>
      <c r="G1314" s="94">
        <v>106875</v>
      </c>
    </row>
    <row r="1315" spans="1:7">
      <c r="A1315" s="33" t="s">
        <v>311</v>
      </c>
      <c r="B1315" s="33" t="s">
        <v>54</v>
      </c>
      <c r="C1315" s="33" t="s">
        <v>60</v>
      </c>
      <c r="D1315" s="36" t="s">
        <v>61</v>
      </c>
      <c r="E1315" s="91">
        <v>45530</v>
      </c>
      <c r="F1315" s="94">
        <v>106875</v>
      </c>
      <c r="G1315" s="94">
        <v>106875</v>
      </c>
    </row>
    <row r="1316" spans="1:7">
      <c r="A1316" s="33" t="s">
        <v>311</v>
      </c>
      <c r="B1316" s="33" t="s">
        <v>54</v>
      </c>
      <c r="C1316" s="33" t="s">
        <v>60</v>
      </c>
      <c r="D1316" s="36" t="s">
        <v>61</v>
      </c>
      <c r="E1316" s="93">
        <v>45714</v>
      </c>
      <c r="F1316" s="94">
        <v>106875</v>
      </c>
      <c r="G1316" s="94">
        <v>106875</v>
      </c>
    </row>
    <row r="1317" spans="1:7">
      <c r="A1317" s="33" t="s">
        <v>311</v>
      </c>
      <c r="B1317" s="33" t="s">
        <v>54</v>
      </c>
      <c r="C1317" s="33" t="s">
        <v>60</v>
      </c>
      <c r="D1317" s="36" t="s">
        <v>61</v>
      </c>
      <c r="E1317" s="91">
        <v>45895</v>
      </c>
      <c r="F1317" s="94">
        <v>106875</v>
      </c>
      <c r="G1317" s="94">
        <v>106875</v>
      </c>
    </row>
    <row r="1318" spans="1:7">
      <c r="A1318" s="33" t="s">
        <v>311</v>
      </c>
      <c r="B1318" s="33" t="s">
        <v>54</v>
      </c>
      <c r="C1318" s="33" t="s">
        <v>60</v>
      </c>
      <c r="D1318" s="36" t="s">
        <v>61</v>
      </c>
      <c r="E1318" s="93">
        <v>46079</v>
      </c>
      <c r="F1318" s="94">
        <v>106875</v>
      </c>
      <c r="G1318" s="94">
        <v>106875</v>
      </c>
    </row>
    <row r="1319" spans="1:7">
      <c r="A1319" s="33" t="s">
        <v>311</v>
      </c>
      <c r="B1319" s="33" t="s">
        <v>54</v>
      </c>
      <c r="C1319" s="33" t="s">
        <v>60</v>
      </c>
      <c r="D1319" s="36" t="s">
        <v>61</v>
      </c>
      <c r="E1319" s="91">
        <v>46260</v>
      </c>
      <c r="F1319" s="94">
        <v>106875</v>
      </c>
      <c r="G1319" s="94">
        <v>106875</v>
      </c>
    </row>
    <row r="1320" spans="1:7">
      <c r="A1320" s="33" t="s">
        <v>311</v>
      </c>
      <c r="B1320" s="33" t="s">
        <v>54</v>
      </c>
      <c r="C1320" s="33" t="s">
        <v>60</v>
      </c>
      <c r="D1320" s="36" t="s">
        <v>61</v>
      </c>
      <c r="E1320" s="93">
        <v>46444</v>
      </c>
      <c r="F1320" s="94">
        <v>106875</v>
      </c>
      <c r="G1320" s="94">
        <v>106875</v>
      </c>
    </row>
    <row r="1321" spans="1:7">
      <c r="A1321" s="33" t="s">
        <v>311</v>
      </c>
      <c r="B1321" s="33" t="s">
        <v>54</v>
      </c>
      <c r="C1321" s="33" t="s">
        <v>60</v>
      </c>
      <c r="D1321" s="36" t="s">
        <v>61</v>
      </c>
      <c r="E1321" s="91">
        <v>46625</v>
      </c>
      <c r="F1321" s="94">
        <v>106875</v>
      </c>
      <c r="G1321" s="94">
        <v>106875</v>
      </c>
    </row>
    <row r="1322" spans="1:7">
      <c r="A1322" s="33" t="s">
        <v>311</v>
      </c>
      <c r="B1322" s="33" t="s">
        <v>54</v>
      </c>
      <c r="C1322" s="33" t="s">
        <v>60</v>
      </c>
      <c r="D1322" s="36" t="s">
        <v>61</v>
      </c>
      <c r="E1322" s="93">
        <v>46809</v>
      </c>
      <c r="F1322" s="94">
        <v>106875</v>
      </c>
      <c r="G1322" s="94">
        <v>106875</v>
      </c>
    </row>
    <row r="1323" spans="1:7">
      <c r="A1323" s="33" t="s">
        <v>311</v>
      </c>
      <c r="B1323" s="33" t="s">
        <v>54</v>
      </c>
      <c r="C1323" s="33" t="s">
        <v>60</v>
      </c>
      <c r="D1323" s="36" t="s">
        <v>61</v>
      </c>
      <c r="E1323" s="91">
        <v>46991</v>
      </c>
      <c r="F1323" s="94">
        <v>106875</v>
      </c>
      <c r="G1323" s="94">
        <v>106875</v>
      </c>
    </row>
    <row r="1324" spans="1:7">
      <c r="A1324" s="33" t="s">
        <v>311</v>
      </c>
      <c r="B1324" s="33" t="s">
        <v>54</v>
      </c>
      <c r="C1324" s="33" t="s">
        <v>60</v>
      </c>
      <c r="D1324" s="36" t="s">
        <v>61</v>
      </c>
      <c r="E1324" s="93">
        <v>47175</v>
      </c>
      <c r="F1324" s="94">
        <v>106875</v>
      </c>
      <c r="G1324" s="94">
        <v>106875</v>
      </c>
    </row>
    <row r="1325" spans="1:7">
      <c r="A1325" s="33" t="s">
        <v>311</v>
      </c>
      <c r="B1325" s="33" t="s">
        <v>54</v>
      </c>
      <c r="C1325" s="33" t="s">
        <v>60</v>
      </c>
      <c r="D1325" s="36" t="s">
        <v>61</v>
      </c>
      <c r="E1325" s="91">
        <v>47356</v>
      </c>
      <c r="F1325" s="94">
        <v>106875</v>
      </c>
      <c r="G1325" s="94">
        <v>9106875</v>
      </c>
    </row>
    <row r="1326" spans="1:7">
      <c r="A1326" s="87" t="s">
        <v>311</v>
      </c>
      <c r="B1326" s="87" t="s">
        <v>119</v>
      </c>
      <c r="C1326" s="88" t="s">
        <v>43</v>
      </c>
      <c r="D1326" s="87" t="s">
        <v>61</v>
      </c>
      <c r="E1326" s="89">
        <v>45530</v>
      </c>
      <c r="F1326" s="90">
        <v>29687.5</v>
      </c>
      <c r="G1326" s="90">
        <v>29687.5</v>
      </c>
    </row>
    <row r="1327" spans="1:7">
      <c r="A1327" s="33" t="s">
        <v>311</v>
      </c>
      <c r="B1327" s="33" t="s">
        <v>119</v>
      </c>
      <c r="C1327" s="33" t="s">
        <v>60</v>
      </c>
      <c r="D1327" s="36" t="s">
        <v>61</v>
      </c>
      <c r="E1327" s="91">
        <v>45714</v>
      </c>
      <c r="F1327" s="92">
        <v>29687.5</v>
      </c>
      <c r="G1327" s="92">
        <v>29687.5</v>
      </c>
    </row>
    <row r="1328" spans="1:7">
      <c r="A1328" s="33" t="s">
        <v>806</v>
      </c>
      <c r="B1328" s="33" t="s">
        <v>119</v>
      </c>
      <c r="C1328" s="33" t="s">
        <v>60</v>
      </c>
      <c r="D1328" s="36" t="s">
        <v>61</v>
      </c>
      <c r="E1328" s="91">
        <v>45895</v>
      </c>
      <c r="F1328" s="92">
        <v>29687.5</v>
      </c>
      <c r="G1328" s="92">
        <v>29687.5</v>
      </c>
    </row>
    <row r="1329" spans="1:7">
      <c r="A1329" s="33" t="s">
        <v>806</v>
      </c>
      <c r="B1329" s="33" t="s">
        <v>119</v>
      </c>
      <c r="C1329" s="33" t="s">
        <v>60</v>
      </c>
      <c r="D1329" s="36" t="s">
        <v>61</v>
      </c>
      <c r="E1329" s="91">
        <v>45714</v>
      </c>
      <c r="F1329" s="92">
        <v>29687.5</v>
      </c>
      <c r="G1329" s="92">
        <v>29687.5</v>
      </c>
    </row>
    <row r="1330" spans="1:7">
      <c r="A1330" s="33" t="s">
        <v>806</v>
      </c>
      <c r="B1330" s="33" t="s">
        <v>119</v>
      </c>
      <c r="C1330" s="33" t="s">
        <v>60</v>
      </c>
      <c r="D1330" s="36" t="s">
        <v>61</v>
      </c>
      <c r="E1330" s="91">
        <v>45895</v>
      </c>
      <c r="F1330" s="92">
        <v>29687.5</v>
      </c>
      <c r="G1330" s="92">
        <v>29687.5</v>
      </c>
    </row>
    <row r="1331" spans="1:7">
      <c r="A1331" s="33" t="s">
        <v>806</v>
      </c>
      <c r="B1331" s="33" t="s">
        <v>119</v>
      </c>
      <c r="C1331" s="33" t="s">
        <v>60</v>
      </c>
      <c r="D1331" s="36" t="s">
        <v>61</v>
      </c>
      <c r="E1331" s="91">
        <v>45714</v>
      </c>
      <c r="F1331" s="92">
        <v>29687.5</v>
      </c>
      <c r="G1331" s="92">
        <v>29687.5</v>
      </c>
    </row>
    <row r="1332" spans="1:7">
      <c r="A1332" s="33" t="s">
        <v>806</v>
      </c>
      <c r="B1332" s="33" t="s">
        <v>119</v>
      </c>
      <c r="C1332" s="33" t="s">
        <v>60</v>
      </c>
      <c r="D1332" s="36" t="s">
        <v>61</v>
      </c>
      <c r="E1332" s="91">
        <v>45895</v>
      </c>
      <c r="F1332" s="92">
        <v>29687.5</v>
      </c>
      <c r="G1332" s="92">
        <v>29687.5</v>
      </c>
    </row>
    <row r="1333" spans="1:7">
      <c r="A1333" s="33" t="s">
        <v>806</v>
      </c>
      <c r="B1333" s="33" t="s">
        <v>119</v>
      </c>
      <c r="C1333" s="33" t="s">
        <v>60</v>
      </c>
      <c r="D1333" s="36" t="s">
        <v>61</v>
      </c>
      <c r="E1333" s="91">
        <v>45714</v>
      </c>
      <c r="F1333" s="92">
        <v>29687.5</v>
      </c>
      <c r="G1333" s="92">
        <v>29687.5</v>
      </c>
    </row>
    <row r="1334" spans="1:7">
      <c r="A1334" s="33" t="s">
        <v>806</v>
      </c>
      <c r="B1334" s="33" t="s">
        <v>119</v>
      </c>
      <c r="C1334" s="33" t="s">
        <v>60</v>
      </c>
      <c r="D1334" s="36" t="s">
        <v>61</v>
      </c>
      <c r="E1334" s="91">
        <v>45895</v>
      </c>
      <c r="F1334" s="92">
        <v>29687.5</v>
      </c>
      <c r="G1334" s="92">
        <v>29687.5</v>
      </c>
    </row>
    <row r="1335" spans="1:7">
      <c r="A1335" s="33" t="s">
        <v>806</v>
      </c>
      <c r="B1335" s="33" t="s">
        <v>119</v>
      </c>
      <c r="C1335" s="33" t="s">
        <v>60</v>
      </c>
      <c r="D1335" s="36" t="s">
        <v>61</v>
      </c>
      <c r="E1335" s="91">
        <v>45714</v>
      </c>
      <c r="F1335" s="92">
        <v>29687.5</v>
      </c>
      <c r="G1335" s="92">
        <v>29687.5</v>
      </c>
    </row>
    <row r="1336" spans="1:7">
      <c r="A1336" s="33" t="s">
        <v>806</v>
      </c>
      <c r="B1336" s="33" t="s">
        <v>119</v>
      </c>
      <c r="C1336" s="33" t="s">
        <v>60</v>
      </c>
      <c r="D1336" s="36" t="s">
        <v>61</v>
      </c>
      <c r="E1336" s="91">
        <v>45895</v>
      </c>
      <c r="F1336" s="92">
        <v>29687.5</v>
      </c>
      <c r="G1336" s="92">
        <v>2529687.5</v>
      </c>
    </row>
    <row r="1337" spans="1:7">
      <c r="A1337" s="87" t="s">
        <v>100</v>
      </c>
      <c r="B1337" s="87" t="s">
        <v>101</v>
      </c>
      <c r="C1337" s="88" t="s">
        <v>43</v>
      </c>
      <c r="D1337" s="87" t="s">
        <v>61</v>
      </c>
      <c r="E1337" s="89">
        <v>45189</v>
      </c>
      <c r="F1337" s="90">
        <v>68250</v>
      </c>
      <c r="G1337" s="90">
        <v>68250</v>
      </c>
    </row>
    <row r="1338" spans="1:7">
      <c r="A1338" s="33" t="s">
        <v>100</v>
      </c>
      <c r="B1338" s="33" t="s">
        <v>101</v>
      </c>
      <c r="C1338" s="48" t="s">
        <v>43</v>
      </c>
      <c r="D1338" s="33" t="s">
        <v>61</v>
      </c>
      <c r="E1338" s="93">
        <v>45371</v>
      </c>
      <c r="F1338" s="94">
        <v>68250</v>
      </c>
      <c r="G1338" s="94">
        <v>68250</v>
      </c>
    </row>
    <row r="1339" spans="1:7">
      <c r="A1339" s="33" t="s">
        <v>100</v>
      </c>
      <c r="B1339" s="33" t="s">
        <v>101</v>
      </c>
      <c r="C1339" s="48" t="s">
        <v>43</v>
      </c>
      <c r="D1339" s="33" t="s">
        <v>61</v>
      </c>
      <c r="E1339" s="91">
        <v>45555</v>
      </c>
      <c r="F1339" s="92">
        <v>68250</v>
      </c>
      <c r="G1339" s="92">
        <v>68250</v>
      </c>
    </row>
    <row r="1340" spans="1:7">
      <c r="A1340" s="33" t="s">
        <v>100</v>
      </c>
      <c r="B1340" s="33" t="s">
        <v>101</v>
      </c>
      <c r="C1340" s="48" t="s">
        <v>43</v>
      </c>
      <c r="D1340" s="33" t="s">
        <v>61</v>
      </c>
      <c r="E1340" s="93">
        <v>45736</v>
      </c>
      <c r="F1340" s="92">
        <v>68250</v>
      </c>
      <c r="G1340" s="92">
        <v>68250</v>
      </c>
    </row>
    <row r="1341" spans="1:7">
      <c r="A1341" s="33" t="s">
        <v>100</v>
      </c>
      <c r="B1341" s="33" t="s">
        <v>101</v>
      </c>
      <c r="C1341" s="48" t="s">
        <v>43</v>
      </c>
      <c r="D1341" s="33" t="s">
        <v>61</v>
      </c>
      <c r="E1341" s="91">
        <v>45920</v>
      </c>
      <c r="F1341" s="92">
        <v>68250</v>
      </c>
      <c r="G1341" s="92">
        <v>68250</v>
      </c>
    </row>
    <row r="1342" spans="1:7">
      <c r="A1342" s="33" t="s">
        <v>100</v>
      </c>
      <c r="B1342" s="33" t="s">
        <v>101</v>
      </c>
      <c r="C1342" s="48" t="s">
        <v>43</v>
      </c>
      <c r="D1342" s="33" t="s">
        <v>61</v>
      </c>
      <c r="E1342" s="93">
        <v>46101</v>
      </c>
      <c r="F1342" s="92">
        <v>68250</v>
      </c>
      <c r="G1342" s="92">
        <v>68250</v>
      </c>
    </row>
    <row r="1343" spans="1:7">
      <c r="A1343" s="33" t="s">
        <v>100</v>
      </c>
      <c r="B1343" s="33" t="s">
        <v>101</v>
      </c>
      <c r="C1343" s="48" t="s">
        <v>43</v>
      </c>
      <c r="D1343" s="33" t="s">
        <v>61</v>
      </c>
      <c r="E1343" s="91">
        <v>46285</v>
      </c>
      <c r="F1343" s="92">
        <v>68250</v>
      </c>
      <c r="G1343" s="92">
        <v>68250</v>
      </c>
    </row>
    <row r="1344" spans="1:7">
      <c r="A1344" s="33" t="s">
        <v>100</v>
      </c>
      <c r="B1344" s="33" t="s">
        <v>101</v>
      </c>
      <c r="C1344" s="48" t="s">
        <v>43</v>
      </c>
      <c r="D1344" s="33" t="s">
        <v>61</v>
      </c>
      <c r="E1344" s="93">
        <v>46466</v>
      </c>
      <c r="F1344" s="92">
        <v>68250</v>
      </c>
      <c r="G1344" s="92">
        <v>68250</v>
      </c>
    </row>
    <row r="1345" spans="1:7">
      <c r="A1345" s="33" t="s">
        <v>100</v>
      </c>
      <c r="B1345" s="33" t="s">
        <v>101</v>
      </c>
      <c r="C1345" s="48" t="s">
        <v>43</v>
      </c>
      <c r="D1345" s="33" t="s">
        <v>61</v>
      </c>
      <c r="E1345" s="91">
        <v>46650</v>
      </c>
      <c r="F1345" s="92">
        <v>68250</v>
      </c>
      <c r="G1345" s="92">
        <v>3068250</v>
      </c>
    </row>
    <row r="1346" spans="1:7">
      <c r="A1346" s="87" t="s">
        <v>532</v>
      </c>
      <c r="B1346" s="87" t="s">
        <v>119</v>
      </c>
      <c r="C1346" s="88" t="s">
        <v>67</v>
      </c>
      <c r="D1346" s="87" t="s">
        <v>61</v>
      </c>
      <c r="E1346" s="89">
        <v>45556</v>
      </c>
      <c r="F1346" s="90">
        <v>53550</v>
      </c>
      <c r="G1346" s="90">
        <v>53550</v>
      </c>
    </row>
    <row r="1347" spans="1:7">
      <c r="A1347" s="33" t="s">
        <v>532</v>
      </c>
      <c r="B1347" s="33" t="s">
        <v>119</v>
      </c>
      <c r="C1347" s="48" t="s">
        <v>67</v>
      </c>
      <c r="D1347" s="33" t="s">
        <v>61</v>
      </c>
      <c r="E1347" s="91">
        <v>45737</v>
      </c>
      <c r="F1347" s="92">
        <v>53550</v>
      </c>
      <c r="G1347" s="92">
        <v>53550</v>
      </c>
    </row>
    <row r="1348" spans="1:7">
      <c r="A1348" s="33" t="s">
        <v>807</v>
      </c>
      <c r="B1348" s="33" t="s">
        <v>119</v>
      </c>
      <c r="C1348" s="48" t="s">
        <v>67</v>
      </c>
      <c r="D1348" s="33" t="s">
        <v>61</v>
      </c>
      <c r="E1348" s="91">
        <v>45921</v>
      </c>
      <c r="F1348" s="92">
        <v>53550</v>
      </c>
      <c r="G1348" s="92">
        <v>53550</v>
      </c>
    </row>
    <row r="1349" spans="1:7">
      <c r="A1349" s="33" t="s">
        <v>807</v>
      </c>
      <c r="B1349" s="33" t="s">
        <v>119</v>
      </c>
      <c r="C1349" s="48" t="s">
        <v>67</v>
      </c>
      <c r="D1349" s="33" t="s">
        <v>61</v>
      </c>
      <c r="E1349" s="91">
        <v>46102</v>
      </c>
      <c r="F1349" s="92">
        <v>53550</v>
      </c>
      <c r="G1349" s="92">
        <v>53550</v>
      </c>
    </row>
    <row r="1350" spans="1:7">
      <c r="A1350" s="33" t="s">
        <v>807</v>
      </c>
      <c r="B1350" s="33" t="s">
        <v>119</v>
      </c>
      <c r="C1350" s="48" t="s">
        <v>67</v>
      </c>
      <c r="D1350" s="33" t="s">
        <v>61</v>
      </c>
      <c r="E1350" s="91">
        <v>46286</v>
      </c>
      <c r="F1350" s="92">
        <v>53550</v>
      </c>
      <c r="G1350" s="92">
        <v>53550</v>
      </c>
    </row>
    <row r="1351" spans="1:7">
      <c r="A1351" s="33" t="s">
        <v>807</v>
      </c>
      <c r="B1351" s="33" t="s">
        <v>119</v>
      </c>
      <c r="C1351" s="48" t="s">
        <v>67</v>
      </c>
      <c r="D1351" s="33" t="s">
        <v>61</v>
      </c>
      <c r="E1351" s="91">
        <v>46467</v>
      </c>
      <c r="F1351" s="92">
        <v>53550</v>
      </c>
      <c r="G1351" s="92">
        <v>53550</v>
      </c>
    </row>
    <row r="1352" spans="1:7">
      <c r="A1352" s="33" t="s">
        <v>807</v>
      </c>
      <c r="B1352" s="33" t="s">
        <v>119</v>
      </c>
      <c r="C1352" s="48" t="s">
        <v>67</v>
      </c>
      <c r="D1352" s="33" t="s">
        <v>61</v>
      </c>
      <c r="E1352" s="91">
        <v>46651</v>
      </c>
      <c r="F1352" s="92">
        <v>53550</v>
      </c>
      <c r="G1352" s="92">
        <v>53550</v>
      </c>
    </row>
    <row r="1353" spans="1:7">
      <c r="A1353" s="33" t="s">
        <v>807</v>
      </c>
      <c r="B1353" s="33" t="s">
        <v>119</v>
      </c>
      <c r="C1353" s="48" t="s">
        <v>67</v>
      </c>
      <c r="D1353" s="33" t="s">
        <v>61</v>
      </c>
      <c r="E1353" s="91">
        <v>46833</v>
      </c>
      <c r="F1353" s="92">
        <v>53550</v>
      </c>
      <c r="G1353" s="92">
        <v>53550</v>
      </c>
    </row>
    <row r="1354" spans="1:7">
      <c r="A1354" s="33" t="s">
        <v>807</v>
      </c>
      <c r="B1354" s="33" t="s">
        <v>119</v>
      </c>
      <c r="C1354" s="48" t="s">
        <v>67</v>
      </c>
      <c r="D1354" s="33" t="s">
        <v>61</v>
      </c>
      <c r="E1354" s="91">
        <v>47017</v>
      </c>
      <c r="F1354" s="92">
        <v>53550</v>
      </c>
      <c r="G1354" s="92">
        <v>53550</v>
      </c>
    </row>
    <row r="1355" spans="1:7">
      <c r="A1355" s="33" t="s">
        <v>807</v>
      </c>
      <c r="B1355" s="33" t="s">
        <v>119</v>
      </c>
      <c r="C1355" s="48" t="s">
        <v>67</v>
      </c>
      <c r="D1355" s="33" t="s">
        <v>61</v>
      </c>
      <c r="E1355" s="91">
        <v>47198</v>
      </c>
      <c r="F1355" s="92">
        <v>53550</v>
      </c>
      <c r="G1355" s="92">
        <v>53550</v>
      </c>
    </row>
    <row r="1356" spans="1:7">
      <c r="A1356" s="33" t="s">
        <v>807</v>
      </c>
      <c r="B1356" s="33" t="s">
        <v>119</v>
      </c>
      <c r="C1356" s="48" t="s">
        <v>67</v>
      </c>
      <c r="D1356" s="33" t="s">
        <v>61</v>
      </c>
      <c r="E1356" s="91">
        <v>47382</v>
      </c>
      <c r="F1356" s="92">
        <v>53550</v>
      </c>
      <c r="G1356" s="92">
        <v>53550</v>
      </c>
    </row>
    <row r="1357" spans="1:7">
      <c r="A1357" s="33" t="s">
        <v>807</v>
      </c>
      <c r="B1357" s="33" t="s">
        <v>119</v>
      </c>
      <c r="C1357" s="48" t="s">
        <v>67</v>
      </c>
      <c r="D1357" s="33" t="s">
        <v>61</v>
      </c>
      <c r="E1357" s="91">
        <v>47563</v>
      </c>
      <c r="F1357" s="92">
        <v>53550</v>
      </c>
      <c r="G1357" s="92">
        <v>53550</v>
      </c>
    </row>
    <row r="1358" spans="1:7">
      <c r="A1358" s="33" t="s">
        <v>807</v>
      </c>
      <c r="B1358" s="33" t="s">
        <v>119</v>
      </c>
      <c r="C1358" s="48" t="s">
        <v>67</v>
      </c>
      <c r="D1358" s="33" t="s">
        <v>61</v>
      </c>
      <c r="E1358" s="91">
        <v>47747</v>
      </c>
      <c r="F1358" s="92">
        <v>53550</v>
      </c>
      <c r="G1358" s="92">
        <v>53550</v>
      </c>
    </row>
    <row r="1359" spans="1:7">
      <c r="A1359" s="33" t="s">
        <v>807</v>
      </c>
      <c r="B1359" s="33" t="s">
        <v>119</v>
      </c>
      <c r="C1359" s="48" t="s">
        <v>67</v>
      </c>
      <c r="D1359" s="33" t="s">
        <v>61</v>
      </c>
      <c r="E1359" s="91">
        <v>47928</v>
      </c>
      <c r="F1359" s="94">
        <v>53550</v>
      </c>
      <c r="G1359" s="94">
        <v>2153550</v>
      </c>
    </row>
    <row r="1360" spans="1:7">
      <c r="A1360" s="87" t="s">
        <v>189</v>
      </c>
      <c r="B1360" s="87" t="s">
        <v>54</v>
      </c>
      <c r="C1360" s="88" t="s">
        <v>67</v>
      </c>
      <c r="D1360" s="87" t="s">
        <v>61</v>
      </c>
      <c r="E1360" s="89">
        <v>45546</v>
      </c>
      <c r="F1360" s="90">
        <v>56500</v>
      </c>
      <c r="G1360" s="90">
        <v>56500</v>
      </c>
    </row>
    <row r="1361" spans="1:7">
      <c r="A1361" s="33" t="s">
        <v>189</v>
      </c>
      <c r="B1361" s="33" t="s">
        <v>54</v>
      </c>
      <c r="C1361" s="33" t="s">
        <v>35</v>
      </c>
      <c r="D1361" s="36" t="s">
        <v>61</v>
      </c>
      <c r="E1361" s="91">
        <v>45727</v>
      </c>
      <c r="F1361" s="92">
        <v>56500</v>
      </c>
      <c r="G1361" s="92">
        <v>56500</v>
      </c>
    </row>
    <row r="1362" spans="1:7">
      <c r="A1362" s="33" t="s">
        <v>808</v>
      </c>
      <c r="B1362" s="33" t="s">
        <v>54</v>
      </c>
      <c r="C1362" s="33" t="s">
        <v>35</v>
      </c>
      <c r="D1362" s="36" t="s">
        <v>61</v>
      </c>
      <c r="E1362" s="91">
        <v>45911</v>
      </c>
      <c r="F1362" s="92">
        <v>56500</v>
      </c>
      <c r="G1362" s="92">
        <v>56500</v>
      </c>
    </row>
    <row r="1363" spans="1:7">
      <c r="A1363" s="33" t="s">
        <v>808</v>
      </c>
      <c r="B1363" s="33" t="s">
        <v>54</v>
      </c>
      <c r="C1363" s="33" t="s">
        <v>35</v>
      </c>
      <c r="D1363" s="36" t="s">
        <v>61</v>
      </c>
      <c r="E1363" s="91">
        <v>46092</v>
      </c>
      <c r="F1363" s="92">
        <v>56500</v>
      </c>
      <c r="G1363" s="92">
        <v>56500</v>
      </c>
    </row>
    <row r="1364" spans="1:7">
      <c r="A1364" s="33" t="s">
        <v>808</v>
      </c>
      <c r="B1364" s="33" t="s">
        <v>54</v>
      </c>
      <c r="C1364" s="33" t="s">
        <v>35</v>
      </c>
      <c r="D1364" s="36" t="s">
        <v>61</v>
      </c>
      <c r="E1364" s="91">
        <v>46276</v>
      </c>
      <c r="F1364" s="92">
        <v>56500</v>
      </c>
      <c r="G1364" s="92">
        <v>56500</v>
      </c>
    </row>
    <row r="1365" spans="1:7">
      <c r="A1365" s="33" t="s">
        <v>808</v>
      </c>
      <c r="B1365" s="33" t="s">
        <v>54</v>
      </c>
      <c r="C1365" s="33" t="s">
        <v>35</v>
      </c>
      <c r="D1365" s="36" t="s">
        <v>61</v>
      </c>
      <c r="E1365" s="91">
        <v>46457</v>
      </c>
      <c r="F1365" s="92">
        <v>56500</v>
      </c>
      <c r="G1365" s="92">
        <v>56500</v>
      </c>
    </row>
    <row r="1366" spans="1:7">
      <c r="A1366" s="33" t="s">
        <v>808</v>
      </c>
      <c r="B1366" s="33" t="s">
        <v>54</v>
      </c>
      <c r="C1366" s="33" t="s">
        <v>35</v>
      </c>
      <c r="D1366" s="36" t="s">
        <v>61</v>
      </c>
      <c r="E1366" s="91">
        <v>46641</v>
      </c>
      <c r="F1366" s="92">
        <v>56500</v>
      </c>
      <c r="G1366" s="92">
        <v>56500</v>
      </c>
    </row>
    <row r="1367" spans="1:7">
      <c r="A1367" s="33" t="s">
        <v>808</v>
      </c>
      <c r="B1367" s="33" t="s">
        <v>54</v>
      </c>
      <c r="C1367" s="33" t="s">
        <v>35</v>
      </c>
      <c r="D1367" s="36" t="s">
        <v>61</v>
      </c>
      <c r="E1367" s="91">
        <v>46823</v>
      </c>
      <c r="F1367" s="92">
        <v>56500</v>
      </c>
      <c r="G1367" s="92">
        <v>56500</v>
      </c>
    </row>
    <row r="1368" spans="1:7">
      <c r="A1368" s="33" t="s">
        <v>808</v>
      </c>
      <c r="B1368" s="33" t="s">
        <v>54</v>
      </c>
      <c r="C1368" s="33" t="s">
        <v>35</v>
      </c>
      <c r="D1368" s="36" t="s">
        <v>61</v>
      </c>
      <c r="E1368" s="91">
        <v>47007</v>
      </c>
      <c r="F1368" s="92">
        <v>56500</v>
      </c>
      <c r="G1368" s="92">
        <v>2056500</v>
      </c>
    </row>
    <row r="1369" spans="1:7">
      <c r="A1369" s="87" t="s">
        <v>33</v>
      </c>
      <c r="B1369" s="87" t="s">
        <v>754</v>
      </c>
      <c r="C1369" s="87" t="s">
        <v>35</v>
      </c>
      <c r="D1369" s="96" t="s">
        <v>36</v>
      </c>
      <c r="E1369" s="89">
        <v>44524</v>
      </c>
      <c r="F1369" s="90">
        <v>5625</v>
      </c>
      <c r="G1369" s="90">
        <v>5625</v>
      </c>
    </row>
    <row r="1370" spans="1:7">
      <c r="A1370" s="33" t="s">
        <v>33</v>
      </c>
      <c r="B1370" s="33" t="s">
        <v>754</v>
      </c>
      <c r="C1370" s="33" t="s">
        <v>35</v>
      </c>
      <c r="D1370" s="36" t="s">
        <v>36</v>
      </c>
      <c r="E1370" s="91">
        <v>44705</v>
      </c>
      <c r="F1370" s="92">
        <v>5625</v>
      </c>
      <c r="G1370" s="92">
        <v>5625</v>
      </c>
    </row>
    <row r="1371" spans="1:7">
      <c r="A1371" s="33" t="s">
        <v>809</v>
      </c>
      <c r="B1371" s="33" t="s">
        <v>754</v>
      </c>
      <c r="C1371" s="33" t="s">
        <v>35</v>
      </c>
      <c r="D1371" s="36" t="s">
        <v>36</v>
      </c>
      <c r="E1371" s="91">
        <v>44889</v>
      </c>
      <c r="F1371" s="92">
        <v>5625</v>
      </c>
      <c r="G1371" s="92">
        <v>5625</v>
      </c>
    </row>
    <row r="1372" spans="1:7">
      <c r="A1372" s="33" t="s">
        <v>809</v>
      </c>
      <c r="B1372" s="33" t="s">
        <v>754</v>
      </c>
      <c r="C1372" s="33" t="s">
        <v>35</v>
      </c>
      <c r="D1372" s="36" t="s">
        <v>36</v>
      </c>
      <c r="E1372" s="91">
        <v>45070</v>
      </c>
      <c r="F1372" s="92">
        <v>5625</v>
      </c>
      <c r="G1372" s="92">
        <v>5625</v>
      </c>
    </row>
    <row r="1373" spans="1:7">
      <c r="A1373" s="33" t="s">
        <v>809</v>
      </c>
      <c r="B1373" s="33" t="s">
        <v>754</v>
      </c>
      <c r="C1373" s="33" t="s">
        <v>35</v>
      </c>
      <c r="D1373" s="36" t="s">
        <v>36</v>
      </c>
      <c r="E1373" s="91">
        <v>45254</v>
      </c>
      <c r="F1373" s="92">
        <v>5625</v>
      </c>
      <c r="G1373" s="92">
        <v>5625</v>
      </c>
    </row>
    <row r="1374" spans="1:7">
      <c r="A1374" s="33" t="s">
        <v>809</v>
      </c>
      <c r="B1374" s="33" t="s">
        <v>754</v>
      </c>
      <c r="C1374" s="33" t="s">
        <v>35</v>
      </c>
      <c r="D1374" s="36" t="s">
        <v>36</v>
      </c>
      <c r="E1374" s="91">
        <v>45436</v>
      </c>
      <c r="F1374" s="92">
        <v>5625</v>
      </c>
      <c r="G1374" s="92">
        <v>5625</v>
      </c>
    </row>
    <row r="1375" spans="1:7">
      <c r="A1375" s="33" t="s">
        <v>809</v>
      </c>
      <c r="B1375" s="33" t="s">
        <v>754</v>
      </c>
      <c r="C1375" s="33" t="s">
        <v>35</v>
      </c>
      <c r="D1375" s="36" t="s">
        <v>36</v>
      </c>
      <c r="E1375" s="91">
        <v>45620</v>
      </c>
      <c r="F1375" s="92">
        <v>5625</v>
      </c>
      <c r="G1375" s="92">
        <v>5625</v>
      </c>
    </row>
    <row r="1376" spans="1:7">
      <c r="A1376" s="33" t="s">
        <v>809</v>
      </c>
      <c r="B1376" s="33" t="s">
        <v>754</v>
      </c>
      <c r="C1376" s="33" t="s">
        <v>35</v>
      </c>
      <c r="D1376" s="36" t="s">
        <v>36</v>
      </c>
      <c r="E1376" s="91">
        <v>45801</v>
      </c>
      <c r="F1376" s="92">
        <v>5625</v>
      </c>
      <c r="G1376" s="92">
        <v>5625</v>
      </c>
    </row>
    <row r="1377" spans="1:7">
      <c r="A1377" s="33" t="s">
        <v>809</v>
      </c>
      <c r="B1377" s="33" t="s">
        <v>754</v>
      </c>
      <c r="C1377" s="33" t="s">
        <v>35</v>
      </c>
      <c r="D1377" s="36" t="s">
        <v>36</v>
      </c>
      <c r="E1377" s="91">
        <v>45985</v>
      </c>
      <c r="F1377" s="92">
        <v>5625</v>
      </c>
      <c r="G1377" s="92">
        <v>5625</v>
      </c>
    </row>
    <row r="1378" spans="1:7">
      <c r="A1378" s="33" t="s">
        <v>809</v>
      </c>
      <c r="B1378" s="33" t="s">
        <v>754</v>
      </c>
      <c r="C1378" s="33" t="s">
        <v>35</v>
      </c>
      <c r="D1378" s="36" t="s">
        <v>36</v>
      </c>
      <c r="E1378" s="91">
        <v>46126</v>
      </c>
      <c r="F1378" s="92">
        <v>5625</v>
      </c>
      <c r="G1378" s="92">
        <v>905625</v>
      </c>
    </row>
    <row r="1379" spans="1:7">
      <c r="A1379" s="87" t="s">
        <v>209</v>
      </c>
      <c r="B1379" s="87" t="s">
        <v>77</v>
      </c>
      <c r="C1379" s="88" t="s">
        <v>72</v>
      </c>
      <c r="D1379" s="87" t="s">
        <v>61</v>
      </c>
      <c r="E1379" s="89">
        <v>45245</v>
      </c>
      <c r="F1379" s="90">
        <v>52500</v>
      </c>
      <c r="G1379" s="90">
        <v>52500</v>
      </c>
    </row>
    <row r="1380" spans="1:7">
      <c r="A1380" s="33" t="s">
        <v>209</v>
      </c>
      <c r="B1380" s="33" t="s">
        <v>77</v>
      </c>
      <c r="C1380" s="33" t="s">
        <v>210</v>
      </c>
      <c r="D1380" s="36" t="s">
        <v>61</v>
      </c>
      <c r="E1380" s="91">
        <v>45427</v>
      </c>
      <c r="F1380" s="92">
        <v>52500</v>
      </c>
      <c r="G1380" s="92">
        <v>52500</v>
      </c>
    </row>
    <row r="1381" spans="1:7">
      <c r="A1381" s="33" t="s">
        <v>810</v>
      </c>
      <c r="B1381" s="33" t="s">
        <v>77</v>
      </c>
      <c r="C1381" s="33" t="s">
        <v>210</v>
      </c>
      <c r="D1381" s="36" t="s">
        <v>61</v>
      </c>
      <c r="E1381" s="91">
        <v>45611</v>
      </c>
      <c r="F1381" s="92">
        <v>52500</v>
      </c>
      <c r="G1381" s="92">
        <v>52500</v>
      </c>
    </row>
    <row r="1382" spans="1:7">
      <c r="A1382" s="33" t="s">
        <v>810</v>
      </c>
      <c r="B1382" s="33" t="s">
        <v>77</v>
      </c>
      <c r="C1382" s="33" t="s">
        <v>210</v>
      </c>
      <c r="D1382" s="36" t="s">
        <v>61</v>
      </c>
      <c r="E1382" s="91">
        <v>45792</v>
      </c>
      <c r="F1382" s="92">
        <v>52500</v>
      </c>
      <c r="G1382" s="92">
        <v>52500</v>
      </c>
    </row>
    <row r="1383" spans="1:7">
      <c r="A1383" s="33" t="s">
        <v>810</v>
      </c>
      <c r="B1383" s="33" t="s">
        <v>77</v>
      </c>
      <c r="C1383" s="33" t="s">
        <v>210</v>
      </c>
      <c r="D1383" s="36" t="s">
        <v>61</v>
      </c>
      <c r="E1383" s="91">
        <v>45976</v>
      </c>
      <c r="F1383" s="92">
        <v>52500</v>
      </c>
      <c r="G1383" s="92">
        <v>52500</v>
      </c>
    </row>
    <row r="1384" spans="1:7">
      <c r="A1384" s="33" t="s">
        <v>810</v>
      </c>
      <c r="B1384" s="33" t="s">
        <v>77</v>
      </c>
      <c r="C1384" s="33" t="s">
        <v>210</v>
      </c>
      <c r="D1384" s="36" t="s">
        <v>61</v>
      </c>
      <c r="E1384" s="91">
        <v>46157</v>
      </c>
      <c r="F1384" s="92">
        <v>52500</v>
      </c>
      <c r="G1384" s="92">
        <v>52500</v>
      </c>
    </row>
    <row r="1385" spans="1:7">
      <c r="A1385" s="33" t="s">
        <v>810</v>
      </c>
      <c r="B1385" s="33" t="s">
        <v>77</v>
      </c>
      <c r="C1385" s="33" t="s">
        <v>210</v>
      </c>
      <c r="D1385" s="36" t="s">
        <v>61</v>
      </c>
      <c r="E1385" s="91">
        <v>46341</v>
      </c>
      <c r="F1385" s="92">
        <v>52500</v>
      </c>
      <c r="G1385" s="92">
        <v>52500</v>
      </c>
    </row>
    <row r="1386" spans="1:7">
      <c r="A1386" s="33" t="s">
        <v>810</v>
      </c>
      <c r="B1386" s="33" t="s">
        <v>77</v>
      </c>
      <c r="C1386" s="33" t="s">
        <v>210</v>
      </c>
      <c r="D1386" s="36" t="s">
        <v>61</v>
      </c>
      <c r="E1386" s="91">
        <v>46522</v>
      </c>
      <c r="F1386" s="92">
        <v>52500</v>
      </c>
      <c r="G1386" s="92">
        <v>52500</v>
      </c>
    </row>
    <row r="1387" spans="1:7">
      <c r="A1387" s="33" t="s">
        <v>810</v>
      </c>
      <c r="B1387" s="33" t="s">
        <v>77</v>
      </c>
      <c r="C1387" s="33" t="s">
        <v>210</v>
      </c>
      <c r="D1387" s="36" t="s">
        <v>61</v>
      </c>
      <c r="E1387" s="91">
        <v>46706</v>
      </c>
      <c r="F1387" s="92">
        <v>52500</v>
      </c>
      <c r="G1387" s="92">
        <v>52500</v>
      </c>
    </row>
    <row r="1388" spans="1:7">
      <c r="A1388" s="33" t="s">
        <v>810</v>
      </c>
      <c r="B1388" s="33" t="s">
        <v>77</v>
      </c>
      <c r="C1388" s="33" t="s">
        <v>210</v>
      </c>
      <c r="D1388" s="36" t="s">
        <v>61</v>
      </c>
      <c r="E1388" s="91">
        <v>46888</v>
      </c>
      <c r="F1388" s="92">
        <v>52500</v>
      </c>
      <c r="G1388" s="92">
        <v>52500</v>
      </c>
    </row>
    <row r="1389" spans="1:7">
      <c r="A1389" s="33" t="s">
        <v>810</v>
      </c>
      <c r="B1389" s="33" t="s">
        <v>77</v>
      </c>
      <c r="C1389" s="33" t="s">
        <v>210</v>
      </c>
      <c r="D1389" s="36" t="s">
        <v>61</v>
      </c>
      <c r="E1389" s="91">
        <v>47072</v>
      </c>
      <c r="F1389" s="92">
        <v>52500</v>
      </c>
      <c r="G1389" s="92">
        <v>2052500</v>
      </c>
    </row>
    <row r="1390" spans="1:7">
      <c r="A1390" s="87" t="s">
        <v>71</v>
      </c>
      <c r="B1390" s="87" t="s">
        <v>54</v>
      </c>
      <c r="C1390" s="88" t="s">
        <v>72</v>
      </c>
      <c r="D1390" s="87" t="s">
        <v>61</v>
      </c>
      <c r="E1390" s="89">
        <v>45061</v>
      </c>
      <c r="F1390" s="90">
        <v>50000</v>
      </c>
      <c r="G1390" s="90">
        <v>50000</v>
      </c>
    </row>
    <row r="1391" spans="1:7">
      <c r="A1391" s="33" t="s">
        <v>71</v>
      </c>
      <c r="B1391" s="33" t="s">
        <v>54</v>
      </c>
      <c r="C1391" s="48" t="s">
        <v>72</v>
      </c>
      <c r="D1391" s="33" t="s">
        <v>61</v>
      </c>
      <c r="E1391" s="91">
        <v>45245</v>
      </c>
      <c r="F1391" s="92">
        <v>50000</v>
      </c>
      <c r="G1391" s="92">
        <v>50000</v>
      </c>
    </row>
    <row r="1392" spans="1:7">
      <c r="A1392" s="33" t="s">
        <v>71</v>
      </c>
      <c r="B1392" s="33" t="s">
        <v>54</v>
      </c>
      <c r="C1392" s="48" t="s">
        <v>72</v>
      </c>
      <c r="D1392" s="33" t="s">
        <v>61</v>
      </c>
      <c r="E1392" s="91">
        <v>45427</v>
      </c>
      <c r="F1392" s="92">
        <v>50000</v>
      </c>
      <c r="G1392" s="92">
        <v>50000</v>
      </c>
    </row>
    <row r="1393" spans="1:7">
      <c r="A1393" s="33" t="s">
        <v>71</v>
      </c>
      <c r="B1393" s="33" t="s">
        <v>54</v>
      </c>
      <c r="C1393" s="48" t="s">
        <v>72</v>
      </c>
      <c r="D1393" s="33" t="s">
        <v>61</v>
      </c>
      <c r="E1393" s="91">
        <v>45611</v>
      </c>
      <c r="F1393" s="92">
        <v>50000</v>
      </c>
      <c r="G1393" s="92">
        <v>50000</v>
      </c>
    </row>
    <row r="1394" spans="1:7">
      <c r="A1394" s="33" t="s">
        <v>71</v>
      </c>
      <c r="B1394" s="33" t="s">
        <v>54</v>
      </c>
      <c r="C1394" s="48" t="s">
        <v>72</v>
      </c>
      <c r="D1394" s="33" t="s">
        <v>61</v>
      </c>
      <c r="E1394" s="91">
        <v>45792</v>
      </c>
      <c r="F1394" s="92">
        <v>50000</v>
      </c>
      <c r="G1394" s="92">
        <v>50000</v>
      </c>
    </row>
    <row r="1395" spans="1:7">
      <c r="A1395" s="33" t="s">
        <v>71</v>
      </c>
      <c r="B1395" s="33" t="s">
        <v>54</v>
      </c>
      <c r="C1395" s="48" t="s">
        <v>72</v>
      </c>
      <c r="D1395" s="33" t="s">
        <v>61</v>
      </c>
      <c r="E1395" s="91">
        <v>45976</v>
      </c>
      <c r="F1395" s="92">
        <v>50000</v>
      </c>
      <c r="G1395" s="92">
        <v>50000</v>
      </c>
    </row>
    <row r="1396" spans="1:7">
      <c r="A1396" s="33" t="s">
        <v>71</v>
      </c>
      <c r="B1396" s="33" t="s">
        <v>54</v>
      </c>
      <c r="C1396" s="48" t="s">
        <v>72</v>
      </c>
      <c r="D1396" s="33" t="s">
        <v>61</v>
      </c>
      <c r="E1396" s="91">
        <v>46157</v>
      </c>
      <c r="F1396" s="92">
        <v>50000</v>
      </c>
      <c r="G1396" s="92">
        <v>50000</v>
      </c>
    </row>
    <row r="1397" spans="1:7">
      <c r="A1397" s="33" t="s">
        <v>71</v>
      </c>
      <c r="B1397" s="33" t="s">
        <v>54</v>
      </c>
      <c r="C1397" s="48" t="s">
        <v>72</v>
      </c>
      <c r="D1397" s="33" t="s">
        <v>61</v>
      </c>
      <c r="E1397" s="91">
        <v>46341</v>
      </c>
      <c r="F1397" s="92">
        <v>50000</v>
      </c>
      <c r="G1397" s="92">
        <v>5050000</v>
      </c>
    </row>
    <row r="1398" spans="1:7">
      <c r="A1398" s="87" t="s">
        <v>71</v>
      </c>
      <c r="B1398" s="87" t="s">
        <v>77</v>
      </c>
      <c r="C1398" s="88" t="s">
        <v>72</v>
      </c>
      <c r="D1398" s="87" t="s">
        <v>61</v>
      </c>
      <c r="E1398" s="89">
        <v>45061</v>
      </c>
      <c r="F1398" s="90">
        <v>30000</v>
      </c>
      <c r="G1398" s="90">
        <v>30000</v>
      </c>
    </row>
    <row r="1399" spans="1:7">
      <c r="A1399" s="33" t="s">
        <v>71</v>
      </c>
      <c r="B1399" s="33" t="s">
        <v>77</v>
      </c>
      <c r="C1399" s="48" t="s">
        <v>72</v>
      </c>
      <c r="D1399" s="33" t="s">
        <v>61</v>
      </c>
      <c r="E1399" s="91">
        <v>45245</v>
      </c>
      <c r="F1399" s="92">
        <v>30000</v>
      </c>
      <c r="G1399" s="92">
        <v>30000</v>
      </c>
    </row>
    <row r="1400" spans="1:7">
      <c r="A1400" s="33" t="s">
        <v>71</v>
      </c>
      <c r="B1400" s="33" t="s">
        <v>77</v>
      </c>
      <c r="C1400" s="48" t="s">
        <v>72</v>
      </c>
      <c r="D1400" s="33" t="s">
        <v>61</v>
      </c>
      <c r="E1400" s="91">
        <v>45427</v>
      </c>
      <c r="F1400" s="92">
        <v>30000</v>
      </c>
      <c r="G1400" s="92">
        <v>30000</v>
      </c>
    </row>
    <row r="1401" spans="1:7">
      <c r="A1401" s="33" t="s">
        <v>71</v>
      </c>
      <c r="B1401" s="33" t="s">
        <v>77</v>
      </c>
      <c r="C1401" s="48" t="s">
        <v>72</v>
      </c>
      <c r="D1401" s="33" t="s">
        <v>61</v>
      </c>
      <c r="E1401" s="91">
        <v>45611</v>
      </c>
      <c r="F1401" s="92">
        <v>30000</v>
      </c>
      <c r="G1401" s="92">
        <v>30000</v>
      </c>
    </row>
    <row r="1402" spans="1:7">
      <c r="A1402" s="33" t="s">
        <v>71</v>
      </c>
      <c r="B1402" s="33" t="s">
        <v>77</v>
      </c>
      <c r="C1402" s="48" t="s">
        <v>72</v>
      </c>
      <c r="D1402" s="33" t="s">
        <v>61</v>
      </c>
      <c r="E1402" s="91">
        <v>45792</v>
      </c>
      <c r="F1402" s="92">
        <v>30000</v>
      </c>
      <c r="G1402" s="92">
        <v>30000</v>
      </c>
    </row>
    <row r="1403" spans="1:7">
      <c r="A1403" s="33" t="s">
        <v>71</v>
      </c>
      <c r="B1403" s="33" t="s">
        <v>77</v>
      </c>
      <c r="C1403" s="48" t="s">
        <v>72</v>
      </c>
      <c r="D1403" s="33" t="s">
        <v>61</v>
      </c>
      <c r="E1403" s="91">
        <v>45976</v>
      </c>
      <c r="F1403" s="92">
        <v>30000</v>
      </c>
      <c r="G1403" s="92">
        <v>30000</v>
      </c>
    </row>
    <row r="1404" spans="1:7">
      <c r="A1404" s="33" t="s">
        <v>71</v>
      </c>
      <c r="B1404" s="33" t="s">
        <v>77</v>
      </c>
      <c r="C1404" s="48" t="s">
        <v>72</v>
      </c>
      <c r="D1404" s="33" t="s">
        <v>61</v>
      </c>
      <c r="E1404" s="91">
        <v>46157</v>
      </c>
      <c r="F1404" s="92">
        <v>30000</v>
      </c>
      <c r="G1404" s="92">
        <v>30000</v>
      </c>
    </row>
    <row r="1405" spans="1:7">
      <c r="A1405" s="33" t="s">
        <v>71</v>
      </c>
      <c r="B1405" s="33" t="s">
        <v>77</v>
      </c>
      <c r="C1405" s="48" t="s">
        <v>72</v>
      </c>
      <c r="D1405" s="33" t="s">
        <v>61</v>
      </c>
      <c r="E1405" s="91">
        <v>46341</v>
      </c>
      <c r="F1405" s="92">
        <v>30000</v>
      </c>
      <c r="G1405" s="92">
        <v>3030000</v>
      </c>
    </row>
    <row r="1406" spans="1:7">
      <c r="A1406" s="87" t="s">
        <v>483</v>
      </c>
      <c r="B1406" s="87" t="s">
        <v>54</v>
      </c>
      <c r="C1406" s="88" t="s">
        <v>72</v>
      </c>
      <c r="D1406" s="87" t="s">
        <v>61</v>
      </c>
      <c r="E1406" s="89">
        <v>45061</v>
      </c>
      <c r="F1406" s="90">
        <v>17500</v>
      </c>
      <c r="G1406" s="90">
        <v>17500</v>
      </c>
    </row>
    <row r="1407" spans="1:7">
      <c r="A1407" s="33" t="s">
        <v>483</v>
      </c>
      <c r="B1407" s="33" t="s">
        <v>54</v>
      </c>
      <c r="C1407" s="33" t="s">
        <v>210</v>
      </c>
      <c r="D1407" s="36" t="s">
        <v>61</v>
      </c>
      <c r="E1407" s="91">
        <v>45245</v>
      </c>
      <c r="F1407" s="92">
        <v>17500</v>
      </c>
      <c r="G1407" s="92">
        <v>17500</v>
      </c>
    </row>
    <row r="1408" spans="1:7">
      <c r="A1408" s="33" t="s">
        <v>483</v>
      </c>
      <c r="B1408" s="33" t="s">
        <v>54</v>
      </c>
      <c r="C1408" s="33" t="s">
        <v>210</v>
      </c>
      <c r="D1408" s="36" t="s">
        <v>61</v>
      </c>
      <c r="E1408" s="91">
        <v>45427</v>
      </c>
      <c r="F1408" s="92">
        <v>17500</v>
      </c>
      <c r="G1408" s="92">
        <v>17500</v>
      </c>
    </row>
    <row r="1409" spans="1:7">
      <c r="A1409" s="33" t="s">
        <v>483</v>
      </c>
      <c r="B1409" s="33" t="s">
        <v>54</v>
      </c>
      <c r="C1409" s="33" t="s">
        <v>210</v>
      </c>
      <c r="D1409" s="36" t="s">
        <v>61</v>
      </c>
      <c r="E1409" s="91">
        <v>45611</v>
      </c>
      <c r="F1409" s="92">
        <v>17500</v>
      </c>
      <c r="G1409" s="92">
        <v>17500</v>
      </c>
    </row>
    <row r="1410" spans="1:7">
      <c r="A1410" s="33" t="s">
        <v>483</v>
      </c>
      <c r="B1410" s="33" t="s">
        <v>54</v>
      </c>
      <c r="C1410" s="33" t="s">
        <v>210</v>
      </c>
      <c r="D1410" s="36" t="s">
        <v>61</v>
      </c>
      <c r="E1410" s="91">
        <v>45792</v>
      </c>
      <c r="F1410" s="92">
        <v>17500</v>
      </c>
      <c r="G1410" s="92">
        <v>17500</v>
      </c>
    </row>
    <row r="1411" spans="1:7">
      <c r="A1411" s="33" t="s">
        <v>483</v>
      </c>
      <c r="B1411" s="33" t="s">
        <v>54</v>
      </c>
      <c r="C1411" s="33" t="s">
        <v>210</v>
      </c>
      <c r="D1411" s="36" t="s">
        <v>61</v>
      </c>
      <c r="E1411" s="91">
        <v>45976</v>
      </c>
      <c r="F1411" s="92">
        <v>17500</v>
      </c>
      <c r="G1411" s="92">
        <v>17500</v>
      </c>
    </row>
    <row r="1412" spans="1:7">
      <c r="A1412" s="33" t="s">
        <v>483</v>
      </c>
      <c r="B1412" s="33" t="s">
        <v>54</v>
      </c>
      <c r="C1412" s="33" t="s">
        <v>210</v>
      </c>
      <c r="D1412" s="36" t="s">
        <v>61</v>
      </c>
      <c r="E1412" s="91">
        <v>46157</v>
      </c>
      <c r="F1412" s="92">
        <v>17500</v>
      </c>
      <c r="G1412" s="92">
        <v>17500</v>
      </c>
    </row>
    <row r="1413" spans="1:7">
      <c r="A1413" s="33" t="s">
        <v>483</v>
      </c>
      <c r="B1413" s="33" t="s">
        <v>54</v>
      </c>
      <c r="C1413" s="33" t="s">
        <v>210</v>
      </c>
      <c r="D1413" s="36" t="s">
        <v>61</v>
      </c>
      <c r="E1413" s="91">
        <v>46341</v>
      </c>
      <c r="F1413" s="92">
        <v>17500</v>
      </c>
      <c r="G1413" s="92">
        <v>17500</v>
      </c>
    </row>
    <row r="1414" spans="1:7">
      <c r="A1414" s="33" t="s">
        <v>483</v>
      </c>
      <c r="B1414" s="33" t="s">
        <v>54</v>
      </c>
      <c r="C1414" s="33" t="s">
        <v>210</v>
      </c>
      <c r="D1414" s="36" t="s">
        <v>61</v>
      </c>
      <c r="E1414" s="91">
        <v>46522</v>
      </c>
      <c r="F1414" s="92">
        <v>17500</v>
      </c>
      <c r="G1414" s="92">
        <v>17500</v>
      </c>
    </row>
    <row r="1415" spans="1:7">
      <c r="A1415" s="33" t="s">
        <v>483</v>
      </c>
      <c r="B1415" s="33" t="s">
        <v>54</v>
      </c>
      <c r="C1415" s="33" t="s">
        <v>210</v>
      </c>
      <c r="D1415" s="36" t="s">
        <v>61</v>
      </c>
      <c r="E1415" s="91">
        <v>46706</v>
      </c>
      <c r="F1415" s="92">
        <v>17500</v>
      </c>
      <c r="G1415" s="92">
        <v>17500</v>
      </c>
    </row>
    <row r="1416" spans="1:7">
      <c r="A1416" s="33" t="s">
        <v>483</v>
      </c>
      <c r="B1416" s="33" t="s">
        <v>54</v>
      </c>
      <c r="C1416" s="33" t="s">
        <v>210</v>
      </c>
      <c r="D1416" s="36" t="s">
        <v>61</v>
      </c>
      <c r="E1416" s="91">
        <v>46888</v>
      </c>
      <c r="F1416" s="92">
        <v>17500</v>
      </c>
      <c r="G1416" s="92">
        <v>17500</v>
      </c>
    </row>
    <row r="1417" spans="1:7">
      <c r="A1417" s="33" t="s">
        <v>483</v>
      </c>
      <c r="B1417" s="33" t="s">
        <v>54</v>
      </c>
      <c r="C1417" s="33" t="s">
        <v>210</v>
      </c>
      <c r="D1417" s="36" t="s">
        <v>61</v>
      </c>
      <c r="E1417" s="91">
        <v>47072</v>
      </c>
      <c r="F1417" s="92">
        <v>17500</v>
      </c>
      <c r="G1417" s="92">
        <v>17500</v>
      </c>
    </row>
    <row r="1418" spans="1:7">
      <c r="A1418" s="33" t="s">
        <v>483</v>
      </c>
      <c r="B1418" s="33" t="s">
        <v>54</v>
      </c>
      <c r="C1418" s="33" t="s">
        <v>210</v>
      </c>
      <c r="D1418" s="36" t="s">
        <v>61</v>
      </c>
      <c r="E1418" s="91">
        <v>47253</v>
      </c>
      <c r="F1418" s="92">
        <v>17500</v>
      </c>
      <c r="G1418" s="92">
        <v>17500</v>
      </c>
    </row>
    <row r="1419" spans="1:7">
      <c r="A1419" s="33" t="s">
        <v>483</v>
      </c>
      <c r="B1419" s="33" t="s">
        <v>54</v>
      </c>
      <c r="C1419" s="33" t="s">
        <v>210</v>
      </c>
      <c r="D1419" s="36" t="s">
        <v>61</v>
      </c>
      <c r="E1419" s="91">
        <v>47437</v>
      </c>
      <c r="F1419" s="92">
        <v>17500</v>
      </c>
      <c r="G1419" s="92">
        <v>17500</v>
      </c>
    </row>
    <row r="1420" spans="1:7">
      <c r="A1420" s="33" t="s">
        <v>483</v>
      </c>
      <c r="B1420" s="33" t="s">
        <v>54</v>
      </c>
      <c r="C1420" s="33" t="s">
        <v>210</v>
      </c>
      <c r="D1420" s="36" t="s">
        <v>61</v>
      </c>
      <c r="E1420" s="91">
        <v>47618</v>
      </c>
      <c r="F1420" s="92">
        <v>17500</v>
      </c>
      <c r="G1420" s="92">
        <v>17500</v>
      </c>
    </row>
    <row r="1421" spans="1:7">
      <c r="A1421" s="33" t="s">
        <v>483</v>
      </c>
      <c r="B1421" s="33" t="s">
        <v>54</v>
      </c>
      <c r="C1421" s="33" t="s">
        <v>210</v>
      </c>
      <c r="D1421" s="36" t="s">
        <v>61</v>
      </c>
      <c r="E1421" s="91">
        <v>47802</v>
      </c>
      <c r="F1421" s="92">
        <v>17500</v>
      </c>
      <c r="G1421" s="92">
        <v>4017500</v>
      </c>
    </row>
    <row r="1422" spans="1:7">
      <c r="A1422" s="87" t="s">
        <v>117</v>
      </c>
      <c r="B1422" s="87" t="s">
        <v>77</v>
      </c>
      <c r="C1422" s="88" t="s">
        <v>72</v>
      </c>
      <c r="D1422" s="87" t="s">
        <v>61</v>
      </c>
      <c r="E1422" s="89">
        <v>45107</v>
      </c>
      <c r="F1422" s="90">
        <v>155000</v>
      </c>
      <c r="G1422" s="90">
        <v>155000</v>
      </c>
    </row>
    <row r="1423" spans="1:7">
      <c r="A1423" s="33" t="s">
        <v>811</v>
      </c>
      <c r="B1423" s="33" t="s">
        <v>77</v>
      </c>
      <c r="C1423" s="48" t="s">
        <v>72</v>
      </c>
      <c r="D1423" s="33" t="s">
        <v>61</v>
      </c>
      <c r="E1423" s="93">
        <v>45291</v>
      </c>
      <c r="F1423" s="94">
        <v>155000</v>
      </c>
      <c r="G1423" s="94">
        <v>155000</v>
      </c>
    </row>
    <row r="1424" spans="1:7">
      <c r="A1424" s="33" t="s">
        <v>811</v>
      </c>
      <c r="B1424" s="33" t="s">
        <v>77</v>
      </c>
      <c r="C1424" s="48" t="s">
        <v>72</v>
      </c>
      <c r="D1424" s="33" t="s">
        <v>61</v>
      </c>
      <c r="E1424" s="91">
        <v>45473</v>
      </c>
      <c r="F1424" s="94">
        <v>155000</v>
      </c>
      <c r="G1424" s="94">
        <v>155000</v>
      </c>
    </row>
    <row r="1425" spans="1:7">
      <c r="A1425" s="33" t="s">
        <v>811</v>
      </c>
      <c r="B1425" s="33" t="s">
        <v>77</v>
      </c>
      <c r="C1425" s="48" t="s">
        <v>72</v>
      </c>
      <c r="D1425" s="33" t="s">
        <v>61</v>
      </c>
      <c r="E1425" s="93">
        <v>45657</v>
      </c>
      <c r="F1425" s="94">
        <v>155000</v>
      </c>
      <c r="G1425" s="94">
        <v>155000</v>
      </c>
    </row>
    <row r="1426" spans="1:7">
      <c r="A1426" s="33" t="s">
        <v>811</v>
      </c>
      <c r="B1426" s="33" t="s">
        <v>77</v>
      </c>
      <c r="C1426" s="48" t="s">
        <v>72</v>
      </c>
      <c r="D1426" s="33" t="s">
        <v>61</v>
      </c>
      <c r="E1426" s="91">
        <v>45838</v>
      </c>
      <c r="F1426" s="94">
        <v>155000</v>
      </c>
      <c r="G1426" s="94">
        <v>155000</v>
      </c>
    </row>
    <row r="1427" spans="1:7">
      <c r="A1427" s="33" t="s">
        <v>811</v>
      </c>
      <c r="B1427" s="33" t="s">
        <v>77</v>
      </c>
      <c r="C1427" s="48" t="s">
        <v>72</v>
      </c>
      <c r="D1427" s="33" t="s">
        <v>61</v>
      </c>
      <c r="E1427" s="93">
        <v>46022</v>
      </c>
      <c r="F1427" s="94">
        <v>155000</v>
      </c>
      <c r="G1427" s="94">
        <v>155000</v>
      </c>
    </row>
    <row r="1428" spans="1:7">
      <c r="A1428" s="33" t="s">
        <v>811</v>
      </c>
      <c r="B1428" s="33" t="s">
        <v>77</v>
      </c>
      <c r="C1428" s="48" t="s">
        <v>72</v>
      </c>
      <c r="D1428" s="33" t="s">
        <v>61</v>
      </c>
      <c r="E1428" s="91">
        <v>46203</v>
      </c>
      <c r="F1428" s="94">
        <v>155000</v>
      </c>
      <c r="G1428" s="94">
        <v>155000</v>
      </c>
    </row>
    <row r="1429" spans="1:7">
      <c r="A1429" s="33" t="s">
        <v>811</v>
      </c>
      <c r="B1429" s="33" t="s">
        <v>77</v>
      </c>
      <c r="C1429" s="48" t="s">
        <v>72</v>
      </c>
      <c r="D1429" s="33" t="s">
        <v>61</v>
      </c>
      <c r="E1429" s="93">
        <v>46387</v>
      </c>
      <c r="F1429" s="94">
        <v>155000</v>
      </c>
      <c r="G1429" s="94">
        <v>155000</v>
      </c>
    </row>
    <row r="1430" spans="1:7">
      <c r="A1430" s="33" t="s">
        <v>811</v>
      </c>
      <c r="B1430" s="33" t="s">
        <v>77</v>
      </c>
      <c r="C1430" s="48" t="s">
        <v>72</v>
      </c>
      <c r="D1430" s="33" t="s">
        <v>61</v>
      </c>
      <c r="E1430" s="91">
        <v>46568</v>
      </c>
      <c r="F1430" s="94">
        <v>155000</v>
      </c>
      <c r="G1430" s="94">
        <v>155000</v>
      </c>
    </row>
    <row r="1431" spans="1:7">
      <c r="A1431" s="33" t="s">
        <v>811</v>
      </c>
      <c r="B1431" s="33" t="s">
        <v>77</v>
      </c>
      <c r="C1431" s="48" t="s">
        <v>72</v>
      </c>
      <c r="D1431" s="33" t="s">
        <v>61</v>
      </c>
      <c r="E1431" s="93">
        <v>46752</v>
      </c>
      <c r="F1431" s="94">
        <v>155000</v>
      </c>
      <c r="G1431" s="94">
        <v>8155000</v>
      </c>
    </row>
    <row r="1432" spans="1:7">
      <c r="A1432" s="87" t="s">
        <v>349</v>
      </c>
      <c r="B1432" s="87" t="s">
        <v>77</v>
      </c>
      <c r="C1432" s="88" t="s">
        <v>43</v>
      </c>
      <c r="D1432" s="87" t="s">
        <v>61</v>
      </c>
      <c r="E1432" s="89">
        <v>45153</v>
      </c>
      <c r="F1432" s="90">
        <v>53000</v>
      </c>
      <c r="G1432" s="90">
        <v>53000</v>
      </c>
    </row>
    <row r="1433" spans="1:7">
      <c r="A1433" s="33" t="s">
        <v>349</v>
      </c>
      <c r="B1433" s="33" t="s">
        <v>77</v>
      </c>
      <c r="C1433" s="48" t="s">
        <v>43</v>
      </c>
      <c r="D1433" s="33" t="s">
        <v>61</v>
      </c>
      <c r="E1433" s="91">
        <v>45337</v>
      </c>
      <c r="F1433" s="92">
        <v>53000</v>
      </c>
      <c r="G1433" s="92">
        <v>53000</v>
      </c>
    </row>
    <row r="1434" spans="1:7">
      <c r="A1434" s="33" t="s">
        <v>349</v>
      </c>
      <c r="B1434" s="33" t="s">
        <v>77</v>
      </c>
      <c r="C1434" s="48" t="s">
        <v>43</v>
      </c>
      <c r="D1434" s="33" t="s">
        <v>61</v>
      </c>
      <c r="E1434" s="93">
        <v>45519</v>
      </c>
      <c r="F1434" s="92">
        <v>53000</v>
      </c>
      <c r="G1434" s="92">
        <v>53000</v>
      </c>
    </row>
    <row r="1435" spans="1:7">
      <c r="A1435" s="33" t="s">
        <v>812</v>
      </c>
      <c r="B1435" s="33" t="s">
        <v>77</v>
      </c>
      <c r="C1435" s="48" t="s">
        <v>43</v>
      </c>
      <c r="D1435" s="33" t="s">
        <v>61</v>
      </c>
      <c r="E1435" s="91">
        <v>45703</v>
      </c>
      <c r="F1435" s="94">
        <v>53000</v>
      </c>
      <c r="G1435" s="94">
        <v>53000</v>
      </c>
    </row>
    <row r="1436" spans="1:7">
      <c r="A1436" s="33" t="s">
        <v>812</v>
      </c>
      <c r="B1436" s="33" t="s">
        <v>77</v>
      </c>
      <c r="C1436" s="48" t="s">
        <v>43</v>
      </c>
      <c r="D1436" s="33" t="s">
        <v>61</v>
      </c>
      <c r="E1436" s="93">
        <v>45884</v>
      </c>
      <c r="F1436" s="94">
        <v>53000</v>
      </c>
      <c r="G1436" s="94">
        <v>53000</v>
      </c>
    </row>
    <row r="1437" spans="1:7">
      <c r="A1437" s="33" t="s">
        <v>812</v>
      </c>
      <c r="B1437" s="33" t="s">
        <v>77</v>
      </c>
      <c r="C1437" s="48" t="s">
        <v>43</v>
      </c>
      <c r="D1437" s="33" t="s">
        <v>61</v>
      </c>
      <c r="E1437" s="91">
        <v>46068</v>
      </c>
      <c r="F1437" s="94">
        <v>53000</v>
      </c>
      <c r="G1437" s="94">
        <v>53000</v>
      </c>
    </row>
    <row r="1438" spans="1:7">
      <c r="A1438" s="33" t="s">
        <v>812</v>
      </c>
      <c r="B1438" s="33" t="s">
        <v>77</v>
      </c>
      <c r="C1438" s="48" t="s">
        <v>43</v>
      </c>
      <c r="D1438" s="33" t="s">
        <v>61</v>
      </c>
      <c r="E1438" s="93">
        <v>46249</v>
      </c>
      <c r="F1438" s="94">
        <v>53000</v>
      </c>
      <c r="G1438" s="94">
        <v>53000</v>
      </c>
    </row>
    <row r="1439" spans="1:7">
      <c r="A1439" s="33" t="s">
        <v>812</v>
      </c>
      <c r="B1439" s="33" t="s">
        <v>77</v>
      </c>
      <c r="C1439" s="48" t="s">
        <v>43</v>
      </c>
      <c r="D1439" s="33" t="s">
        <v>61</v>
      </c>
      <c r="E1439" s="91">
        <v>46433</v>
      </c>
      <c r="F1439" s="94">
        <v>53000</v>
      </c>
      <c r="G1439" s="94">
        <v>53000</v>
      </c>
    </row>
    <row r="1440" spans="1:7">
      <c r="A1440" s="33" t="s">
        <v>812</v>
      </c>
      <c r="B1440" s="33" t="s">
        <v>77</v>
      </c>
      <c r="C1440" s="48" t="s">
        <v>43</v>
      </c>
      <c r="D1440" s="33" t="s">
        <v>61</v>
      </c>
      <c r="E1440" s="93">
        <v>46614</v>
      </c>
      <c r="F1440" s="94">
        <v>53000</v>
      </c>
      <c r="G1440" s="94">
        <v>53000</v>
      </c>
    </row>
    <row r="1441" spans="1:7">
      <c r="A1441" s="33" t="s">
        <v>812</v>
      </c>
      <c r="B1441" s="33" t="s">
        <v>77</v>
      </c>
      <c r="C1441" s="48" t="s">
        <v>43</v>
      </c>
      <c r="D1441" s="33" t="s">
        <v>61</v>
      </c>
      <c r="E1441" s="91">
        <v>46798</v>
      </c>
      <c r="F1441" s="94">
        <v>53000</v>
      </c>
      <c r="G1441" s="94">
        <v>53000</v>
      </c>
    </row>
    <row r="1442" spans="1:7">
      <c r="A1442" s="33" t="s">
        <v>812</v>
      </c>
      <c r="B1442" s="33" t="s">
        <v>77</v>
      </c>
      <c r="C1442" s="48" t="s">
        <v>43</v>
      </c>
      <c r="D1442" s="33" t="s">
        <v>61</v>
      </c>
      <c r="E1442" s="93">
        <v>46980</v>
      </c>
      <c r="F1442" s="94">
        <v>53000</v>
      </c>
      <c r="G1442" s="94">
        <v>53000</v>
      </c>
    </row>
    <row r="1443" spans="1:7">
      <c r="A1443" s="33" t="s">
        <v>812</v>
      </c>
      <c r="B1443" s="33" t="s">
        <v>77</v>
      </c>
      <c r="C1443" s="48" t="s">
        <v>43</v>
      </c>
      <c r="D1443" s="33" t="s">
        <v>61</v>
      </c>
      <c r="E1443" s="91">
        <v>47164</v>
      </c>
      <c r="F1443" s="94">
        <v>53000</v>
      </c>
      <c r="G1443" s="94">
        <v>53000</v>
      </c>
    </row>
    <row r="1444" spans="1:7">
      <c r="A1444" s="33" t="s">
        <v>812</v>
      </c>
      <c r="B1444" s="33" t="s">
        <v>77</v>
      </c>
      <c r="C1444" s="48" t="s">
        <v>43</v>
      </c>
      <c r="D1444" s="33" t="s">
        <v>61</v>
      </c>
      <c r="E1444" s="93">
        <v>47345</v>
      </c>
      <c r="F1444" s="94">
        <v>53000</v>
      </c>
      <c r="G1444" s="94">
        <v>53000</v>
      </c>
    </row>
    <row r="1445" spans="1:7">
      <c r="A1445" s="33" t="s">
        <v>812</v>
      </c>
      <c r="B1445" s="33" t="s">
        <v>77</v>
      </c>
      <c r="C1445" s="48" t="s">
        <v>43</v>
      </c>
      <c r="D1445" s="33" t="s">
        <v>61</v>
      </c>
      <c r="E1445" s="91">
        <v>47529</v>
      </c>
      <c r="F1445" s="94">
        <v>53000</v>
      </c>
      <c r="G1445" s="94">
        <v>2053000</v>
      </c>
    </row>
    <row r="1446" spans="1:7">
      <c r="A1446" s="87" t="s">
        <v>349</v>
      </c>
      <c r="B1446" s="87" t="s">
        <v>77</v>
      </c>
      <c r="C1446" s="88" t="s">
        <v>43</v>
      </c>
      <c r="D1446" s="87" t="s">
        <v>61</v>
      </c>
      <c r="E1446" s="89">
        <v>45337</v>
      </c>
      <c r="F1446" s="90">
        <v>66250</v>
      </c>
      <c r="G1446" s="90">
        <v>66250</v>
      </c>
    </row>
    <row r="1447" spans="1:7">
      <c r="A1447" s="33" t="s">
        <v>349</v>
      </c>
      <c r="B1447" s="33" t="s">
        <v>77</v>
      </c>
      <c r="C1447" s="48" t="s">
        <v>43</v>
      </c>
      <c r="D1447" s="33" t="s">
        <v>61</v>
      </c>
      <c r="E1447" s="93">
        <v>45519</v>
      </c>
      <c r="F1447" s="92">
        <v>66250</v>
      </c>
      <c r="G1447" s="92">
        <v>66250</v>
      </c>
    </row>
    <row r="1448" spans="1:7">
      <c r="A1448" s="33" t="s">
        <v>812</v>
      </c>
      <c r="B1448" s="33" t="s">
        <v>77</v>
      </c>
      <c r="C1448" s="48" t="s">
        <v>43</v>
      </c>
      <c r="D1448" s="33" t="s">
        <v>61</v>
      </c>
      <c r="E1448" s="91">
        <v>45703</v>
      </c>
      <c r="F1448" s="92">
        <v>66250</v>
      </c>
      <c r="G1448" s="92">
        <v>66250</v>
      </c>
    </row>
    <row r="1449" spans="1:7">
      <c r="A1449" s="33" t="s">
        <v>812</v>
      </c>
      <c r="B1449" s="33" t="s">
        <v>77</v>
      </c>
      <c r="C1449" s="48" t="s">
        <v>43</v>
      </c>
      <c r="D1449" s="33" t="s">
        <v>61</v>
      </c>
      <c r="E1449" s="93">
        <v>45884</v>
      </c>
      <c r="F1449" s="92">
        <v>66250</v>
      </c>
      <c r="G1449" s="92">
        <v>66250</v>
      </c>
    </row>
    <row r="1450" spans="1:7">
      <c r="A1450" s="33" t="s">
        <v>812</v>
      </c>
      <c r="B1450" s="33" t="s">
        <v>77</v>
      </c>
      <c r="C1450" s="48" t="s">
        <v>43</v>
      </c>
      <c r="D1450" s="33" t="s">
        <v>61</v>
      </c>
      <c r="E1450" s="91">
        <v>46068</v>
      </c>
      <c r="F1450" s="92">
        <v>66250</v>
      </c>
      <c r="G1450" s="92">
        <v>66250</v>
      </c>
    </row>
    <row r="1451" spans="1:7">
      <c r="A1451" s="33" t="s">
        <v>812</v>
      </c>
      <c r="B1451" s="33" t="s">
        <v>77</v>
      </c>
      <c r="C1451" s="48" t="s">
        <v>43</v>
      </c>
      <c r="D1451" s="33" t="s">
        <v>61</v>
      </c>
      <c r="E1451" s="93">
        <v>46249</v>
      </c>
      <c r="F1451" s="92">
        <v>66250</v>
      </c>
      <c r="G1451" s="92">
        <v>66250</v>
      </c>
    </row>
    <row r="1452" spans="1:7">
      <c r="A1452" s="33" t="s">
        <v>812</v>
      </c>
      <c r="B1452" s="33" t="s">
        <v>77</v>
      </c>
      <c r="C1452" s="48" t="s">
        <v>43</v>
      </c>
      <c r="D1452" s="33" t="s">
        <v>61</v>
      </c>
      <c r="E1452" s="91">
        <v>46433</v>
      </c>
      <c r="F1452" s="92">
        <v>66250</v>
      </c>
      <c r="G1452" s="92">
        <v>66250</v>
      </c>
    </row>
    <row r="1453" spans="1:7">
      <c r="A1453" s="33" t="s">
        <v>812</v>
      </c>
      <c r="B1453" s="33" t="s">
        <v>77</v>
      </c>
      <c r="C1453" s="48" t="s">
        <v>43</v>
      </c>
      <c r="D1453" s="33" t="s">
        <v>61</v>
      </c>
      <c r="E1453" s="93">
        <v>46614</v>
      </c>
      <c r="F1453" s="92">
        <v>66250</v>
      </c>
      <c r="G1453" s="92">
        <v>66250</v>
      </c>
    </row>
    <row r="1454" spans="1:7">
      <c r="A1454" s="33" t="s">
        <v>812</v>
      </c>
      <c r="B1454" s="33" t="s">
        <v>77</v>
      </c>
      <c r="C1454" s="48" t="s">
        <v>43</v>
      </c>
      <c r="D1454" s="33" t="s">
        <v>61</v>
      </c>
      <c r="E1454" s="91">
        <v>46798</v>
      </c>
      <c r="F1454" s="92">
        <v>66250</v>
      </c>
      <c r="G1454" s="92">
        <v>66250</v>
      </c>
    </row>
    <row r="1455" spans="1:7">
      <c r="A1455" s="33" t="s">
        <v>812</v>
      </c>
      <c r="B1455" s="33" t="s">
        <v>77</v>
      </c>
      <c r="C1455" s="48" t="s">
        <v>43</v>
      </c>
      <c r="D1455" s="33" t="s">
        <v>61</v>
      </c>
      <c r="E1455" s="93">
        <v>46980</v>
      </c>
      <c r="F1455" s="92">
        <v>66250</v>
      </c>
      <c r="G1455" s="92">
        <v>66250</v>
      </c>
    </row>
    <row r="1456" spans="1:7">
      <c r="A1456" s="33" t="s">
        <v>812</v>
      </c>
      <c r="B1456" s="33" t="s">
        <v>77</v>
      </c>
      <c r="C1456" s="48" t="s">
        <v>43</v>
      </c>
      <c r="D1456" s="33" t="s">
        <v>61</v>
      </c>
      <c r="E1456" s="91">
        <v>47164</v>
      </c>
      <c r="F1456" s="92">
        <v>66250</v>
      </c>
      <c r="G1456" s="92">
        <v>66250</v>
      </c>
    </row>
    <row r="1457" spans="1:7">
      <c r="A1457" s="33" t="s">
        <v>812</v>
      </c>
      <c r="B1457" s="33" t="s">
        <v>77</v>
      </c>
      <c r="C1457" s="48" t="s">
        <v>43</v>
      </c>
      <c r="D1457" s="33" t="s">
        <v>61</v>
      </c>
      <c r="E1457" s="93">
        <v>47345</v>
      </c>
      <c r="F1457" s="92">
        <v>66250</v>
      </c>
      <c r="G1457" s="92">
        <v>66250</v>
      </c>
    </row>
    <row r="1458" spans="1:7">
      <c r="A1458" s="33" t="s">
        <v>812</v>
      </c>
      <c r="B1458" s="33" t="s">
        <v>77</v>
      </c>
      <c r="C1458" s="48" t="s">
        <v>43</v>
      </c>
      <c r="D1458" s="33" t="s">
        <v>61</v>
      </c>
      <c r="E1458" s="91">
        <v>47529</v>
      </c>
      <c r="F1458" s="92">
        <v>66250</v>
      </c>
      <c r="G1458" s="92">
        <v>2566250</v>
      </c>
    </row>
    <row r="1459" spans="1:7">
      <c r="A1459" s="87" t="s">
        <v>813</v>
      </c>
      <c r="B1459" s="87" t="s">
        <v>54</v>
      </c>
      <c r="C1459" s="88" t="s">
        <v>43</v>
      </c>
      <c r="D1459" s="87" t="s">
        <v>61</v>
      </c>
      <c r="E1459" s="89">
        <v>45672</v>
      </c>
      <c r="F1459" s="90">
        <v>123750</v>
      </c>
      <c r="G1459" s="90">
        <v>123750</v>
      </c>
    </row>
    <row r="1460" spans="1:7">
      <c r="A1460" s="56" t="s">
        <v>631</v>
      </c>
      <c r="B1460" s="56" t="s">
        <v>233</v>
      </c>
      <c r="C1460" s="57" t="s">
        <v>60</v>
      </c>
      <c r="D1460" s="36" t="s">
        <v>61</v>
      </c>
      <c r="E1460" s="93">
        <v>45853</v>
      </c>
      <c r="F1460" s="98">
        <v>123750</v>
      </c>
      <c r="G1460" s="99">
        <v>123750</v>
      </c>
    </row>
    <row r="1461" spans="1:7">
      <c r="A1461" s="56" t="s">
        <v>814</v>
      </c>
      <c r="B1461" s="56" t="s">
        <v>233</v>
      </c>
      <c r="C1461" s="57" t="s">
        <v>60</v>
      </c>
      <c r="D1461" s="36" t="s">
        <v>61</v>
      </c>
      <c r="E1461" s="93">
        <v>46037</v>
      </c>
      <c r="F1461" s="98">
        <v>123750</v>
      </c>
      <c r="G1461" s="99">
        <v>123750</v>
      </c>
    </row>
    <row r="1462" spans="1:7">
      <c r="A1462" s="56" t="s">
        <v>814</v>
      </c>
      <c r="B1462" s="56" t="s">
        <v>233</v>
      </c>
      <c r="C1462" s="57" t="s">
        <v>60</v>
      </c>
      <c r="D1462" s="36" t="s">
        <v>61</v>
      </c>
      <c r="E1462" s="93">
        <v>46218</v>
      </c>
      <c r="F1462" s="98">
        <v>123750</v>
      </c>
      <c r="G1462" s="99">
        <v>123750</v>
      </c>
    </row>
    <row r="1463" spans="1:7">
      <c r="A1463" s="56" t="s">
        <v>814</v>
      </c>
      <c r="B1463" s="56" t="s">
        <v>233</v>
      </c>
      <c r="C1463" s="57" t="s">
        <v>60</v>
      </c>
      <c r="D1463" s="36" t="s">
        <v>61</v>
      </c>
      <c r="E1463" s="93">
        <v>46402</v>
      </c>
      <c r="F1463" s="98">
        <v>123750</v>
      </c>
      <c r="G1463" s="99">
        <v>123750</v>
      </c>
    </row>
    <row r="1464" spans="1:7">
      <c r="A1464" s="56" t="s">
        <v>814</v>
      </c>
      <c r="B1464" s="56" t="s">
        <v>233</v>
      </c>
      <c r="C1464" s="57" t="s">
        <v>60</v>
      </c>
      <c r="D1464" s="36" t="s">
        <v>61</v>
      </c>
      <c r="E1464" s="93">
        <v>46583</v>
      </c>
      <c r="F1464" s="98">
        <v>123750</v>
      </c>
      <c r="G1464" s="99">
        <v>123750</v>
      </c>
    </row>
    <row r="1465" spans="1:7">
      <c r="A1465" s="56" t="s">
        <v>814</v>
      </c>
      <c r="B1465" s="56" t="s">
        <v>233</v>
      </c>
      <c r="C1465" s="57" t="s">
        <v>60</v>
      </c>
      <c r="D1465" s="36" t="s">
        <v>61</v>
      </c>
      <c r="E1465" s="93">
        <v>46767</v>
      </c>
      <c r="F1465" s="98">
        <v>123750</v>
      </c>
      <c r="G1465" s="99">
        <v>123750</v>
      </c>
    </row>
    <row r="1466" spans="1:7">
      <c r="A1466" s="56" t="s">
        <v>814</v>
      </c>
      <c r="B1466" s="56" t="s">
        <v>233</v>
      </c>
      <c r="C1466" s="57" t="s">
        <v>60</v>
      </c>
      <c r="D1466" s="36" t="s">
        <v>61</v>
      </c>
      <c r="E1466" s="93">
        <v>46949</v>
      </c>
      <c r="F1466" s="98">
        <v>123750</v>
      </c>
      <c r="G1466" s="99">
        <v>123750</v>
      </c>
    </row>
    <row r="1467" spans="1:7">
      <c r="A1467" s="56" t="s">
        <v>814</v>
      </c>
      <c r="B1467" s="56" t="s">
        <v>233</v>
      </c>
      <c r="C1467" s="57" t="s">
        <v>60</v>
      </c>
      <c r="D1467" s="36" t="s">
        <v>61</v>
      </c>
      <c r="E1467" s="93">
        <v>47133</v>
      </c>
      <c r="F1467" s="98">
        <v>123750</v>
      </c>
      <c r="G1467" s="99">
        <v>123750</v>
      </c>
    </row>
    <row r="1468" spans="1:7">
      <c r="A1468" s="56" t="s">
        <v>814</v>
      </c>
      <c r="B1468" s="56" t="s">
        <v>233</v>
      </c>
      <c r="C1468" s="57" t="s">
        <v>60</v>
      </c>
      <c r="D1468" s="36" t="s">
        <v>61</v>
      </c>
      <c r="E1468" s="93">
        <v>47314</v>
      </c>
      <c r="F1468" s="98">
        <v>123750</v>
      </c>
      <c r="G1468" s="99">
        <v>123750</v>
      </c>
    </row>
    <row r="1469" spans="1:7">
      <c r="A1469" s="56" t="s">
        <v>814</v>
      </c>
      <c r="B1469" s="56" t="s">
        <v>233</v>
      </c>
      <c r="C1469" s="57" t="s">
        <v>60</v>
      </c>
      <c r="D1469" s="36" t="s">
        <v>61</v>
      </c>
      <c r="E1469" s="93">
        <v>47498</v>
      </c>
      <c r="F1469" s="98">
        <v>123750</v>
      </c>
      <c r="G1469" s="99">
        <v>123750</v>
      </c>
    </row>
    <row r="1470" spans="1:7">
      <c r="A1470" s="56" t="s">
        <v>814</v>
      </c>
      <c r="B1470" s="56" t="s">
        <v>233</v>
      </c>
      <c r="C1470" s="57" t="s">
        <v>60</v>
      </c>
      <c r="D1470" s="36" t="s">
        <v>61</v>
      </c>
      <c r="E1470" s="93">
        <v>47679</v>
      </c>
      <c r="F1470" s="98">
        <v>123750</v>
      </c>
      <c r="G1470" s="99">
        <v>123750</v>
      </c>
    </row>
    <row r="1471" spans="1:7">
      <c r="A1471" s="56" t="s">
        <v>814</v>
      </c>
      <c r="B1471" s="56" t="s">
        <v>233</v>
      </c>
      <c r="C1471" s="57" t="s">
        <v>60</v>
      </c>
      <c r="D1471" s="36" t="s">
        <v>61</v>
      </c>
      <c r="E1471" s="93">
        <v>47863</v>
      </c>
      <c r="F1471" s="98">
        <v>123750</v>
      </c>
      <c r="G1471" s="99">
        <v>123750</v>
      </c>
    </row>
    <row r="1472" spans="1:7">
      <c r="A1472" s="56" t="s">
        <v>814</v>
      </c>
      <c r="B1472" s="56" t="s">
        <v>233</v>
      </c>
      <c r="C1472" s="57" t="s">
        <v>60</v>
      </c>
      <c r="D1472" s="36" t="s">
        <v>61</v>
      </c>
      <c r="E1472" s="93">
        <v>48044</v>
      </c>
      <c r="F1472" s="98">
        <v>123750</v>
      </c>
      <c r="G1472" s="99">
        <v>123750</v>
      </c>
    </row>
    <row r="1473" spans="1:7">
      <c r="A1473" s="56" t="s">
        <v>813</v>
      </c>
      <c r="B1473" s="56" t="s">
        <v>54</v>
      </c>
      <c r="C1473" s="57" t="s">
        <v>43</v>
      </c>
      <c r="D1473" s="36" t="s">
        <v>61</v>
      </c>
      <c r="E1473" s="93">
        <v>48228</v>
      </c>
      <c r="F1473" s="98">
        <v>123750</v>
      </c>
      <c r="G1473" s="98">
        <v>5123750</v>
      </c>
    </row>
    <row r="1474" spans="1:7">
      <c r="A1474" s="87" t="s">
        <v>813</v>
      </c>
      <c r="B1474" s="87" t="s">
        <v>77</v>
      </c>
      <c r="C1474" s="88" t="s">
        <v>43</v>
      </c>
      <c r="D1474" s="87" t="s">
        <v>61</v>
      </c>
      <c r="E1474" s="89">
        <v>45672</v>
      </c>
      <c r="F1474" s="90">
        <v>160875</v>
      </c>
      <c r="G1474" s="90">
        <v>160875</v>
      </c>
    </row>
    <row r="1475" spans="1:7">
      <c r="A1475" s="56" t="s">
        <v>631</v>
      </c>
      <c r="B1475" s="56" t="s">
        <v>364</v>
      </c>
      <c r="C1475" s="57" t="s">
        <v>60</v>
      </c>
      <c r="D1475" s="36" t="s">
        <v>61</v>
      </c>
      <c r="E1475" s="93">
        <v>45853</v>
      </c>
      <c r="F1475" s="100">
        <v>160875</v>
      </c>
      <c r="G1475" s="99">
        <v>160875</v>
      </c>
    </row>
    <row r="1476" spans="1:7">
      <c r="A1476" s="56" t="s">
        <v>631</v>
      </c>
      <c r="B1476" s="56" t="s">
        <v>364</v>
      </c>
      <c r="C1476" s="57" t="s">
        <v>60</v>
      </c>
      <c r="D1476" s="36" t="s">
        <v>61</v>
      </c>
      <c r="E1476" s="93">
        <v>46037</v>
      </c>
      <c r="F1476" s="100">
        <v>160875</v>
      </c>
      <c r="G1476" s="99">
        <v>160875</v>
      </c>
    </row>
    <row r="1477" spans="1:7">
      <c r="A1477" s="56" t="s">
        <v>814</v>
      </c>
      <c r="B1477" s="56" t="s">
        <v>364</v>
      </c>
      <c r="C1477" s="57" t="s">
        <v>60</v>
      </c>
      <c r="D1477" s="36" t="s">
        <v>61</v>
      </c>
      <c r="E1477" s="93">
        <v>46218</v>
      </c>
      <c r="F1477" s="100">
        <v>160875</v>
      </c>
      <c r="G1477" s="99">
        <v>160875</v>
      </c>
    </row>
    <row r="1478" spans="1:7">
      <c r="A1478" s="56" t="s">
        <v>814</v>
      </c>
      <c r="B1478" s="56" t="s">
        <v>364</v>
      </c>
      <c r="C1478" s="57" t="s">
        <v>60</v>
      </c>
      <c r="D1478" s="36" t="s">
        <v>61</v>
      </c>
      <c r="E1478" s="93">
        <v>46402</v>
      </c>
      <c r="F1478" s="100">
        <v>160875</v>
      </c>
      <c r="G1478" s="99">
        <v>160875</v>
      </c>
    </row>
    <row r="1479" spans="1:7">
      <c r="A1479" s="56" t="s">
        <v>814</v>
      </c>
      <c r="B1479" s="56" t="s">
        <v>364</v>
      </c>
      <c r="C1479" s="57" t="s">
        <v>60</v>
      </c>
      <c r="D1479" s="36" t="s">
        <v>61</v>
      </c>
      <c r="E1479" s="93">
        <v>46583</v>
      </c>
      <c r="F1479" s="100">
        <v>160875</v>
      </c>
      <c r="G1479" s="99">
        <v>160875</v>
      </c>
    </row>
    <row r="1480" spans="1:7">
      <c r="A1480" s="56" t="s">
        <v>814</v>
      </c>
      <c r="B1480" s="56" t="s">
        <v>364</v>
      </c>
      <c r="C1480" s="57" t="s">
        <v>60</v>
      </c>
      <c r="D1480" s="36" t="s">
        <v>61</v>
      </c>
      <c r="E1480" s="93">
        <v>46767</v>
      </c>
      <c r="F1480" s="100">
        <v>160875</v>
      </c>
      <c r="G1480" s="99">
        <v>160875</v>
      </c>
    </row>
    <row r="1481" spans="1:7">
      <c r="A1481" s="56" t="s">
        <v>814</v>
      </c>
      <c r="B1481" s="56" t="s">
        <v>364</v>
      </c>
      <c r="C1481" s="57" t="s">
        <v>60</v>
      </c>
      <c r="D1481" s="36" t="s">
        <v>61</v>
      </c>
      <c r="E1481" s="93">
        <v>46949</v>
      </c>
      <c r="F1481" s="100">
        <v>160875</v>
      </c>
      <c r="G1481" s="99">
        <v>160875</v>
      </c>
    </row>
    <row r="1482" spans="1:7">
      <c r="A1482" s="56" t="s">
        <v>814</v>
      </c>
      <c r="B1482" s="56" t="s">
        <v>364</v>
      </c>
      <c r="C1482" s="57" t="s">
        <v>60</v>
      </c>
      <c r="D1482" s="36" t="s">
        <v>61</v>
      </c>
      <c r="E1482" s="93">
        <v>47133</v>
      </c>
      <c r="F1482" s="100">
        <v>160875</v>
      </c>
      <c r="G1482" s="99">
        <v>160875</v>
      </c>
    </row>
    <row r="1483" spans="1:7">
      <c r="A1483" s="56" t="s">
        <v>814</v>
      </c>
      <c r="B1483" s="56" t="s">
        <v>364</v>
      </c>
      <c r="C1483" s="57" t="s">
        <v>60</v>
      </c>
      <c r="D1483" s="36" t="s">
        <v>61</v>
      </c>
      <c r="E1483" s="93">
        <v>47314</v>
      </c>
      <c r="F1483" s="100">
        <v>160875</v>
      </c>
      <c r="G1483" s="99">
        <v>160875</v>
      </c>
    </row>
    <row r="1484" spans="1:7">
      <c r="A1484" s="56" t="s">
        <v>814</v>
      </c>
      <c r="B1484" s="56" t="s">
        <v>364</v>
      </c>
      <c r="C1484" s="57" t="s">
        <v>60</v>
      </c>
      <c r="D1484" s="36" t="s">
        <v>61</v>
      </c>
      <c r="E1484" s="93">
        <v>47498</v>
      </c>
      <c r="F1484" s="100">
        <v>160875</v>
      </c>
      <c r="G1484" s="99">
        <v>160875</v>
      </c>
    </row>
    <row r="1485" spans="1:7">
      <c r="A1485" s="56" t="s">
        <v>814</v>
      </c>
      <c r="B1485" s="56" t="s">
        <v>364</v>
      </c>
      <c r="C1485" s="57" t="s">
        <v>60</v>
      </c>
      <c r="D1485" s="36" t="s">
        <v>61</v>
      </c>
      <c r="E1485" s="93">
        <v>47679</v>
      </c>
      <c r="F1485" s="100">
        <v>160875</v>
      </c>
      <c r="G1485" s="99">
        <v>160875</v>
      </c>
    </row>
    <row r="1486" spans="1:7">
      <c r="A1486" s="56" t="s">
        <v>814</v>
      </c>
      <c r="B1486" s="56" t="s">
        <v>364</v>
      </c>
      <c r="C1486" s="57" t="s">
        <v>60</v>
      </c>
      <c r="D1486" s="36" t="s">
        <v>61</v>
      </c>
      <c r="E1486" s="93">
        <v>47863</v>
      </c>
      <c r="F1486" s="100">
        <v>160875</v>
      </c>
      <c r="G1486" s="99">
        <v>160875</v>
      </c>
    </row>
    <row r="1487" spans="1:7">
      <c r="A1487" s="56" t="s">
        <v>814</v>
      </c>
      <c r="B1487" s="56" t="s">
        <v>364</v>
      </c>
      <c r="C1487" s="57" t="s">
        <v>60</v>
      </c>
      <c r="D1487" s="36" t="s">
        <v>61</v>
      </c>
      <c r="E1487" s="93">
        <v>48044</v>
      </c>
      <c r="F1487" s="100">
        <v>160875</v>
      </c>
      <c r="G1487" s="99">
        <v>160875</v>
      </c>
    </row>
    <row r="1488" spans="1:7">
      <c r="A1488" s="56" t="s">
        <v>814</v>
      </c>
      <c r="B1488" s="56" t="s">
        <v>364</v>
      </c>
      <c r="C1488" s="57" t="s">
        <v>60</v>
      </c>
      <c r="D1488" s="36" t="s">
        <v>61</v>
      </c>
      <c r="E1488" s="93">
        <v>48228</v>
      </c>
      <c r="F1488" s="100">
        <v>160875</v>
      </c>
      <c r="G1488" s="99">
        <v>6660875</v>
      </c>
    </row>
    <row r="1489" spans="1:7">
      <c r="A1489" s="87" t="s">
        <v>242</v>
      </c>
      <c r="B1489" s="87" t="s">
        <v>54</v>
      </c>
      <c r="C1489" s="88" t="s">
        <v>43</v>
      </c>
      <c r="D1489" s="87" t="s">
        <v>61</v>
      </c>
      <c r="E1489" s="89">
        <v>44965</v>
      </c>
      <c r="F1489" s="90">
        <v>96875</v>
      </c>
      <c r="G1489" s="90">
        <v>96875</v>
      </c>
    </row>
    <row r="1490" spans="1:7">
      <c r="A1490" s="33" t="s">
        <v>815</v>
      </c>
      <c r="B1490" s="33" t="s">
        <v>54</v>
      </c>
      <c r="C1490" s="48" t="s">
        <v>43</v>
      </c>
      <c r="D1490" s="33" t="s">
        <v>61</v>
      </c>
      <c r="E1490" s="93">
        <v>45146</v>
      </c>
      <c r="F1490" s="94">
        <v>96875</v>
      </c>
      <c r="G1490" s="94">
        <v>96875</v>
      </c>
    </row>
    <row r="1491" spans="1:7">
      <c r="A1491" s="33" t="s">
        <v>815</v>
      </c>
      <c r="B1491" s="33" t="s">
        <v>54</v>
      </c>
      <c r="C1491" s="48" t="s">
        <v>43</v>
      </c>
      <c r="D1491" s="33" t="s">
        <v>61</v>
      </c>
      <c r="E1491" s="91">
        <v>45330</v>
      </c>
      <c r="F1491" s="92">
        <v>96875</v>
      </c>
      <c r="G1491" s="92">
        <v>96875</v>
      </c>
    </row>
    <row r="1492" spans="1:7">
      <c r="A1492" s="33" t="s">
        <v>815</v>
      </c>
      <c r="B1492" s="33" t="s">
        <v>54</v>
      </c>
      <c r="C1492" s="48" t="s">
        <v>43</v>
      </c>
      <c r="D1492" s="33" t="s">
        <v>61</v>
      </c>
      <c r="E1492" s="93">
        <v>45512</v>
      </c>
      <c r="F1492" s="94">
        <v>96875</v>
      </c>
      <c r="G1492" s="94">
        <v>96875</v>
      </c>
    </row>
    <row r="1493" spans="1:7">
      <c r="A1493" s="33" t="s">
        <v>815</v>
      </c>
      <c r="B1493" s="33" t="s">
        <v>54</v>
      </c>
      <c r="C1493" s="48" t="s">
        <v>43</v>
      </c>
      <c r="D1493" s="33" t="s">
        <v>61</v>
      </c>
      <c r="E1493" s="91">
        <v>45696</v>
      </c>
      <c r="F1493" s="92">
        <v>96875</v>
      </c>
      <c r="G1493" s="92">
        <v>96875</v>
      </c>
    </row>
    <row r="1494" spans="1:7">
      <c r="A1494" s="33" t="s">
        <v>815</v>
      </c>
      <c r="B1494" s="33" t="s">
        <v>54</v>
      </c>
      <c r="C1494" s="48" t="s">
        <v>43</v>
      </c>
      <c r="D1494" s="33" t="s">
        <v>61</v>
      </c>
      <c r="E1494" s="93">
        <v>45877</v>
      </c>
      <c r="F1494" s="94">
        <v>96875</v>
      </c>
      <c r="G1494" s="94">
        <v>96875</v>
      </c>
    </row>
    <row r="1495" spans="1:7">
      <c r="A1495" s="33" t="s">
        <v>815</v>
      </c>
      <c r="B1495" s="33" t="s">
        <v>54</v>
      </c>
      <c r="C1495" s="48" t="s">
        <v>43</v>
      </c>
      <c r="D1495" s="33" t="s">
        <v>61</v>
      </c>
      <c r="E1495" s="91">
        <v>46061</v>
      </c>
      <c r="F1495" s="92">
        <v>96875</v>
      </c>
      <c r="G1495" s="92">
        <v>96875</v>
      </c>
    </row>
    <row r="1496" spans="1:7">
      <c r="A1496" s="33" t="s">
        <v>815</v>
      </c>
      <c r="B1496" s="33" t="s">
        <v>54</v>
      </c>
      <c r="C1496" s="48" t="s">
        <v>43</v>
      </c>
      <c r="D1496" s="33" t="s">
        <v>61</v>
      </c>
      <c r="E1496" s="93">
        <v>46242</v>
      </c>
      <c r="F1496" s="94">
        <v>96875</v>
      </c>
      <c r="G1496" s="94">
        <v>96875</v>
      </c>
    </row>
    <row r="1497" spans="1:7">
      <c r="A1497" s="33" t="s">
        <v>815</v>
      </c>
      <c r="B1497" s="33" t="s">
        <v>54</v>
      </c>
      <c r="C1497" s="48" t="s">
        <v>43</v>
      </c>
      <c r="D1497" s="33" t="s">
        <v>61</v>
      </c>
      <c r="E1497" s="91">
        <v>46426</v>
      </c>
      <c r="F1497" s="92">
        <v>96875</v>
      </c>
      <c r="G1497" s="92">
        <v>96875</v>
      </c>
    </row>
    <row r="1498" spans="1:7">
      <c r="A1498" s="33" t="s">
        <v>815</v>
      </c>
      <c r="B1498" s="33" t="s">
        <v>54</v>
      </c>
      <c r="C1498" s="48" t="s">
        <v>43</v>
      </c>
      <c r="D1498" s="33" t="s">
        <v>61</v>
      </c>
      <c r="E1498" s="93">
        <v>46607</v>
      </c>
      <c r="F1498" s="94">
        <v>96875</v>
      </c>
      <c r="G1498" s="94">
        <v>96875</v>
      </c>
    </row>
    <row r="1499" spans="1:7">
      <c r="A1499" s="33" t="s">
        <v>815</v>
      </c>
      <c r="B1499" s="33" t="s">
        <v>54</v>
      </c>
      <c r="C1499" s="48" t="s">
        <v>43</v>
      </c>
      <c r="D1499" s="33" t="s">
        <v>61</v>
      </c>
      <c r="E1499" s="91">
        <v>46791</v>
      </c>
      <c r="F1499" s="92">
        <v>96875</v>
      </c>
      <c r="G1499" s="92">
        <v>96875</v>
      </c>
    </row>
    <row r="1500" spans="1:7">
      <c r="A1500" s="33" t="s">
        <v>815</v>
      </c>
      <c r="B1500" s="33" t="s">
        <v>54</v>
      </c>
      <c r="C1500" s="48" t="s">
        <v>43</v>
      </c>
      <c r="D1500" s="33" t="s">
        <v>61</v>
      </c>
      <c r="E1500" s="93">
        <v>46973</v>
      </c>
      <c r="F1500" s="94">
        <v>96875</v>
      </c>
      <c r="G1500" s="94">
        <v>96875</v>
      </c>
    </row>
    <row r="1501" spans="1:7">
      <c r="A1501" s="33" t="s">
        <v>815</v>
      </c>
      <c r="B1501" s="33" t="s">
        <v>54</v>
      </c>
      <c r="C1501" s="48" t="s">
        <v>43</v>
      </c>
      <c r="D1501" s="33" t="s">
        <v>61</v>
      </c>
      <c r="E1501" s="91">
        <v>47157</v>
      </c>
      <c r="F1501" s="92">
        <v>96875</v>
      </c>
      <c r="G1501" s="92">
        <v>5096875</v>
      </c>
    </row>
    <row r="1502" spans="1:7">
      <c r="A1502" s="87" t="s">
        <v>160</v>
      </c>
      <c r="B1502" s="87" t="s">
        <v>754</v>
      </c>
      <c r="C1502" s="88" t="s">
        <v>43</v>
      </c>
      <c r="D1502" s="87" t="s">
        <v>61</v>
      </c>
      <c r="E1502" s="89">
        <v>45007</v>
      </c>
      <c r="F1502" s="90">
        <v>15750.000000000002</v>
      </c>
      <c r="G1502" s="90">
        <v>15750.000000000002</v>
      </c>
    </row>
    <row r="1503" spans="1:7">
      <c r="A1503" s="33" t="s">
        <v>816</v>
      </c>
      <c r="B1503" s="33" t="s">
        <v>754</v>
      </c>
      <c r="C1503" s="33" t="s">
        <v>60</v>
      </c>
      <c r="D1503" s="36" t="s">
        <v>61</v>
      </c>
      <c r="E1503" s="93">
        <v>45191</v>
      </c>
      <c r="F1503" s="94">
        <v>15750.000000000002</v>
      </c>
      <c r="G1503" s="94">
        <v>15750.000000000002</v>
      </c>
    </row>
    <row r="1504" spans="1:7">
      <c r="A1504" s="33" t="s">
        <v>816</v>
      </c>
      <c r="B1504" s="33" t="s">
        <v>754</v>
      </c>
      <c r="C1504" s="33" t="s">
        <v>60</v>
      </c>
      <c r="D1504" s="36" t="s">
        <v>61</v>
      </c>
      <c r="E1504" s="91">
        <v>45373</v>
      </c>
      <c r="F1504" s="94">
        <v>15750.000000000002</v>
      </c>
      <c r="G1504" s="94">
        <v>15750.000000000002</v>
      </c>
    </row>
    <row r="1505" spans="1:7">
      <c r="A1505" s="33" t="s">
        <v>816</v>
      </c>
      <c r="B1505" s="33" t="s">
        <v>754</v>
      </c>
      <c r="C1505" s="33" t="s">
        <v>60</v>
      </c>
      <c r="D1505" s="36" t="s">
        <v>61</v>
      </c>
      <c r="E1505" s="93">
        <v>45557</v>
      </c>
      <c r="F1505" s="94">
        <v>15750.000000000002</v>
      </c>
      <c r="G1505" s="94">
        <v>15750.000000000002</v>
      </c>
    </row>
    <row r="1506" spans="1:7">
      <c r="A1506" s="33" t="s">
        <v>816</v>
      </c>
      <c r="B1506" s="33" t="s">
        <v>754</v>
      </c>
      <c r="C1506" s="33" t="s">
        <v>60</v>
      </c>
      <c r="D1506" s="36" t="s">
        <v>61</v>
      </c>
      <c r="E1506" s="91">
        <v>45738</v>
      </c>
      <c r="F1506" s="94">
        <v>15750.000000000002</v>
      </c>
      <c r="G1506" s="94">
        <v>15750.000000000002</v>
      </c>
    </row>
    <row r="1507" spans="1:7">
      <c r="A1507" s="33" t="s">
        <v>816</v>
      </c>
      <c r="B1507" s="33" t="s">
        <v>754</v>
      </c>
      <c r="C1507" s="33" t="s">
        <v>60</v>
      </c>
      <c r="D1507" s="36" t="s">
        <v>61</v>
      </c>
      <c r="E1507" s="93">
        <v>45922</v>
      </c>
      <c r="F1507" s="94">
        <v>15750.000000000002</v>
      </c>
      <c r="G1507" s="94">
        <v>15750.000000000002</v>
      </c>
    </row>
    <row r="1508" spans="1:7">
      <c r="A1508" s="33" t="s">
        <v>816</v>
      </c>
      <c r="B1508" s="33" t="s">
        <v>754</v>
      </c>
      <c r="C1508" s="33" t="s">
        <v>60</v>
      </c>
      <c r="D1508" s="36" t="s">
        <v>61</v>
      </c>
      <c r="E1508" s="91">
        <v>46103</v>
      </c>
      <c r="F1508" s="94">
        <v>15750.000000000002</v>
      </c>
      <c r="G1508" s="94">
        <v>15750.000000000002</v>
      </c>
    </row>
    <row r="1509" spans="1:7">
      <c r="A1509" s="33" t="s">
        <v>816</v>
      </c>
      <c r="B1509" s="33" t="s">
        <v>754</v>
      </c>
      <c r="C1509" s="33" t="s">
        <v>60</v>
      </c>
      <c r="D1509" s="36" t="s">
        <v>61</v>
      </c>
      <c r="E1509" s="93">
        <v>46287</v>
      </c>
      <c r="F1509" s="94">
        <v>15750.000000000002</v>
      </c>
      <c r="G1509" s="94">
        <v>15750.000000000002</v>
      </c>
    </row>
    <row r="1510" spans="1:7">
      <c r="A1510" s="33" t="s">
        <v>816</v>
      </c>
      <c r="B1510" s="33" t="s">
        <v>754</v>
      </c>
      <c r="C1510" s="33" t="s">
        <v>60</v>
      </c>
      <c r="D1510" s="36" t="s">
        <v>61</v>
      </c>
      <c r="E1510" s="91">
        <v>46468</v>
      </c>
      <c r="F1510" s="94">
        <v>15750.000000000002</v>
      </c>
      <c r="G1510" s="94">
        <v>15750.000000000002</v>
      </c>
    </row>
    <row r="1511" spans="1:7">
      <c r="A1511" s="33" t="s">
        <v>816</v>
      </c>
      <c r="B1511" s="33" t="s">
        <v>754</v>
      </c>
      <c r="C1511" s="33" t="s">
        <v>60</v>
      </c>
      <c r="D1511" s="36" t="s">
        <v>61</v>
      </c>
      <c r="E1511" s="93">
        <v>46652</v>
      </c>
      <c r="F1511" s="94">
        <v>15750.000000000002</v>
      </c>
      <c r="G1511" s="94">
        <v>15750.000000000002</v>
      </c>
    </row>
    <row r="1512" spans="1:7">
      <c r="A1512" s="33" t="s">
        <v>816</v>
      </c>
      <c r="B1512" s="33" t="s">
        <v>754</v>
      </c>
      <c r="C1512" s="33" t="s">
        <v>60</v>
      </c>
      <c r="D1512" s="36" t="s">
        <v>61</v>
      </c>
      <c r="E1512" s="91">
        <v>46834</v>
      </c>
      <c r="F1512" s="94">
        <v>15750.000000000002</v>
      </c>
      <c r="G1512" s="94">
        <v>1515750</v>
      </c>
    </row>
    <row r="1513" spans="1:7">
      <c r="A1513" s="87" t="s">
        <v>527</v>
      </c>
      <c r="B1513" s="87" t="s">
        <v>223</v>
      </c>
      <c r="C1513" s="88" t="s">
        <v>43</v>
      </c>
      <c r="D1513" s="87" t="s">
        <v>61</v>
      </c>
      <c r="E1513" s="89">
        <v>45372</v>
      </c>
      <c r="F1513" s="90">
        <v>25500</v>
      </c>
      <c r="G1513" s="90">
        <v>25500</v>
      </c>
    </row>
    <row r="1514" spans="1:7">
      <c r="A1514" s="33" t="s">
        <v>527</v>
      </c>
      <c r="B1514" s="33" t="s">
        <v>223</v>
      </c>
      <c r="C1514" s="33" t="s">
        <v>60</v>
      </c>
      <c r="D1514" s="36" t="s">
        <v>61</v>
      </c>
      <c r="E1514" s="91">
        <v>45556</v>
      </c>
      <c r="F1514" s="92">
        <v>25500</v>
      </c>
      <c r="G1514" s="92">
        <v>25500</v>
      </c>
    </row>
    <row r="1515" spans="1:7">
      <c r="A1515" s="33" t="s">
        <v>817</v>
      </c>
      <c r="B1515" s="33" t="s">
        <v>223</v>
      </c>
      <c r="C1515" s="33" t="s">
        <v>60</v>
      </c>
      <c r="D1515" s="36" t="s">
        <v>61</v>
      </c>
      <c r="E1515" s="91">
        <v>45737</v>
      </c>
      <c r="F1515" s="92">
        <v>25500</v>
      </c>
      <c r="G1515" s="92">
        <v>25500</v>
      </c>
    </row>
    <row r="1516" spans="1:7">
      <c r="A1516" s="33" t="s">
        <v>817</v>
      </c>
      <c r="B1516" s="33" t="s">
        <v>223</v>
      </c>
      <c r="C1516" s="33" t="s">
        <v>60</v>
      </c>
      <c r="D1516" s="36" t="s">
        <v>61</v>
      </c>
      <c r="E1516" s="91">
        <v>45921</v>
      </c>
      <c r="F1516" s="94">
        <v>25500</v>
      </c>
      <c r="G1516" s="94">
        <v>25500</v>
      </c>
    </row>
    <row r="1517" spans="1:7">
      <c r="A1517" s="33" t="s">
        <v>817</v>
      </c>
      <c r="B1517" s="33" t="s">
        <v>223</v>
      </c>
      <c r="C1517" s="33" t="s">
        <v>60</v>
      </c>
      <c r="D1517" s="36" t="s">
        <v>61</v>
      </c>
      <c r="E1517" s="91">
        <v>46102</v>
      </c>
      <c r="F1517" s="94">
        <v>25500</v>
      </c>
      <c r="G1517" s="94">
        <v>25500</v>
      </c>
    </row>
    <row r="1518" spans="1:7">
      <c r="A1518" s="33" t="s">
        <v>817</v>
      </c>
      <c r="B1518" s="33" t="s">
        <v>223</v>
      </c>
      <c r="C1518" s="33" t="s">
        <v>60</v>
      </c>
      <c r="D1518" s="36" t="s">
        <v>61</v>
      </c>
      <c r="E1518" s="91">
        <v>46286</v>
      </c>
      <c r="F1518" s="94">
        <v>25500</v>
      </c>
      <c r="G1518" s="94">
        <v>25500</v>
      </c>
    </row>
    <row r="1519" spans="1:7">
      <c r="A1519" s="33" t="s">
        <v>817</v>
      </c>
      <c r="B1519" s="33" t="s">
        <v>223</v>
      </c>
      <c r="C1519" s="33" t="s">
        <v>60</v>
      </c>
      <c r="D1519" s="36" t="s">
        <v>61</v>
      </c>
      <c r="E1519" s="91">
        <v>46467</v>
      </c>
      <c r="F1519" s="94">
        <v>25500</v>
      </c>
      <c r="G1519" s="94">
        <v>25500</v>
      </c>
    </row>
    <row r="1520" spans="1:7">
      <c r="A1520" s="33" t="s">
        <v>817</v>
      </c>
      <c r="B1520" s="33" t="s">
        <v>223</v>
      </c>
      <c r="C1520" s="33" t="s">
        <v>60</v>
      </c>
      <c r="D1520" s="36" t="s">
        <v>61</v>
      </c>
      <c r="E1520" s="91">
        <v>46651</v>
      </c>
      <c r="F1520" s="94">
        <v>25500</v>
      </c>
      <c r="G1520" s="94">
        <v>25500</v>
      </c>
    </row>
    <row r="1521" spans="1:7">
      <c r="A1521" s="33" t="s">
        <v>817</v>
      </c>
      <c r="B1521" s="33" t="s">
        <v>223</v>
      </c>
      <c r="C1521" s="33" t="s">
        <v>60</v>
      </c>
      <c r="D1521" s="36" t="s">
        <v>61</v>
      </c>
      <c r="E1521" s="91">
        <v>46833</v>
      </c>
      <c r="F1521" s="94">
        <v>25500</v>
      </c>
      <c r="G1521" s="94">
        <v>25500</v>
      </c>
    </row>
    <row r="1522" spans="1:7">
      <c r="A1522" s="33" t="s">
        <v>817</v>
      </c>
      <c r="B1522" s="33" t="s">
        <v>223</v>
      </c>
      <c r="C1522" s="33" t="s">
        <v>60</v>
      </c>
      <c r="D1522" s="36" t="s">
        <v>61</v>
      </c>
      <c r="E1522" s="91">
        <v>47017</v>
      </c>
      <c r="F1522" s="94">
        <v>25500</v>
      </c>
      <c r="G1522" s="94">
        <v>25500</v>
      </c>
    </row>
    <row r="1523" spans="1:7">
      <c r="A1523" s="33" t="s">
        <v>817</v>
      </c>
      <c r="B1523" s="33" t="s">
        <v>223</v>
      </c>
      <c r="C1523" s="33" t="s">
        <v>60</v>
      </c>
      <c r="D1523" s="36" t="s">
        <v>61</v>
      </c>
      <c r="E1523" s="91">
        <v>47198</v>
      </c>
      <c r="F1523" s="94">
        <v>25500</v>
      </c>
      <c r="G1523" s="94">
        <v>25500</v>
      </c>
    </row>
    <row r="1524" spans="1:7">
      <c r="A1524" s="33" t="s">
        <v>817</v>
      </c>
      <c r="B1524" s="33" t="s">
        <v>223</v>
      </c>
      <c r="C1524" s="33" t="s">
        <v>60</v>
      </c>
      <c r="D1524" s="36" t="s">
        <v>61</v>
      </c>
      <c r="E1524" s="91">
        <v>47382</v>
      </c>
      <c r="F1524" s="94">
        <v>25500</v>
      </c>
      <c r="G1524" s="94">
        <v>25500</v>
      </c>
    </row>
    <row r="1525" spans="1:7">
      <c r="A1525" s="33" t="s">
        <v>817</v>
      </c>
      <c r="B1525" s="33" t="s">
        <v>223</v>
      </c>
      <c r="C1525" s="33" t="s">
        <v>60</v>
      </c>
      <c r="D1525" s="36" t="s">
        <v>61</v>
      </c>
      <c r="E1525" s="91">
        <v>47563</v>
      </c>
      <c r="F1525" s="94">
        <v>25500</v>
      </c>
      <c r="G1525" s="94">
        <v>25500</v>
      </c>
    </row>
    <row r="1526" spans="1:7">
      <c r="A1526" s="33" t="s">
        <v>817</v>
      </c>
      <c r="B1526" s="33" t="s">
        <v>223</v>
      </c>
      <c r="C1526" s="33" t="s">
        <v>60</v>
      </c>
      <c r="D1526" s="36" t="s">
        <v>61</v>
      </c>
      <c r="E1526" s="91">
        <v>47747</v>
      </c>
      <c r="F1526" s="94">
        <v>25500</v>
      </c>
      <c r="G1526" s="94">
        <v>25500</v>
      </c>
    </row>
    <row r="1527" spans="1:7">
      <c r="A1527" s="33" t="s">
        <v>817</v>
      </c>
      <c r="B1527" s="33" t="s">
        <v>223</v>
      </c>
      <c r="C1527" s="33" t="s">
        <v>60</v>
      </c>
      <c r="D1527" s="36" t="s">
        <v>61</v>
      </c>
      <c r="E1527" s="91">
        <v>47928</v>
      </c>
      <c r="F1527" s="94">
        <v>25500</v>
      </c>
      <c r="G1527" s="94">
        <v>2025500</v>
      </c>
    </row>
    <row r="1528" spans="1:7">
      <c r="A1528" s="87" t="s">
        <v>527</v>
      </c>
      <c r="B1528" s="87" t="s">
        <v>54</v>
      </c>
      <c r="C1528" s="88" t="s">
        <v>43</v>
      </c>
      <c r="D1528" s="87" t="s">
        <v>61</v>
      </c>
      <c r="E1528" s="89">
        <v>45556</v>
      </c>
      <c r="F1528" s="90">
        <v>25500</v>
      </c>
      <c r="G1528" s="90">
        <v>25500</v>
      </c>
    </row>
    <row r="1529" spans="1:7">
      <c r="A1529" s="33" t="s">
        <v>527</v>
      </c>
      <c r="B1529" s="33" t="s">
        <v>54</v>
      </c>
      <c r="C1529" s="48" t="s">
        <v>43</v>
      </c>
      <c r="D1529" s="33" t="s">
        <v>61</v>
      </c>
      <c r="E1529" s="91">
        <v>45737</v>
      </c>
      <c r="F1529" s="94">
        <v>25500</v>
      </c>
      <c r="G1529" s="94">
        <v>25500</v>
      </c>
    </row>
    <row r="1530" spans="1:7">
      <c r="A1530" s="33" t="s">
        <v>817</v>
      </c>
      <c r="B1530" s="33" t="s">
        <v>54</v>
      </c>
      <c r="C1530" s="48" t="s">
        <v>43</v>
      </c>
      <c r="D1530" s="33" t="s">
        <v>61</v>
      </c>
      <c r="E1530" s="91">
        <v>45921</v>
      </c>
      <c r="F1530" s="94">
        <v>25500</v>
      </c>
      <c r="G1530" s="94">
        <v>25500</v>
      </c>
    </row>
    <row r="1531" spans="1:7">
      <c r="A1531" s="33" t="s">
        <v>817</v>
      </c>
      <c r="B1531" s="33" t="s">
        <v>54</v>
      </c>
      <c r="C1531" s="48" t="s">
        <v>43</v>
      </c>
      <c r="D1531" s="33" t="s">
        <v>61</v>
      </c>
      <c r="E1531" s="91">
        <v>46102</v>
      </c>
      <c r="F1531" s="94">
        <v>25500</v>
      </c>
      <c r="G1531" s="94">
        <v>25500</v>
      </c>
    </row>
    <row r="1532" spans="1:7">
      <c r="A1532" s="33" t="s">
        <v>817</v>
      </c>
      <c r="B1532" s="33" t="s">
        <v>54</v>
      </c>
      <c r="C1532" s="48" t="s">
        <v>43</v>
      </c>
      <c r="D1532" s="33" t="s">
        <v>61</v>
      </c>
      <c r="E1532" s="91">
        <v>46286</v>
      </c>
      <c r="F1532" s="94">
        <v>25500</v>
      </c>
      <c r="G1532" s="94">
        <v>25500</v>
      </c>
    </row>
    <row r="1533" spans="1:7">
      <c r="A1533" s="33" t="s">
        <v>817</v>
      </c>
      <c r="B1533" s="33" t="s">
        <v>54</v>
      </c>
      <c r="C1533" s="48" t="s">
        <v>43</v>
      </c>
      <c r="D1533" s="33" t="s">
        <v>61</v>
      </c>
      <c r="E1533" s="91">
        <v>46467</v>
      </c>
      <c r="F1533" s="94">
        <v>25500</v>
      </c>
      <c r="G1533" s="94">
        <v>25500</v>
      </c>
    </row>
    <row r="1534" spans="1:7">
      <c r="A1534" s="33" t="s">
        <v>817</v>
      </c>
      <c r="B1534" s="33" t="s">
        <v>54</v>
      </c>
      <c r="C1534" s="48" t="s">
        <v>43</v>
      </c>
      <c r="D1534" s="33" t="s">
        <v>61</v>
      </c>
      <c r="E1534" s="91">
        <v>46651</v>
      </c>
      <c r="F1534" s="94">
        <v>25500</v>
      </c>
      <c r="G1534" s="94">
        <v>25500</v>
      </c>
    </row>
    <row r="1535" spans="1:7">
      <c r="A1535" s="33" t="s">
        <v>817</v>
      </c>
      <c r="B1535" s="33" t="s">
        <v>54</v>
      </c>
      <c r="C1535" s="48" t="s">
        <v>43</v>
      </c>
      <c r="D1535" s="33" t="s">
        <v>61</v>
      </c>
      <c r="E1535" s="91">
        <v>46833</v>
      </c>
      <c r="F1535" s="94">
        <v>25500</v>
      </c>
      <c r="G1535" s="94">
        <v>25500</v>
      </c>
    </row>
    <row r="1536" spans="1:7">
      <c r="A1536" s="33" t="s">
        <v>817</v>
      </c>
      <c r="B1536" s="33" t="s">
        <v>54</v>
      </c>
      <c r="C1536" s="48" t="s">
        <v>43</v>
      </c>
      <c r="D1536" s="33" t="s">
        <v>61</v>
      </c>
      <c r="E1536" s="91">
        <v>47017</v>
      </c>
      <c r="F1536" s="94">
        <v>25500</v>
      </c>
      <c r="G1536" s="94">
        <v>25500</v>
      </c>
    </row>
    <row r="1537" spans="1:7">
      <c r="A1537" s="33" t="s">
        <v>817</v>
      </c>
      <c r="B1537" s="33" t="s">
        <v>54</v>
      </c>
      <c r="C1537" s="48" t="s">
        <v>43</v>
      </c>
      <c r="D1537" s="33" t="s">
        <v>61</v>
      </c>
      <c r="E1537" s="91">
        <v>47198</v>
      </c>
      <c r="F1537" s="94">
        <v>25500</v>
      </c>
      <c r="G1537" s="94">
        <v>25500</v>
      </c>
    </row>
    <row r="1538" spans="1:7">
      <c r="A1538" s="33" t="s">
        <v>817</v>
      </c>
      <c r="B1538" s="33" t="s">
        <v>54</v>
      </c>
      <c r="C1538" s="48" t="s">
        <v>43</v>
      </c>
      <c r="D1538" s="33" t="s">
        <v>61</v>
      </c>
      <c r="E1538" s="91">
        <v>47382</v>
      </c>
      <c r="F1538" s="94">
        <v>25500</v>
      </c>
      <c r="G1538" s="94">
        <v>25500</v>
      </c>
    </row>
    <row r="1539" spans="1:7">
      <c r="A1539" s="33" t="s">
        <v>817</v>
      </c>
      <c r="B1539" s="33" t="s">
        <v>54</v>
      </c>
      <c r="C1539" s="48" t="s">
        <v>43</v>
      </c>
      <c r="D1539" s="33" t="s">
        <v>61</v>
      </c>
      <c r="E1539" s="91">
        <v>47563</v>
      </c>
      <c r="F1539" s="94">
        <v>25500</v>
      </c>
      <c r="G1539" s="94">
        <v>25500</v>
      </c>
    </row>
    <row r="1540" spans="1:7">
      <c r="A1540" s="33" t="s">
        <v>817</v>
      </c>
      <c r="B1540" s="33" t="s">
        <v>54</v>
      </c>
      <c r="C1540" s="48" t="s">
        <v>43</v>
      </c>
      <c r="D1540" s="33" t="s">
        <v>61</v>
      </c>
      <c r="E1540" s="91">
        <v>47747</v>
      </c>
      <c r="F1540" s="94">
        <v>25500</v>
      </c>
      <c r="G1540" s="94">
        <v>25500</v>
      </c>
    </row>
    <row r="1541" spans="1:7">
      <c r="A1541" s="33" t="s">
        <v>817</v>
      </c>
      <c r="B1541" s="33" t="s">
        <v>54</v>
      </c>
      <c r="C1541" s="48" t="s">
        <v>43</v>
      </c>
      <c r="D1541" s="33" t="s">
        <v>61</v>
      </c>
      <c r="E1541" s="91">
        <v>47928</v>
      </c>
      <c r="F1541" s="94">
        <v>25500</v>
      </c>
      <c r="G1541" s="94">
        <v>2025500</v>
      </c>
    </row>
    <row r="1542" spans="1:7">
      <c r="A1542" s="87" t="s">
        <v>665</v>
      </c>
      <c r="B1542" s="87" t="s">
        <v>77</v>
      </c>
      <c r="C1542" s="88" t="s">
        <v>43</v>
      </c>
      <c r="D1542" s="87" t="s">
        <v>61</v>
      </c>
      <c r="E1542" s="89">
        <v>45550</v>
      </c>
      <c r="F1542" s="90">
        <v>23550</v>
      </c>
      <c r="G1542" s="90">
        <v>23550</v>
      </c>
    </row>
    <row r="1543" spans="1:7">
      <c r="A1543" s="33" t="s">
        <v>665</v>
      </c>
      <c r="B1543" s="33" t="s">
        <v>77</v>
      </c>
      <c r="C1543" s="33" t="s">
        <v>60</v>
      </c>
      <c r="D1543" s="36" t="s">
        <v>61</v>
      </c>
      <c r="E1543" s="91">
        <v>45731</v>
      </c>
      <c r="F1543" s="92">
        <v>23550</v>
      </c>
      <c r="G1543" s="92">
        <v>23550</v>
      </c>
    </row>
    <row r="1544" spans="1:7">
      <c r="A1544" s="33" t="s">
        <v>818</v>
      </c>
      <c r="B1544" s="33" t="s">
        <v>77</v>
      </c>
      <c r="C1544" s="33" t="s">
        <v>60</v>
      </c>
      <c r="D1544" s="36" t="s">
        <v>61</v>
      </c>
      <c r="E1544" s="91">
        <v>45915</v>
      </c>
      <c r="F1544" s="92">
        <v>23550</v>
      </c>
      <c r="G1544" s="92">
        <v>23550</v>
      </c>
    </row>
    <row r="1545" spans="1:7">
      <c r="A1545" s="33" t="s">
        <v>818</v>
      </c>
      <c r="B1545" s="33" t="s">
        <v>77</v>
      </c>
      <c r="C1545" s="33" t="s">
        <v>60</v>
      </c>
      <c r="D1545" s="36" t="s">
        <v>61</v>
      </c>
      <c r="E1545" s="91">
        <v>46096</v>
      </c>
      <c r="F1545" s="92">
        <v>23550</v>
      </c>
      <c r="G1545" s="92">
        <v>23550</v>
      </c>
    </row>
    <row r="1546" spans="1:7">
      <c r="A1546" s="33" t="s">
        <v>818</v>
      </c>
      <c r="B1546" s="33" t="s">
        <v>77</v>
      </c>
      <c r="C1546" s="33" t="s">
        <v>60</v>
      </c>
      <c r="D1546" s="36" t="s">
        <v>61</v>
      </c>
      <c r="E1546" s="91">
        <v>46280</v>
      </c>
      <c r="F1546" s="92">
        <v>23550</v>
      </c>
      <c r="G1546" s="92">
        <v>23550</v>
      </c>
    </row>
    <row r="1547" spans="1:7">
      <c r="A1547" s="33" t="s">
        <v>818</v>
      </c>
      <c r="B1547" s="33" t="s">
        <v>77</v>
      </c>
      <c r="C1547" s="33" t="s">
        <v>60</v>
      </c>
      <c r="D1547" s="36" t="s">
        <v>61</v>
      </c>
      <c r="E1547" s="91">
        <v>46461</v>
      </c>
      <c r="F1547" s="92">
        <v>23550</v>
      </c>
      <c r="G1547" s="92">
        <v>23550</v>
      </c>
    </row>
    <row r="1548" spans="1:7">
      <c r="A1548" s="33" t="s">
        <v>818</v>
      </c>
      <c r="B1548" s="33" t="s">
        <v>77</v>
      </c>
      <c r="C1548" s="33" t="s">
        <v>60</v>
      </c>
      <c r="D1548" s="36" t="s">
        <v>61</v>
      </c>
      <c r="E1548" s="91">
        <v>46645</v>
      </c>
      <c r="F1548" s="92">
        <v>23550</v>
      </c>
      <c r="G1548" s="92">
        <v>23550</v>
      </c>
    </row>
    <row r="1549" spans="1:7">
      <c r="A1549" s="33" t="s">
        <v>818</v>
      </c>
      <c r="B1549" s="33" t="s">
        <v>77</v>
      </c>
      <c r="C1549" s="33" t="s">
        <v>60</v>
      </c>
      <c r="D1549" s="36" t="s">
        <v>61</v>
      </c>
      <c r="E1549" s="91">
        <v>46827</v>
      </c>
      <c r="F1549" s="92">
        <v>23550</v>
      </c>
      <c r="G1549" s="92">
        <v>23550</v>
      </c>
    </row>
    <row r="1550" spans="1:7">
      <c r="A1550" s="33" t="s">
        <v>818</v>
      </c>
      <c r="B1550" s="33" t="s">
        <v>77</v>
      </c>
      <c r="C1550" s="33" t="s">
        <v>60</v>
      </c>
      <c r="D1550" s="36" t="s">
        <v>61</v>
      </c>
      <c r="E1550" s="91">
        <v>47011</v>
      </c>
      <c r="F1550" s="92">
        <v>23550</v>
      </c>
      <c r="G1550" s="92">
        <v>23550</v>
      </c>
    </row>
    <row r="1551" spans="1:7">
      <c r="A1551" s="33" t="s">
        <v>818</v>
      </c>
      <c r="B1551" s="33" t="s">
        <v>77</v>
      </c>
      <c r="C1551" s="33" t="s">
        <v>60</v>
      </c>
      <c r="D1551" s="36" t="s">
        <v>61</v>
      </c>
      <c r="E1551" s="91">
        <v>47192</v>
      </c>
      <c r="F1551" s="92">
        <v>23550</v>
      </c>
      <c r="G1551" s="92">
        <v>23550</v>
      </c>
    </row>
    <row r="1552" spans="1:7">
      <c r="A1552" s="33" t="s">
        <v>818</v>
      </c>
      <c r="B1552" s="33" t="s">
        <v>77</v>
      </c>
      <c r="C1552" s="33" t="s">
        <v>60</v>
      </c>
      <c r="D1552" s="36" t="s">
        <v>61</v>
      </c>
      <c r="E1552" s="91">
        <v>47376</v>
      </c>
      <c r="F1552" s="92">
        <v>23550</v>
      </c>
      <c r="G1552" s="92">
        <v>23550</v>
      </c>
    </row>
    <row r="1553" spans="1:7">
      <c r="A1553" s="33" t="s">
        <v>818</v>
      </c>
      <c r="B1553" s="33" t="s">
        <v>77</v>
      </c>
      <c r="C1553" s="33" t="s">
        <v>60</v>
      </c>
      <c r="D1553" s="36" t="s">
        <v>61</v>
      </c>
      <c r="E1553" s="91">
        <v>47557</v>
      </c>
      <c r="F1553" s="92">
        <v>23550</v>
      </c>
      <c r="G1553" s="92">
        <v>23550</v>
      </c>
    </row>
    <row r="1554" spans="1:7">
      <c r="A1554" s="33" t="s">
        <v>818</v>
      </c>
      <c r="B1554" s="33" t="s">
        <v>77</v>
      </c>
      <c r="C1554" s="33" t="s">
        <v>60</v>
      </c>
      <c r="D1554" s="36" t="s">
        <v>61</v>
      </c>
      <c r="E1554" s="91">
        <v>47741</v>
      </c>
      <c r="F1554" s="92">
        <v>23550</v>
      </c>
      <c r="G1554" s="92">
        <v>23550</v>
      </c>
    </row>
    <row r="1555" spans="1:7">
      <c r="A1555" s="33" t="s">
        <v>818</v>
      </c>
      <c r="B1555" s="33" t="s">
        <v>77</v>
      </c>
      <c r="C1555" s="33" t="s">
        <v>60</v>
      </c>
      <c r="D1555" s="36" t="s">
        <v>61</v>
      </c>
      <c r="E1555" s="91">
        <v>47922</v>
      </c>
      <c r="F1555" s="92">
        <v>23550</v>
      </c>
      <c r="G1555" s="92">
        <v>23550</v>
      </c>
    </row>
    <row r="1556" spans="1:7">
      <c r="A1556" s="33" t="s">
        <v>818</v>
      </c>
      <c r="B1556" s="33" t="s">
        <v>77</v>
      </c>
      <c r="C1556" s="33" t="s">
        <v>60</v>
      </c>
      <c r="D1556" s="36" t="s">
        <v>61</v>
      </c>
      <c r="E1556" s="91">
        <v>48106</v>
      </c>
      <c r="F1556" s="92">
        <v>23550</v>
      </c>
      <c r="G1556" s="92">
        <v>23550</v>
      </c>
    </row>
    <row r="1557" spans="1:7">
      <c r="A1557" s="33" t="s">
        <v>818</v>
      </c>
      <c r="B1557" s="33" t="s">
        <v>77</v>
      </c>
      <c r="C1557" s="33" t="s">
        <v>60</v>
      </c>
      <c r="D1557" s="36" t="s">
        <v>61</v>
      </c>
      <c r="E1557" s="91">
        <v>48288</v>
      </c>
      <c r="F1557" s="92">
        <v>23550</v>
      </c>
      <c r="G1557" s="92">
        <v>2023550</v>
      </c>
    </row>
    <row r="1558" spans="1:7">
      <c r="A1558" s="87" t="s">
        <v>401</v>
      </c>
      <c r="B1558" s="87" t="s">
        <v>101</v>
      </c>
      <c r="C1558" s="88" t="s">
        <v>43</v>
      </c>
      <c r="D1558" s="87" t="s">
        <v>61</v>
      </c>
      <c r="E1558" s="89">
        <v>45214</v>
      </c>
      <c r="F1558" s="90">
        <v>20500</v>
      </c>
      <c r="G1558" s="90">
        <v>20500</v>
      </c>
    </row>
    <row r="1559" spans="1:7">
      <c r="A1559" s="33" t="s">
        <v>401</v>
      </c>
      <c r="B1559" s="33" t="s">
        <v>101</v>
      </c>
      <c r="C1559" s="33" t="s">
        <v>60</v>
      </c>
      <c r="D1559" s="36" t="s">
        <v>61</v>
      </c>
      <c r="E1559" s="91">
        <v>45397</v>
      </c>
      <c r="F1559" s="92">
        <v>20500</v>
      </c>
      <c r="G1559" s="92">
        <v>20500</v>
      </c>
    </row>
    <row r="1560" spans="1:7">
      <c r="A1560" s="33" t="s">
        <v>401</v>
      </c>
      <c r="B1560" s="33" t="s">
        <v>101</v>
      </c>
      <c r="C1560" s="33" t="s">
        <v>60</v>
      </c>
      <c r="D1560" s="36" t="s">
        <v>61</v>
      </c>
      <c r="E1560" s="91">
        <v>45580</v>
      </c>
      <c r="F1560" s="92">
        <v>20500</v>
      </c>
      <c r="G1560" s="92">
        <v>20500</v>
      </c>
    </row>
    <row r="1561" spans="1:7">
      <c r="A1561" s="33" t="s">
        <v>401</v>
      </c>
      <c r="B1561" s="33" t="s">
        <v>101</v>
      </c>
      <c r="C1561" s="33" t="s">
        <v>60</v>
      </c>
      <c r="D1561" s="36" t="s">
        <v>61</v>
      </c>
      <c r="E1561" s="91">
        <v>45762</v>
      </c>
      <c r="F1561" s="92">
        <v>20500</v>
      </c>
      <c r="G1561" s="92">
        <v>20500</v>
      </c>
    </row>
    <row r="1562" spans="1:7">
      <c r="A1562" s="33" t="s">
        <v>401</v>
      </c>
      <c r="B1562" s="33" t="s">
        <v>101</v>
      </c>
      <c r="C1562" s="33" t="s">
        <v>60</v>
      </c>
      <c r="D1562" s="36" t="s">
        <v>61</v>
      </c>
      <c r="E1562" s="91">
        <v>45945</v>
      </c>
      <c r="F1562" s="92">
        <v>20500</v>
      </c>
      <c r="G1562" s="92">
        <v>20500</v>
      </c>
    </row>
    <row r="1563" spans="1:7">
      <c r="A1563" s="33" t="s">
        <v>401</v>
      </c>
      <c r="B1563" s="33" t="s">
        <v>101</v>
      </c>
      <c r="C1563" s="33" t="s">
        <v>60</v>
      </c>
      <c r="D1563" s="36" t="s">
        <v>61</v>
      </c>
      <c r="E1563" s="91">
        <v>46127</v>
      </c>
      <c r="F1563" s="92">
        <v>20500</v>
      </c>
      <c r="G1563" s="92">
        <v>20500</v>
      </c>
    </row>
    <row r="1564" spans="1:7">
      <c r="A1564" s="33" t="s">
        <v>401</v>
      </c>
      <c r="B1564" s="33" t="s">
        <v>101</v>
      </c>
      <c r="C1564" s="33" t="s">
        <v>60</v>
      </c>
      <c r="D1564" s="36" t="s">
        <v>61</v>
      </c>
      <c r="E1564" s="91">
        <v>46310</v>
      </c>
      <c r="F1564" s="92">
        <v>20500</v>
      </c>
      <c r="G1564" s="92">
        <v>20500</v>
      </c>
    </row>
    <row r="1565" spans="1:7">
      <c r="A1565" s="33" t="s">
        <v>401</v>
      </c>
      <c r="B1565" s="33" t="s">
        <v>101</v>
      </c>
      <c r="C1565" s="33" t="s">
        <v>60</v>
      </c>
      <c r="D1565" s="36" t="s">
        <v>61</v>
      </c>
      <c r="E1565" s="91">
        <v>46492</v>
      </c>
      <c r="F1565" s="92">
        <v>20500</v>
      </c>
      <c r="G1565" s="92">
        <v>20500</v>
      </c>
    </row>
    <row r="1566" spans="1:7">
      <c r="A1566" s="33" t="s">
        <v>401</v>
      </c>
      <c r="B1566" s="33" t="s">
        <v>101</v>
      </c>
      <c r="C1566" s="33" t="s">
        <v>60</v>
      </c>
      <c r="D1566" s="36" t="s">
        <v>61</v>
      </c>
      <c r="E1566" s="91">
        <v>46675</v>
      </c>
      <c r="F1566" s="92">
        <v>20500</v>
      </c>
      <c r="G1566" s="92">
        <v>20500</v>
      </c>
    </row>
    <row r="1567" spans="1:7">
      <c r="A1567" s="33" t="s">
        <v>401</v>
      </c>
      <c r="B1567" s="33" t="s">
        <v>101</v>
      </c>
      <c r="C1567" s="33" t="s">
        <v>60</v>
      </c>
      <c r="D1567" s="36" t="s">
        <v>61</v>
      </c>
      <c r="E1567" s="91">
        <v>46858</v>
      </c>
      <c r="F1567" s="92">
        <v>20500</v>
      </c>
      <c r="G1567" s="92">
        <v>20500</v>
      </c>
    </row>
    <row r="1568" spans="1:7">
      <c r="A1568" s="33" t="s">
        <v>401</v>
      </c>
      <c r="B1568" s="33" t="s">
        <v>101</v>
      </c>
      <c r="C1568" s="33" t="s">
        <v>60</v>
      </c>
      <c r="D1568" s="36" t="s">
        <v>61</v>
      </c>
      <c r="E1568" s="91">
        <v>47041</v>
      </c>
      <c r="F1568" s="92">
        <v>20500</v>
      </c>
      <c r="G1568" s="92">
        <v>20500</v>
      </c>
    </row>
    <row r="1569" spans="1:7">
      <c r="A1569" s="33" t="s">
        <v>401</v>
      </c>
      <c r="B1569" s="33" t="s">
        <v>101</v>
      </c>
      <c r="C1569" s="33" t="s">
        <v>60</v>
      </c>
      <c r="D1569" s="36" t="s">
        <v>61</v>
      </c>
      <c r="E1569" s="91">
        <v>47223</v>
      </c>
      <c r="F1569" s="92">
        <v>20500</v>
      </c>
      <c r="G1569" s="92">
        <v>20500</v>
      </c>
    </row>
    <row r="1570" spans="1:7">
      <c r="A1570" s="33" t="s">
        <v>401</v>
      </c>
      <c r="B1570" s="33" t="s">
        <v>101</v>
      </c>
      <c r="C1570" s="33" t="s">
        <v>60</v>
      </c>
      <c r="D1570" s="36" t="s">
        <v>61</v>
      </c>
      <c r="E1570" s="91">
        <v>47406</v>
      </c>
      <c r="F1570" s="92">
        <v>20500</v>
      </c>
      <c r="G1570" s="92">
        <v>20500</v>
      </c>
    </row>
    <row r="1571" spans="1:7">
      <c r="A1571" s="33" t="s">
        <v>401</v>
      </c>
      <c r="B1571" s="33" t="s">
        <v>101</v>
      </c>
      <c r="C1571" s="33" t="s">
        <v>60</v>
      </c>
      <c r="D1571" s="36" t="s">
        <v>61</v>
      </c>
      <c r="E1571" s="91">
        <v>47588</v>
      </c>
      <c r="F1571" s="94">
        <v>20500</v>
      </c>
      <c r="G1571" s="94">
        <v>2020500</v>
      </c>
    </row>
    <row r="1572" spans="1:7">
      <c r="A1572" s="87" t="s">
        <v>401</v>
      </c>
      <c r="B1572" s="87" t="s">
        <v>77</v>
      </c>
      <c r="C1572" s="88" t="s">
        <v>43</v>
      </c>
      <c r="D1572" s="87" t="s">
        <v>61</v>
      </c>
      <c r="E1572" s="89">
        <v>45214</v>
      </c>
      <c r="F1572" s="90">
        <v>35875</v>
      </c>
      <c r="G1572" s="90">
        <v>35875</v>
      </c>
    </row>
    <row r="1573" spans="1:7">
      <c r="A1573" s="33" t="s">
        <v>401</v>
      </c>
      <c r="B1573" s="33" t="s">
        <v>77</v>
      </c>
      <c r="C1573" s="33" t="s">
        <v>60</v>
      </c>
      <c r="D1573" s="36" t="s">
        <v>61</v>
      </c>
      <c r="E1573" s="91">
        <v>45397</v>
      </c>
      <c r="F1573" s="92">
        <v>35875</v>
      </c>
      <c r="G1573" s="92">
        <v>35875</v>
      </c>
    </row>
    <row r="1574" spans="1:7">
      <c r="A1574" s="33" t="s">
        <v>819</v>
      </c>
      <c r="B1574" s="33" t="s">
        <v>77</v>
      </c>
      <c r="C1574" s="33" t="s">
        <v>60</v>
      </c>
      <c r="D1574" s="36" t="s">
        <v>61</v>
      </c>
      <c r="E1574" s="91">
        <v>45580</v>
      </c>
      <c r="F1574" s="92">
        <v>35875</v>
      </c>
      <c r="G1574" s="92">
        <v>35875</v>
      </c>
    </row>
    <row r="1575" spans="1:7">
      <c r="A1575" s="33" t="s">
        <v>819</v>
      </c>
      <c r="B1575" s="33" t="s">
        <v>77</v>
      </c>
      <c r="C1575" s="33" t="s">
        <v>60</v>
      </c>
      <c r="D1575" s="36" t="s">
        <v>61</v>
      </c>
      <c r="E1575" s="91">
        <v>45762</v>
      </c>
      <c r="F1575" s="92">
        <v>35875</v>
      </c>
      <c r="G1575" s="92">
        <v>35875</v>
      </c>
    </row>
    <row r="1576" spans="1:7">
      <c r="A1576" s="33" t="s">
        <v>819</v>
      </c>
      <c r="B1576" s="33" t="s">
        <v>77</v>
      </c>
      <c r="C1576" s="33" t="s">
        <v>60</v>
      </c>
      <c r="D1576" s="36" t="s">
        <v>61</v>
      </c>
      <c r="E1576" s="91">
        <v>45945</v>
      </c>
      <c r="F1576" s="92">
        <v>35875</v>
      </c>
      <c r="G1576" s="92">
        <v>35875</v>
      </c>
    </row>
    <row r="1577" spans="1:7">
      <c r="A1577" s="33" t="s">
        <v>819</v>
      </c>
      <c r="B1577" s="33" t="s">
        <v>77</v>
      </c>
      <c r="C1577" s="33" t="s">
        <v>60</v>
      </c>
      <c r="D1577" s="36" t="s">
        <v>61</v>
      </c>
      <c r="E1577" s="91">
        <v>46127</v>
      </c>
      <c r="F1577" s="92">
        <v>35875</v>
      </c>
      <c r="G1577" s="92">
        <v>35875</v>
      </c>
    </row>
    <row r="1578" spans="1:7">
      <c r="A1578" s="33" t="s">
        <v>819</v>
      </c>
      <c r="B1578" s="33" t="s">
        <v>77</v>
      </c>
      <c r="C1578" s="33" t="s">
        <v>60</v>
      </c>
      <c r="D1578" s="36" t="s">
        <v>61</v>
      </c>
      <c r="E1578" s="91">
        <v>46310</v>
      </c>
      <c r="F1578" s="92">
        <v>35875</v>
      </c>
      <c r="G1578" s="92">
        <v>35875</v>
      </c>
    </row>
    <row r="1579" spans="1:7">
      <c r="A1579" s="33" t="s">
        <v>819</v>
      </c>
      <c r="B1579" s="33" t="s">
        <v>77</v>
      </c>
      <c r="C1579" s="33" t="s">
        <v>60</v>
      </c>
      <c r="D1579" s="36" t="s">
        <v>61</v>
      </c>
      <c r="E1579" s="91">
        <v>46492</v>
      </c>
      <c r="F1579" s="92">
        <v>35875</v>
      </c>
      <c r="G1579" s="92">
        <v>35875</v>
      </c>
    </row>
    <row r="1580" spans="1:7">
      <c r="A1580" s="33" t="s">
        <v>819</v>
      </c>
      <c r="B1580" s="33" t="s">
        <v>77</v>
      </c>
      <c r="C1580" s="33" t="s">
        <v>60</v>
      </c>
      <c r="D1580" s="36" t="s">
        <v>61</v>
      </c>
      <c r="E1580" s="91">
        <v>46675</v>
      </c>
      <c r="F1580" s="92">
        <v>35875</v>
      </c>
      <c r="G1580" s="92">
        <v>35875</v>
      </c>
    </row>
    <row r="1581" spans="1:7">
      <c r="A1581" s="33" t="s">
        <v>819</v>
      </c>
      <c r="B1581" s="33" t="s">
        <v>77</v>
      </c>
      <c r="C1581" s="33" t="s">
        <v>60</v>
      </c>
      <c r="D1581" s="36" t="s">
        <v>61</v>
      </c>
      <c r="E1581" s="91">
        <v>46858</v>
      </c>
      <c r="F1581" s="92">
        <v>35875</v>
      </c>
      <c r="G1581" s="92">
        <v>35875</v>
      </c>
    </row>
    <row r="1582" spans="1:7">
      <c r="A1582" s="33" t="s">
        <v>819</v>
      </c>
      <c r="B1582" s="33" t="s">
        <v>77</v>
      </c>
      <c r="C1582" s="33" t="s">
        <v>60</v>
      </c>
      <c r="D1582" s="36" t="s">
        <v>61</v>
      </c>
      <c r="E1582" s="91">
        <v>47041</v>
      </c>
      <c r="F1582" s="92">
        <v>35875</v>
      </c>
      <c r="G1582" s="92">
        <v>35875</v>
      </c>
    </row>
    <row r="1583" spans="1:7">
      <c r="A1583" s="33" t="s">
        <v>819</v>
      </c>
      <c r="B1583" s="33" t="s">
        <v>77</v>
      </c>
      <c r="C1583" s="33" t="s">
        <v>60</v>
      </c>
      <c r="D1583" s="36" t="s">
        <v>61</v>
      </c>
      <c r="E1583" s="91">
        <v>47223</v>
      </c>
      <c r="F1583" s="92">
        <v>35875</v>
      </c>
      <c r="G1583" s="92">
        <v>35875</v>
      </c>
    </row>
    <row r="1584" spans="1:7">
      <c r="A1584" s="33" t="s">
        <v>819</v>
      </c>
      <c r="B1584" s="33" t="s">
        <v>77</v>
      </c>
      <c r="C1584" s="33" t="s">
        <v>60</v>
      </c>
      <c r="D1584" s="36" t="s">
        <v>61</v>
      </c>
      <c r="E1584" s="91">
        <v>47406</v>
      </c>
      <c r="F1584" s="92">
        <v>35875</v>
      </c>
      <c r="G1584" s="92">
        <v>35875</v>
      </c>
    </row>
    <row r="1585" spans="1:7">
      <c r="A1585" s="33" t="s">
        <v>819</v>
      </c>
      <c r="B1585" s="33" t="s">
        <v>77</v>
      </c>
      <c r="C1585" s="33" t="s">
        <v>60</v>
      </c>
      <c r="D1585" s="36" t="s">
        <v>61</v>
      </c>
      <c r="E1585" s="91">
        <v>47588</v>
      </c>
      <c r="F1585" s="92">
        <v>35875</v>
      </c>
      <c r="G1585" s="92">
        <v>3535875</v>
      </c>
    </row>
    <row r="1586" spans="1:7">
      <c r="A1586" s="87" t="s">
        <v>173</v>
      </c>
      <c r="B1586" s="87" t="s">
        <v>54</v>
      </c>
      <c r="C1586" s="88" t="s">
        <v>43</v>
      </c>
      <c r="D1586" s="87" t="s">
        <v>61</v>
      </c>
      <c r="E1586" s="89">
        <v>45103</v>
      </c>
      <c r="F1586" s="90">
        <v>74000</v>
      </c>
      <c r="G1586" s="90">
        <v>74000</v>
      </c>
    </row>
    <row r="1587" spans="1:7">
      <c r="A1587" s="33" t="s">
        <v>173</v>
      </c>
      <c r="B1587" s="33" t="s">
        <v>54</v>
      </c>
      <c r="C1587" s="48" t="s">
        <v>43</v>
      </c>
      <c r="D1587" s="33" t="s">
        <v>61</v>
      </c>
      <c r="E1587" s="91">
        <v>45286</v>
      </c>
      <c r="F1587" s="92">
        <v>74000</v>
      </c>
      <c r="G1587" s="92">
        <v>74000</v>
      </c>
    </row>
    <row r="1588" spans="1:7">
      <c r="A1588" s="33" t="s">
        <v>173</v>
      </c>
      <c r="B1588" s="33" t="s">
        <v>54</v>
      </c>
      <c r="C1588" s="48" t="s">
        <v>43</v>
      </c>
      <c r="D1588" s="33" t="s">
        <v>61</v>
      </c>
      <c r="E1588" s="91">
        <v>45469</v>
      </c>
      <c r="F1588" s="92">
        <v>74000</v>
      </c>
      <c r="G1588" s="92">
        <v>74000</v>
      </c>
    </row>
    <row r="1589" spans="1:7">
      <c r="A1589" s="33" t="s">
        <v>173</v>
      </c>
      <c r="B1589" s="33" t="s">
        <v>54</v>
      </c>
      <c r="C1589" s="48" t="s">
        <v>43</v>
      </c>
      <c r="D1589" s="33" t="s">
        <v>61</v>
      </c>
      <c r="E1589" s="91">
        <v>45652</v>
      </c>
      <c r="F1589" s="92">
        <v>74000</v>
      </c>
      <c r="G1589" s="92">
        <v>74000</v>
      </c>
    </row>
    <row r="1590" spans="1:7">
      <c r="A1590" s="33" t="s">
        <v>173</v>
      </c>
      <c r="B1590" s="33" t="s">
        <v>54</v>
      </c>
      <c r="C1590" s="48" t="s">
        <v>43</v>
      </c>
      <c r="D1590" s="33" t="s">
        <v>61</v>
      </c>
      <c r="E1590" s="91">
        <v>45834</v>
      </c>
      <c r="F1590" s="92">
        <v>74000</v>
      </c>
      <c r="G1590" s="92">
        <v>74000</v>
      </c>
    </row>
    <row r="1591" spans="1:7">
      <c r="A1591" s="33" t="s">
        <v>173</v>
      </c>
      <c r="B1591" s="33" t="s">
        <v>54</v>
      </c>
      <c r="C1591" s="48" t="s">
        <v>43</v>
      </c>
      <c r="D1591" s="33" t="s">
        <v>61</v>
      </c>
      <c r="E1591" s="91">
        <v>46017</v>
      </c>
      <c r="F1591" s="92">
        <v>74000</v>
      </c>
      <c r="G1591" s="92">
        <v>74000</v>
      </c>
    </row>
    <row r="1592" spans="1:7">
      <c r="A1592" s="33" t="s">
        <v>173</v>
      </c>
      <c r="B1592" s="33" t="s">
        <v>54</v>
      </c>
      <c r="C1592" s="48" t="s">
        <v>43</v>
      </c>
      <c r="D1592" s="33" t="s">
        <v>61</v>
      </c>
      <c r="E1592" s="91">
        <v>46199</v>
      </c>
      <c r="F1592" s="92">
        <v>74000</v>
      </c>
      <c r="G1592" s="92">
        <v>74000</v>
      </c>
    </row>
    <row r="1593" spans="1:7">
      <c r="A1593" s="33" t="s">
        <v>173</v>
      </c>
      <c r="B1593" s="33" t="s">
        <v>54</v>
      </c>
      <c r="C1593" s="48" t="s">
        <v>43</v>
      </c>
      <c r="D1593" s="33" t="s">
        <v>61</v>
      </c>
      <c r="E1593" s="91">
        <v>46382</v>
      </c>
      <c r="F1593" s="92">
        <v>74000</v>
      </c>
      <c r="G1593" s="92">
        <v>74000</v>
      </c>
    </row>
    <row r="1594" spans="1:7">
      <c r="A1594" s="33" t="s">
        <v>173</v>
      </c>
      <c r="B1594" s="33" t="s">
        <v>54</v>
      </c>
      <c r="C1594" s="48" t="s">
        <v>43</v>
      </c>
      <c r="D1594" s="33" t="s">
        <v>61</v>
      </c>
      <c r="E1594" s="91">
        <v>46564</v>
      </c>
      <c r="F1594" s="92">
        <v>74000</v>
      </c>
      <c r="G1594" s="92">
        <v>74000</v>
      </c>
    </row>
    <row r="1595" spans="1:7">
      <c r="A1595" s="33" t="s">
        <v>173</v>
      </c>
      <c r="B1595" s="33" t="s">
        <v>54</v>
      </c>
      <c r="C1595" s="48" t="s">
        <v>43</v>
      </c>
      <c r="D1595" s="33" t="s">
        <v>61</v>
      </c>
      <c r="E1595" s="91">
        <v>46747</v>
      </c>
      <c r="F1595" s="92">
        <v>74000</v>
      </c>
      <c r="G1595" s="92">
        <v>74000</v>
      </c>
    </row>
    <row r="1596" spans="1:7">
      <c r="A1596" s="33" t="s">
        <v>173</v>
      </c>
      <c r="B1596" s="33" t="s">
        <v>54</v>
      </c>
      <c r="C1596" s="48" t="s">
        <v>43</v>
      </c>
      <c r="D1596" s="33" t="s">
        <v>61</v>
      </c>
      <c r="E1596" s="91">
        <v>46930</v>
      </c>
      <c r="F1596" s="92">
        <v>74000</v>
      </c>
      <c r="G1596" s="92">
        <v>4074000</v>
      </c>
    </row>
    <row r="1597" spans="1:7">
      <c r="A1597" s="87" t="s">
        <v>405</v>
      </c>
      <c r="B1597" s="87" t="s">
        <v>77</v>
      </c>
      <c r="C1597" s="88" t="s">
        <v>43</v>
      </c>
      <c r="D1597" s="87" t="s">
        <v>61</v>
      </c>
      <c r="E1597" s="89">
        <v>45214</v>
      </c>
      <c r="F1597" s="90">
        <v>20000</v>
      </c>
      <c r="G1597" s="90">
        <v>20000</v>
      </c>
    </row>
    <row r="1598" spans="1:7">
      <c r="A1598" s="33" t="s">
        <v>405</v>
      </c>
      <c r="B1598" s="33" t="s">
        <v>77</v>
      </c>
      <c r="C1598" s="48" t="s">
        <v>43</v>
      </c>
      <c r="D1598" s="33" t="s">
        <v>61</v>
      </c>
      <c r="E1598" s="91">
        <v>45397</v>
      </c>
      <c r="F1598" s="92">
        <v>20000</v>
      </c>
      <c r="G1598" s="92">
        <v>20000</v>
      </c>
    </row>
    <row r="1599" spans="1:7">
      <c r="A1599" s="33" t="s">
        <v>405</v>
      </c>
      <c r="B1599" s="33" t="s">
        <v>77</v>
      </c>
      <c r="C1599" s="48" t="s">
        <v>43</v>
      </c>
      <c r="D1599" s="33" t="s">
        <v>61</v>
      </c>
      <c r="E1599" s="91">
        <v>45580</v>
      </c>
      <c r="F1599" s="92">
        <v>20000</v>
      </c>
      <c r="G1599" s="92">
        <v>20000</v>
      </c>
    </row>
    <row r="1600" spans="1:7">
      <c r="A1600" s="33" t="s">
        <v>405</v>
      </c>
      <c r="B1600" s="33" t="s">
        <v>77</v>
      </c>
      <c r="C1600" s="48" t="s">
        <v>43</v>
      </c>
      <c r="D1600" s="33" t="s">
        <v>61</v>
      </c>
      <c r="E1600" s="91">
        <v>45762</v>
      </c>
      <c r="F1600" s="92">
        <v>20000</v>
      </c>
      <c r="G1600" s="92">
        <v>20000</v>
      </c>
    </row>
    <row r="1601" spans="1:7">
      <c r="A1601" s="33" t="s">
        <v>405</v>
      </c>
      <c r="B1601" s="33" t="s">
        <v>77</v>
      </c>
      <c r="C1601" s="48" t="s">
        <v>43</v>
      </c>
      <c r="D1601" s="33" t="s">
        <v>61</v>
      </c>
      <c r="E1601" s="91">
        <v>45945</v>
      </c>
      <c r="F1601" s="92">
        <v>20000</v>
      </c>
      <c r="G1601" s="92">
        <v>20000</v>
      </c>
    </row>
    <row r="1602" spans="1:7">
      <c r="A1602" s="33" t="s">
        <v>405</v>
      </c>
      <c r="B1602" s="33" t="s">
        <v>77</v>
      </c>
      <c r="C1602" s="48" t="s">
        <v>43</v>
      </c>
      <c r="D1602" s="33" t="s">
        <v>61</v>
      </c>
      <c r="E1602" s="91">
        <v>46127</v>
      </c>
      <c r="F1602" s="92">
        <v>20000</v>
      </c>
      <c r="G1602" s="92">
        <v>20000</v>
      </c>
    </row>
    <row r="1603" spans="1:7">
      <c r="A1603" s="33" t="s">
        <v>405</v>
      </c>
      <c r="B1603" s="33" t="s">
        <v>77</v>
      </c>
      <c r="C1603" s="48" t="s">
        <v>43</v>
      </c>
      <c r="D1603" s="33" t="s">
        <v>61</v>
      </c>
      <c r="E1603" s="91">
        <v>46310</v>
      </c>
      <c r="F1603" s="92">
        <v>20000</v>
      </c>
      <c r="G1603" s="92">
        <v>20000</v>
      </c>
    </row>
    <row r="1604" spans="1:7">
      <c r="A1604" s="33" t="s">
        <v>405</v>
      </c>
      <c r="B1604" s="33" t="s">
        <v>77</v>
      </c>
      <c r="C1604" s="48" t="s">
        <v>43</v>
      </c>
      <c r="D1604" s="33" t="s">
        <v>61</v>
      </c>
      <c r="E1604" s="91">
        <v>46492</v>
      </c>
      <c r="F1604" s="92">
        <v>20000</v>
      </c>
      <c r="G1604" s="92">
        <v>20000</v>
      </c>
    </row>
    <row r="1605" spans="1:7">
      <c r="A1605" s="33" t="s">
        <v>405</v>
      </c>
      <c r="B1605" s="33" t="s">
        <v>77</v>
      </c>
      <c r="C1605" s="48" t="s">
        <v>43</v>
      </c>
      <c r="D1605" s="33" t="s">
        <v>61</v>
      </c>
      <c r="E1605" s="91">
        <v>46675</v>
      </c>
      <c r="F1605" s="92">
        <v>20000</v>
      </c>
      <c r="G1605" s="92">
        <v>20000</v>
      </c>
    </row>
    <row r="1606" spans="1:7">
      <c r="A1606" s="33" t="s">
        <v>405</v>
      </c>
      <c r="B1606" s="33" t="s">
        <v>77</v>
      </c>
      <c r="C1606" s="48" t="s">
        <v>43</v>
      </c>
      <c r="D1606" s="33" t="s">
        <v>61</v>
      </c>
      <c r="E1606" s="91">
        <v>46858</v>
      </c>
      <c r="F1606" s="92">
        <v>20000</v>
      </c>
      <c r="G1606" s="92">
        <v>20000</v>
      </c>
    </row>
    <row r="1607" spans="1:7">
      <c r="A1607" s="33" t="s">
        <v>405</v>
      </c>
      <c r="B1607" s="33" t="s">
        <v>77</v>
      </c>
      <c r="C1607" s="48" t="s">
        <v>43</v>
      </c>
      <c r="D1607" s="33" t="s">
        <v>61</v>
      </c>
      <c r="E1607" s="91">
        <v>47041</v>
      </c>
      <c r="F1607" s="92">
        <v>20000</v>
      </c>
      <c r="G1607" s="92">
        <v>20000</v>
      </c>
    </row>
    <row r="1608" spans="1:7">
      <c r="A1608" s="33" t="s">
        <v>405</v>
      </c>
      <c r="B1608" s="33" t="s">
        <v>77</v>
      </c>
      <c r="C1608" s="48" t="s">
        <v>43</v>
      </c>
      <c r="D1608" s="33" t="s">
        <v>61</v>
      </c>
      <c r="E1608" s="91">
        <v>47223</v>
      </c>
      <c r="F1608" s="92">
        <v>20000</v>
      </c>
      <c r="G1608" s="92">
        <v>20000</v>
      </c>
    </row>
    <row r="1609" spans="1:7">
      <c r="A1609" s="33" t="s">
        <v>405</v>
      </c>
      <c r="B1609" s="33" t="s">
        <v>77</v>
      </c>
      <c r="C1609" s="48" t="s">
        <v>43</v>
      </c>
      <c r="D1609" s="33" t="s">
        <v>61</v>
      </c>
      <c r="E1609" s="91">
        <v>47406</v>
      </c>
      <c r="F1609" s="92">
        <v>20000</v>
      </c>
      <c r="G1609" s="92">
        <v>20000</v>
      </c>
    </row>
    <row r="1610" spans="1:7">
      <c r="A1610" s="33" t="s">
        <v>405</v>
      </c>
      <c r="B1610" s="33" t="s">
        <v>77</v>
      </c>
      <c r="C1610" s="48" t="s">
        <v>43</v>
      </c>
      <c r="D1610" s="33" t="s">
        <v>61</v>
      </c>
      <c r="E1610" s="91">
        <v>47588</v>
      </c>
      <c r="F1610" s="92">
        <v>20000</v>
      </c>
      <c r="G1610" s="92">
        <v>1020000</v>
      </c>
    </row>
    <row r="1611" spans="1:7">
      <c r="A1611" s="87" t="s">
        <v>143</v>
      </c>
      <c r="B1611" s="87" t="s">
        <v>54</v>
      </c>
      <c r="C1611" s="88" t="s">
        <v>67</v>
      </c>
      <c r="D1611" s="87" t="s">
        <v>61</v>
      </c>
      <c r="E1611" s="89">
        <v>45337</v>
      </c>
      <c r="F1611" s="90">
        <v>112746</v>
      </c>
      <c r="G1611" s="90">
        <v>112746</v>
      </c>
    </row>
    <row r="1612" spans="1:7">
      <c r="A1612" s="33" t="s">
        <v>143</v>
      </c>
      <c r="B1612" s="33" t="s">
        <v>54</v>
      </c>
      <c r="C1612" s="48" t="s">
        <v>67</v>
      </c>
      <c r="D1612" s="33" t="s">
        <v>61</v>
      </c>
      <c r="E1612" s="93">
        <v>45519</v>
      </c>
      <c r="F1612" s="94">
        <v>112746</v>
      </c>
      <c r="G1612" s="94">
        <v>112746</v>
      </c>
    </row>
    <row r="1613" spans="1:7">
      <c r="A1613" s="33" t="s">
        <v>820</v>
      </c>
      <c r="B1613" s="33" t="s">
        <v>54</v>
      </c>
      <c r="C1613" s="48" t="s">
        <v>67</v>
      </c>
      <c r="D1613" s="33" t="s">
        <v>61</v>
      </c>
      <c r="E1613" s="91">
        <v>45703</v>
      </c>
      <c r="F1613" s="94">
        <v>112746</v>
      </c>
      <c r="G1613" s="94">
        <v>112746</v>
      </c>
    </row>
    <row r="1614" spans="1:7">
      <c r="A1614" s="33" t="s">
        <v>820</v>
      </c>
      <c r="B1614" s="33" t="s">
        <v>54</v>
      </c>
      <c r="C1614" s="48" t="s">
        <v>67</v>
      </c>
      <c r="D1614" s="33" t="s">
        <v>61</v>
      </c>
      <c r="E1614" s="93">
        <v>45884</v>
      </c>
      <c r="F1614" s="94">
        <v>112746</v>
      </c>
      <c r="G1614" s="94">
        <v>112746</v>
      </c>
    </row>
    <row r="1615" spans="1:7">
      <c r="A1615" s="33" t="s">
        <v>820</v>
      </c>
      <c r="B1615" s="33" t="s">
        <v>54</v>
      </c>
      <c r="C1615" s="48" t="s">
        <v>67</v>
      </c>
      <c r="D1615" s="33" t="s">
        <v>61</v>
      </c>
      <c r="E1615" s="91">
        <v>46068</v>
      </c>
      <c r="F1615" s="94">
        <v>112746</v>
      </c>
      <c r="G1615" s="94">
        <v>112746</v>
      </c>
    </row>
    <row r="1616" spans="1:7">
      <c r="A1616" s="33" t="s">
        <v>820</v>
      </c>
      <c r="B1616" s="33" t="s">
        <v>54</v>
      </c>
      <c r="C1616" s="48" t="s">
        <v>67</v>
      </c>
      <c r="D1616" s="33" t="s">
        <v>61</v>
      </c>
      <c r="E1616" s="93">
        <v>46249</v>
      </c>
      <c r="F1616" s="94">
        <v>112746</v>
      </c>
      <c r="G1616" s="94">
        <v>112746</v>
      </c>
    </row>
    <row r="1617" spans="1:7">
      <c r="A1617" s="33" t="s">
        <v>820</v>
      </c>
      <c r="B1617" s="33" t="s">
        <v>54</v>
      </c>
      <c r="C1617" s="48" t="s">
        <v>67</v>
      </c>
      <c r="D1617" s="33" t="s">
        <v>61</v>
      </c>
      <c r="E1617" s="91">
        <v>46433</v>
      </c>
      <c r="F1617" s="94">
        <v>112746</v>
      </c>
      <c r="G1617" s="94">
        <v>112746</v>
      </c>
    </row>
    <row r="1618" spans="1:7">
      <c r="A1618" s="33" t="s">
        <v>820</v>
      </c>
      <c r="B1618" s="33" t="s">
        <v>54</v>
      </c>
      <c r="C1618" s="48" t="s">
        <v>67</v>
      </c>
      <c r="D1618" s="33" t="s">
        <v>61</v>
      </c>
      <c r="E1618" s="93">
        <v>46614</v>
      </c>
      <c r="F1618" s="94">
        <v>112746</v>
      </c>
      <c r="G1618" s="94">
        <v>112746</v>
      </c>
    </row>
    <row r="1619" spans="1:7">
      <c r="A1619" s="33" t="s">
        <v>820</v>
      </c>
      <c r="B1619" s="33" t="s">
        <v>54</v>
      </c>
      <c r="C1619" s="48" t="s">
        <v>67</v>
      </c>
      <c r="D1619" s="33" t="s">
        <v>61</v>
      </c>
      <c r="E1619" s="91">
        <v>46798</v>
      </c>
      <c r="F1619" s="94">
        <v>112746</v>
      </c>
      <c r="G1619" s="94">
        <v>4712746</v>
      </c>
    </row>
    <row r="1620" spans="1:7">
      <c r="A1620" s="87" t="s">
        <v>143</v>
      </c>
      <c r="B1620" s="87" t="s">
        <v>54</v>
      </c>
      <c r="C1620" s="88" t="s">
        <v>67</v>
      </c>
      <c r="D1620" s="87" t="s">
        <v>61</v>
      </c>
      <c r="E1620" s="89">
        <v>45337</v>
      </c>
      <c r="F1620" s="90">
        <v>34314</v>
      </c>
      <c r="G1620" s="90">
        <v>34314</v>
      </c>
    </row>
    <row r="1621" spans="1:7">
      <c r="A1621" s="33" t="s">
        <v>143</v>
      </c>
      <c r="B1621" s="33" t="s">
        <v>54</v>
      </c>
      <c r="C1621" s="48" t="s">
        <v>67</v>
      </c>
      <c r="D1621" s="33" t="s">
        <v>61</v>
      </c>
      <c r="E1621" s="93">
        <v>45519</v>
      </c>
      <c r="F1621" s="94">
        <v>34314</v>
      </c>
      <c r="G1621" s="94">
        <v>34314</v>
      </c>
    </row>
    <row r="1622" spans="1:7">
      <c r="A1622" s="33" t="s">
        <v>143</v>
      </c>
      <c r="B1622" s="33" t="s">
        <v>54</v>
      </c>
      <c r="C1622" s="48" t="s">
        <v>67</v>
      </c>
      <c r="D1622" s="33" t="s">
        <v>61</v>
      </c>
      <c r="E1622" s="91">
        <v>45703</v>
      </c>
      <c r="F1622" s="94">
        <v>34314</v>
      </c>
      <c r="G1622" s="94">
        <v>34314</v>
      </c>
    </row>
    <row r="1623" spans="1:7">
      <c r="A1623" s="33" t="s">
        <v>820</v>
      </c>
      <c r="B1623" s="33" t="s">
        <v>54</v>
      </c>
      <c r="C1623" s="48" t="s">
        <v>67</v>
      </c>
      <c r="D1623" s="33" t="s">
        <v>61</v>
      </c>
      <c r="E1623" s="93">
        <v>45884</v>
      </c>
      <c r="F1623" s="94">
        <v>34314</v>
      </c>
      <c r="G1623" s="94">
        <v>34314</v>
      </c>
    </row>
    <row r="1624" spans="1:7">
      <c r="A1624" s="33" t="s">
        <v>820</v>
      </c>
      <c r="B1624" s="33" t="s">
        <v>54</v>
      </c>
      <c r="C1624" s="48" t="s">
        <v>67</v>
      </c>
      <c r="D1624" s="33" t="s">
        <v>61</v>
      </c>
      <c r="E1624" s="91">
        <v>46068</v>
      </c>
      <c r="F1624" s="94">
        <v>34314</v>
      </c>
      <c r="G1624" s="94">
        <v>34314</v>
      </c>
    </row>
    <row r="1625" spans="1:7">
      <c r="A1625" s="33" t="s">
        <v>820</v>
      </c>
      <c r="B1625" s="33" t="s">
        <v>54</v>
      </c>
      <c r="C1625" s="48" t="s">
        <v>67</v>
      </c>
      <c r="D1625" s="33" t="s">
        <v>61</v>
      </c>
      <c r="E1625" s="93">
        <v>46249</v>
      </c>
      <c r="F1625" s="94">
        <v>34314</v>
      </c>
      <c r="G1625" s="94">
        <v>34314</v>
      </c>
    </row>
    <row r="1626" spans="1:7">
      <c r="A1626" s="33" t="s">
        <v>820</v>
      </c>
      <c r="B1626" s="33" t="s">
        <v>54</v>
      </c>
      <c r="C1626" s="48" t="s">
        <v>67</v>
      </c>
      <c r="D1626" s="33" t="s">
        <v>61</v>
      </c>
      <c r="E1626" s="91">
        <v>46433</v>
      </c>
      <c r="F1626" s="94">
        <v>34314</v>
      </c>
      <c r="G1626" s="94">
        <v>34314</v>
      </c>
    </row>
    <row r="1627" spans="1:7">
      <c r="A1627" s="33" t="s">
        <v>820</v>
      </c>
      <c r="B1627" s="33" t="s">
        <v>54</v>
      </c>
      <c r="C1627" s="48" t="s">
        <v>67</v>
      </c>
      <c r="D1627" s="33" t="s">
        <v>61</v>
      </c>
      <c r="E1627" s="93">
        <v>46614</v>
      </c>
      <c r="F1627" s="94">
        <v>34314</v>
      </c>
      <c r="G1627" s="94">
        <v>34314</v>
      </c>
    </row>
    <row r="1628" spans="1:7">
      <c r="A1628" s="33" t="s">
        <v>820</v>
      </c>
      <c r="B1628" s="33" t="s">
        <v>54</v>
      </c>
      <c r="C1628" s="48" t="s">
        <v>67</v>
      </c>
      <c r="D1628" s="33" t="s">
        <v>61</v>
      </c>
      <c r="E1628" s="91">
        <v>46798</v>
      </c>
      <c r="F1628" s="92">
        <v>34314</v>
      </c>
      <c r="G1628" s="92">
        <v>1434314</v>
      </c>
    </row>
    <row r="1629" spans="1:7">
      <c r="A1629" s="87" t="s">
        <v>143</v>
      </c>
      <c r="B1629" s="87" t="s">
        <v>91</v>
      </c>
      <c r="C1629" s="88" t="s">
        <v>67</v>
      </c>
      <c r="D1629" s="87" t="s">
        <v>61</v>
      </c>
      <c r="E1629" s="89">
        <v>45337</v>
      </c>
      <c r="F1629" s="90">
        <v>3823.56</v>
      </c>
      <c r="G1629" s="90">
        <v>3823.56</v>
      </c>
    </row>
    <row r="1630" spans="1:7">
      <c r="A1630" s="33" t="s">
        <v>143</v>
      </c>
      <c r="B1630" s="33" t="s">
        <v>91</v>
      </c>
      <c r="C1630" s="48" t="s">
        <v>67</v>
      </c>
      <c r="D1630" s="33" t="s">
        <v>61</v>
      </c>
      <c r="E1630" s="93">
        <v>45519</v>
      </c>
      <c r="F1630" s="92">
        <v>3823.56</v>
      </c>
      <c r="G1630" s="92">
        <v>3823.56</v>
      </c>
    </row>
    <row r="1631" spans="1:7">
      <c r="A1631" s="33" t="s">
        <v>820</v>
      </c>
      <c r="B1631" s="33" t="s">
        <v>91</v>
      </c>
      <c r="C1631" s="48" t="s">
        <v>67</v>
      </c>
      <c r="D1631" s="33" t="s">
        <v>61</v>
      </c>
      <c r="E1631" s="91">
        <v>45703</v>
      </c>
      <c r="F1631" s="92">
        <v>3823.56</v>
      </c>
      <c r="G1631" s="92">
        <v>3823.56</v>
      </c>
    </row>
    <row r="1632" spans="1:7">
      <c r="A1632" s="33" t="s">
        <v>820</v>
      </c>
      <c r="B1632" s="33" t="s">
        <v>91</v>
      </c>
      <c r="C1632" s="48" t="s">
        <v>67</v>
      </c>
      <c r="D1632" s="33" t="s">
        <v>61</v>
      </c>
      <c r="E1632" s="93">
        <v>45884</v>
      </c>
      <c r="F1632" s="92">
        <v>3823.56</v>
      </c>
      <c r="G1632" s="92">
        <v>3823.56</v>
      </c>
    </row>
    <row r="1633" spans="1:7">
      <c r="A1633" s="33" t="s">
        <v>820</v>
      </c>
      <c r="B1633" s="33" t="s">
        <v>91</v>
      </c>
      <c r="C1633" s="48" t="s">
        <v>67</v>
      </c>
      <c r="D1633" s="33" t="s">
        <v>61</v>
      </c>
      <c r="E1633" s="91">
        <v>46068</v>
      </c>
      <c r="F1633" s="92">
        <v>3823.56</v>
      </c>
      <c r="G1633" s="92">
        <v>3823.56</v>
      </c>
    </row>
    <row r="1634" spans="1:7">
      <c r="A1634" s="33" t="s">
        <v>820</v>
      </c>
      <c r="B1634" s="33" t="s">
        <v>91</v>
      </c>
      <c r="C1634" s="48" t="s">
        <v>67</v>
      </c>
      <c r="D1634" s="33" t="s">
        <v>61</v>
      </c>
      <c r="E1634" s="93">
        <v>46249</v>
      </c>
      <c r="F1634" s="92">
        <v>3823.56</v>
      </c>
      <c r="G1634" s="92">
        <v>3823.56</v>
      </c>
    </row>
    <row r="1635" spans="1:7">
      <c r="A1635" s="33" t="s">
        <v>820</v>
      </c>
      <c r="B1635" s="33" t="s">
        <v>91</v>
      </c>
      <c r="C1635" s="48" t="s">
        <v>67</v>
      </c>
      <c r="D1635" s="33" t="s">
        <v>61</v>
      </c>
      <c r="E1635" s="91">
        <v>46433</v>
      </c>
      <c r="F1635" s="92">
        <v>3823.56</v>
      </c>
      <c r="G1635" s="92">
        <v>3823.56</v>
      </c>
    </row>
    <row r="1636" spans="1:7">
      <c r="A1636" s="33" t="s">
        <v>820</v>
      </c>
      <c r="B1636" s="33" t="s">
        <v>91</v>
      </c>
      <c r="C1636" s="48" t="s">
        <v>67</v>
      </c>
      <c r="D1636" s="33" t="s">
        <v>61</v>
      </c>
      <c r="E1636" s="93">
        <v>46614</v>
      </c>
      <c r="F1636" s="92">
        <v>3823.56</v>
      </c>
      <c r="G1636" s="92">
        <v>3823.56</v>
      </c>
    </row>
    <row r="1637" spans="1:7">
      <c r="A1637" s="33" t="s">
        <v>820</v>
      </c>
      <c r="B1637" s="33" t="s">
        <v>91</v>
      </c>
      <c r="C1637" s="48" t="s">
        <v>67</v>
      </c>
      <c r="D1637" s="33" t="s">
        <v>61</v>
      </c>
      <c r="E1637" s="91">
        <v>46798</v>
      </c>
      <c r="F1637" s="92">
        <v>3823.56</v>
      </c>
      <c r="G1637" s="92">
        <v>159823.56</v>
      </c>
    </row>
    <row r="1638" spans="1:7">
      <c r="A1638" s="87" t="s">
        <v>245</v>
      </c>
      <c r="B1638" s="87" t="s">
        <v>223</v>
      </c>
      <c r="C1638" s="88" t="s">
        <v>67</v>
      </c>
      <c r="D1638" s="87" t="s">
        <v>61</v>
      </c>
      <c r="E1638" s="89">
        <v>45532</v>
      </c>
      <c r="F1638" s="90">
        <v>77925</v>
      </c>
      <c r="G1638" s="90">
        <v>77925</v>
      </c>
    </row>
    <row r="1639" spans="1:7">
      <c r="A1639" s="33" t="s">
        <v>245</v>
      </c>
      <c r="B1639" s="33" t="s">
        <v>223</v>
      </c>
      <c r="C1639" s="48" t="s">
        <v>67</v>
      </c>
      <c r="D1639" s="33" t="s">
        <v>61</v>
      </c>
      <c r="E1639" s="93">
        <v>45716</v>
      </c>
      <c r="F1639" s="94">
        <v>77925</v>
      </c>
      <c r="G1639" s="94">
        <v>77925</v>
      </c>
    </row>
    <row r="1640" spans="1:7">
      <c r="A1640" s="33" t="s">
        <v>821</v>
      </c>
      <c r="B1640" s="33" t="s">
        <v>223</v>
      </c>
      <c r="C1640" s="48" t="s">
        <v>67</v>
      </c>
      <c r="D1640" s="33" t="s">
        <v>61</v>
      </c>
      <c r="E1640" s="93">
        <v>45897</v>
      </c>
      <c r="F1640" s="94">
        <v>77925</v>
      </c>
      <c r="G1640" s="94">
        <v>77925</v>
      </c>
    </row>
    <row r="1641" spans="1:7">
      <c r="A1641" s="33" t="s">
        <v>821</v>
      </c>
      <c r="B1641" s="33" t="s">
        <v>223</v>
      </c>
      <c r="C1641" s="48" t="s">
        <v>67</v>
      </c>
      <c r="D1641" s="33" t="s">
        <v>61</v>
      </c>
      <c r="E1641" s="93">
        <v>46081</v>
      </c>
      <c r="F1641" s="94">
        <v>77925</v>
      </c>
      <c r="G1641" s="94">
        <v>77925</v>
      </c>
    </row>
    <row r="1642" spans="1:7">
      <c r="A1642" s="33" t="s">
        <v>821</v>
      </c>
      <c r="B1642" s="33" t="s">
        <v>223</v>
      </c>
      <c r="C1642" s="48" t="s">
        <v>67</v>
      </c>
      <c r="D1642" s="33" t="s">
        <v>61</v>
      </c>
      <c r="E1642" s="93">
        <v>46262</v>
      </c>
      <c r="F1642" s="94">
        <v>77925</v>
      </c>
      <c r="G1642" s="94">
        <v>77925</v>
      </c>
    </row>
    <row r="1643" spans="1:7">
      <c r="A1643" s="33" t="s">
        <v>821</v>
      </c>
      <c r="B1643" s="33" t="s">
        <v>223</v>
      </c>
      <c r="C1643" s="48" t="s">
        <v>67</v>
      </c>
      <c r="D1643" s="33" t="s">
        <v>61</v>
      </c>
      <c r="E1643" s="93">
        <v>46446</v>
      </c>
      <c r="F1643" s="94">
        <v>77925</v>
      </c>
      <c r="G1643" s="94">
        <v>77925</v>
      </c>
    </row>
    <row r="1644" spans="1:7">
      <c r="A1644" s="33" t="s">
        <v>821</v>
      </c>
      <c r="B1644" s="33" t="s">
        <v>223</v>
      </c>
      <c r="C1644" s="48" t="s">
        <v>67</v>
      </c>
      <c r="D1644" s="33" t="s">
        <v>61</v>
      </c>
      <c r="E1644" s="93">
        <v>46627</v>
      </c>
      <c r="F1644" s="94">
        <v>77925</v>
      </c>
      <c r="G1644" s="94">
        <v>77925</v>
      </c>
    </row>
    <row r="1645" spans="1:7">
      <c r="A1645" s="33" t="s">
        <v>821</v>
      </c>
      <c r="B1645" s="33" t="s">
        <v>223</v>
      </c>
      <c r="C1645" s="48" t="s">
        <v>67</v>
      </c>
      <c r="D1645" s="33" t="s">
        <v>61</v>
      </c>
      <c r="E1645" s="93">
        <v>46811</v>
      </c>
      <c r="F1645" s="94">
        <v>77925</v>
      </c>
      <c r="G1645" s="94">
        <v>77925</v>
      </c>
    </row>
    <row r="1646" spans="1:7">
      <c r="A1646" s="33" t="s">
        <v>821</v>
      </c>
      <c r="B1646" s="33" t="s">
        <v>223</v>
      </c>
      <c r="C1646" s="48" t="s">
        <v>67</v>
      </c>
      <c r="D1646" s="33" t="s">
        <v>61</v>
      </c>
      <c r="E1646" s="93">
        <v>46993</v>
      </c>
      <c r="F1646" s="94">
        <v>77925</v>
      </c>
      <c r="G1646" s="94">
        <v>77925</v>
      </c>
    </row>
    <row r="1647" spans="1:7">
      <c r="A1647" s="33" t="s">
        <v>821</v>
      </c>
      <c r="B1647" s="33" t="s">
        <v>223</v>
      </c>
      <c r="C1647" s="48" t="s">
        <v>67</v>
      </c>
      <c r="D1647" s="33" t="s">
        <v>61</v>
      </c>
      <c r="E1647" s="93">
        <v>47177</v>
      </c>
      <c r="F1647" s="94">
        <v>77925</v>
      </c>
      <c r="G1647" s="94">
        <v>3077925</v>
      </c>
    </row>
    <row r="1648" spans="1:7">
      <c r="A1648" s="87" t="s">
        <v>245</v>
      </c>
      <c r="B1648" s="87" t="s">
        <v>54</v>
      </c>
      <c r="C1648" s="88" t="s">
        <v>67</v>
      </c>
      <c r="D1648" s="87" t="s">
        <v>61</v>
      </c>
      <c r="E1648" s="89">
        <v>45532</v>
      </c>
      <c r="F1648" s="90">
        <v>103900</v>
      </c>
      <c r="G1648" s="90">
        <v>103900</v>
      </c>
    </row>
    <row r="1649" spans="1:7">
      <c r="A1649" s="33" t="s">
        <v>245</v>
      </c>
      <c r="B1649" s="33" t="s">
        <v>54</v>
      </c>
      <c r="C1649" s="33" t="s">
        <v>35</v>
      </c>
      <c r="D1649" s="36" t="s">
        <v>61</v>
      </c>
      <c r="E1649" s="93">
        <v>45716</v>
      </c>
      <c r="F1649" s="92">
        <v>103900</v>
      </c>
      <c r="G1649" s="92">
        <v>103900</v>
      </c>
    </row>
    <row r="1650" spans="1:7">
      <c r="A1650" s="33" t="s">
        <v>821</v>
      </c>
      <c r="B1650" s="33" t="s">
        <v>54</v>
      </c>
      <c r="C1650" s="33" t="s">
        <v>35</v>
      </c>
      <c r="D1650" s="36" t="s">
        <v>61</v>
      </c>
      <c r="E1650" s="93">
        <v>45897</v>
      </c>
      <c r="F1650" s="92">
        <v>103900</v>
      </c>
      <c r="G1650" s="92">
        <v>103900</v>
      </c>
    </row>
    <row r="1651" spans="1:7">
      <c r="A1651" s="33" t="s">
        <v>821</v>
      </c>
      <c r="B1651" s="33" t="s">
        <v>54</v>
      </c>
      <c r="C1651" s="33" t="s">
        <v>35</v>
      </c>
      <c r="D1651" s="36" t="s">
        <v>61</v>
      </c>
      <c r="E1651" s="93">
        <v>46081</v>
      </c>
      <c r="F1651" s="92">
        <v>103900</v>
      </c>
      <c r="G1651" s="92">
        <v>103900</v>
      </c>
    </row>
    <row r="1652" spans="1:7">
      <c r="A1652" s="33" t="s">
        <v>821</v>
      </c>
      <c r="B1652" s="33" t="s">
        <v>54</v>
      </c>
      <c r="C1652" s="33" t="s">
        <v>35</v>
      </c>
      <c r="D1652" s="36" t="s">
        <v>61</v>
      </c>
      <c r="E1652" s="93">
        <v>46262</v>
      </c>
      <c r="F1652" s="92">
        <v>103900</v>
      </c>
      <c r="G1652" s="92">
        <v>103900</v>
      </c>
    </row>
    <row r="1653" spans="1:7">
      <c r="A1653" s="33" t="s">
        <v>821</v>
      </c>
      <c r="B1653" s="33" t="s">
        <v>54</v>
      </c>
      <c r="C1653" s="33" t="s">
        <v>35</v>
      </c>
      <c r="D1653" s="36" t="s">
        <v>61</v>
      </c>
      <c r="E1653" s="93">
        <v>46446</v>
      </c>
      <c r="F1653" s="92">
        <v>103900</v>
      </c>
      <c r="G1653" s="92">
        <v>103900</v>
      </c>
    </row>
    <row r="1654" spans="1:7">
      <c r="A1654" s="33" t="s">
        <v>821</v>
      </c>
      <c r="B1654" s="33" t="s">
        <v>54</v>
      </c>
      <c r="C1654" s="33" t="s">
        <v>35</v>
      </c>
      <c r="D1654" s="36" t="s">
        <v>61</v>
      </c>
      <c r="E1654" s="93">
        <v>46627</v>
      </c>
      <c r="F1654" s="92">
        <v>103900</v>
      </c>
      <c r="G1654" s="92">
        <v>103900</v>
      </c>
    </row>
    <row r="1655" spans="1:7">
      <c r="A1655" s="33" t="s">
        <v>821</v>
      </c>
      <c r="B1655" s="33" t="s">
        <v>54</v>
      </c>
      <c r="C1655" s="33" t="s">
        <v>35</v>
      </c>
      <c r="D1655" s="36" t="s">
        <v>61</v>
      </c>
      <c r="E1655" s="93">
        <v>46811</v>
      </c>
      <c r="F1655" s="92">
        <v>103900</v>
      </c>
      <c r="G1655" s="92">
        <v>103900</v>
      </c>
    </row>
    <row r="1656" spans="1:7">
      <c r="A1656" s="33" t="s">
        <v>821</v>
      </c>
      <c r="B1656" s="33" t="s">
        <v>54</v>
      </c>
      <c r="C1656" s="33" t="s">
        <v>35</v>
      </c>
      <c r="D1656" s="36" t="s">
        <v>61</v>
      </c>
      <c r="E1656" s="93">
        <v>46993</v>
      </c>
      <c r="F1656" s="92">
        <v>103900</v>
      </c>
      <c r="G1656" s="92">
        <v>103900</v>
      </c>
    </row>
    <row r="1657" spans="1:7">
      <c r="A1657" s="33" t="s">
        <v>821</v>
      </c>
      <c r="B1657" s="33" t="s">
        <v>54</v>
      </c>
      <c r="C1657" s="33" t="s">
        <v>35</v>
      </c>
      <c r="D1657" s="36" t="s">
        <v>61</v>
      </c>
      <c r="E1657" s="93">
        <v>47177</v>
      </c>
      <c r="F1657" s="92">
        <v>103900</v>
      </c>
      <c r="G1657" s="92">
        <v>4103900</v>
      </c>
    </row>
    <row r="1658" spans="1:7">
      <c r="A1658" s="87" t="s">
        <v>245</v>
      </c>
      <c r="B1658" s="87" t="s">
        <v>754</v>
      </c>
      <c r="C1658" s="88" t="s">
        <v>67</v>
      </c>
      <c r="D1658" s="87" t="s">
        <v>61</v>
      </c>
      <c r="E1658" s="89">
        <v>45532</v>
      </c>
      <c r="F1658" s="90">
        <v>22078.75</v>
      </c>
      <c r="G1658" s="90">
        <v>22078.75</v>
      </c>
    </row>
    <row r="1659" spans="1:7">
      <c r="A1659" s="33" t="s">
        <v>245</v>
      </c>
      <c r="B1659" s="33" t="s">
        <v>754</v>
      </c>
      <c r="C1659" s="33" t="s">
        <v>35</v>
      </c>
      <c r="D1659" s="36" t="s">
        <v>61</v>
      </c>
      <c r="E1659" s="93">
        <v>45716</v>
      </c>
      <c r="F1659" s="92">
        <v>22078.75</v>
      </c>
      <c r="G1659" s="92">
        <v>22078.75</v>
      </c>
    </row>
    <row r="1660" spans="1:7">
      <c r="A1660" s="33" t="s">
        <v>821</v>
      </c>
      <c r="B1660" s="33" t="s">
        <v>754</v>
      </c>
      <c r="C1660" s="33" t="s">
        <v>35</v>
      </c>
      <c r="D1660" s="36" t="s">
        <v>61</v>
      </c>
      <c r="E1660" s="93">
        <v>45897</v>
      </c>
      <c r="F1660" s="92">
        <v>22078.75</v>
      </c>
      <c r="G1660" s="92">
        <v>22078.75</v>
      </c>
    </row>
    <row r="1661" spans="1:7">
      <c r="A1661" s="33" t="s">
        <v>821</v>
      </c>
      <c r="B1661" s="33" t="s">
        <v>754</v>
      </c>
      <c r="C1661" s="33" t="s">
        <v>35</v>
      </c>
      <c r="D1661" s="36" t="s">
        <v>61</v>
      </c>
      <c r="E1661" s="93">
        <v>46081</v>
      </c>
      <c r="F1661" s="92">
        <v>22078.75</v>
      </c>
      <c r="G1661" s="92">
        <v>22078.75</v>
      </c>
    </row>
    <row r="1662" spans="1:7">
      <c r="A1662" s="33" t="s">
        <v>821</v>
      </c>
      <c r="B1662" s="33" t="s">
        <v>754</v>
      </c>
      <c r="C1662" s="33" t="s">
        <v>35</v>
      </c>
      <c r="D1662" s="36" t="s">
        <v>61</v>
      </c>
      <c r="E1662" s="93">
        <v>46262</v>
      </c>
      <c r="F1662" s="92">
        <v>22078.75</v>
      </c>
      <c r="G1662" s="92">
        <v>22078.75</v>
      </c>
    </row>
    <row r="1663" spans="1:7">
      <c r="A1663" s="33" t="s">
        <v>821</v>
      </c>
      <c r="B1663" s="33" t="s">
        <v>754</v>
      </c>
      <c r="C1663" s="33" t="s">
        <v>35</v>
      </c>
      <c r="D1663" s="36" t="s">
        <v>61</v>
      </c>
      <c r="E1663" s="93">
        <v>46446</v>
      </c>
      <c r="F1663" s="92">
        <v>22078.75</v>
      </c>
      <c r="G1663" s="92">
        <v>22078.75</v>
      </c>
    </row>
    <row r="1664" spans="1:7">
      <c r="A1664" s="33" t="s">
        <v>821</v>
      </c>
      <c r="B1664" s="33" t="s">
        <v>754</v>
      </c>
      <c r="C1664" s="33" t="s">
        <v>35</v>
      </c>
      <c r="D1664" s="36" t="s">
        <v>61</v>
      </c>
      <c r="E1664" s="93">
        <v>46627</v>
      </c>
      <c r="F1664" s="92">
        <v>22078.75</v>
      </c>
      <c r="G1664" s="92">
        <v>22078.75</v>
      </c>
    </row>
    <row r="1665" spans="1:7">
      <c r="A1665" s="33" t="s">
        <v>821</v>
      </c>
      <c r="B1665" s="33" t="s">
        <v>754</v>
      </c>
      <c r="C1665" s="33" t="s">
        <v>35</v>
      </c>
      <c r="D1665" s="36" t="s">
        <v>61</v>
      </c>
      <c r="E1665" s="93">
        <v>46811</v>
      </c>
      <c r="F1665" s="92">
        <v>22078.75</v>
      </c>
      <c r="G1665" s="92">
        <v>22078.75</v>
      </c>
    </row>
    <row r="1666" spans="1:7">
      <c r="A1666" s="33" t="s">
        <v>821</v>
      </c>
      <c r="B1666" s="33" t="s">
        <v>754</v>
      </c>
      <c r="C1666" s="33" t="s">
        <v>35</v>
      </c>
      <c r="D1666" s="36" t="s">
        <v>61</v>
      </c>
      <c r="E1666" s="93">
        <v>46993</v>
      </c>
      <c r="F1666" s="92">
        <v>22078.75</v>
      </c>
      <c r="G1666" s="92">
        <v>22078.75</v>
      </c>
    </row>
    <row r="1667" spans="1:7">
      <c r="A1667" s="33" t="s">
        <v>821</v>
      </c>
      <c r="B1667" s="33" t="s">
        <v>754</v>
      </c>
      <c r="C1667" s="33" t="s">
        <v>35</v>
      </c>
      <c r="D1667" s="36" t="s">
        <v>61</v>
      </c>
      <c r="E1667" s="93">
        <v>47177</v>
      </c>
      <c r="F1667" s="92">
        <v>22078.75</v>
      </c>
      <c r="G1667" s="92">
        <v>872078.75</v>
      </c>
    </row>
    <row r="1668" spans="1:7">
      <c r="A1668" s="87" t="s">
        <v>327</v>
      </c>
      <c r="B1668" s="87" t="s">
        <v>54</v>
      </c>
      <c r="C1668" s="88" t="s">
        <v>43</v>
      </c>
      <c r="D1668" s="87" t="s">
        <v>61</v>
      </c>
      <c r="E1668" s="89">
        <v>45024</v>
      </c>
      <c r="F1668" s="90">
        <v>97500</v>
      </c>
      <c r="G1668" s="90">
        <v>97500</v>
      </c>
    </row>
    <row r="1669" spans="1:7">
      <c r="A1669" s="33" t="s">
        <v>327</v>
      </c>
      <c r="B1669" s="33" t="s">
        <v>54</v>
      </c>
      <c r="C1669" s="33" t="s">
        <v>60</v>
      </c>
      <c r="D1669" s="36" t="s">
        <v>61</v>
      </c>
      <c r="E1669" s="91">
        <v>45238</v>
      </c>
      <c r="F1669" s="92">
        <v>97500</v>
      </c>
      <c r="G1669" s="92">
        <v>97500</v>
      </c>
    </row>
    <row r="1670" spans="1:7">
      <c r="A1670" s="33" t="s">
        <v>327</v>
      </c>
      <c r="B1670" s="33" t="s">
        <v>54</v>
      </c>
      <c r="C1670" s="33" t="s">
        <v>60</v>
      </c>
      <c r="D1670" s="36" t="s">
        <v>61</v>
      </c>
      <c r="E1670" s="91">
        <v>45390</v>
      </c>
      <c r="F1670" s="92">
        <v>97500</v>
      </c>
      <c r="G1670" s="92">
        <v>97500</v>
      </c>
    </row>
    <row r="1671" spans="1:7">
      <c r="A1671" s="33" t="s">
        <v>327</v>
      </c>
      <c r="B1671" s="33" t="s">
        <v>54</v>
      </c>
      <c r="C1671" s="33" t="s">
        <v>60</v>
      </c>
      <c r="D1671" s="36" t="s">
        <v>61</v>
      </c>
      <c r="E1671" s="91">
        <v>45604</v>
      </c>
      <c r="F1671" s="92">
        <v>97500</v>
      </c>
      <c r="G1671" s="92">
        <v>97500</v>
      </c>
    </row>
    <row r="1672" spans="1:7">
      <c r="A1672" s="33" t="s">
        <v>327</v>
      </c>
      <c r="B1672" s="33" t="s">
        <v>54</v>
      </c>
      <c r="C1672" s="33" t="s">
        <v>60</v>
      </c>
      <c r="D1672" s="36" t="s">
        <v>61</v>
      </c>
      <c r="E1672" s="91">
        <v>45755</v>
      </c>
      <c r="F1672" s="92">
        <v>97500</v>
      </c>
      <c r="G1672" s="92">
        <v>97500</v>
      </c>
    </row>
    <row r="1673" spans="1:7">
      <c r="A1673" s="33" t="s">
        <v>327</v>
      </c>
      <c r="B1673" s="33" t="s">
        <v>54</v>
      </c>
      <c r="C1673" s="33" t="s">
        <v>60</v>
      </c>
      <c r="D1673" s="36" t="s">
        <v>61</v>
      </c>
      <c r="E1673" s="91">
        <v>45969</v>
      </c>
      <c r="F1673" s="92">
        <v>97500</v>
      </c>
      <c r="G1673" s="92">
        <v>97500</v>
      </c>
    </row>
    <row r="1674" spans="1:7">
      <c r="A1674" s="33" t="s">
        <v>327</v>
      </c>
      <c r="B1674" s="33" t="s">
        <v>54</v>
      </c>
      <c r="C1674" s="33" t="s">
        <v>60</v>
      </c>
      <c r="D1674" s="36" t="s">
        <v>61</v>
      </c>
      <c r="E1674" s="91">
        <v>46120</v>
      </c>
      <c r="F1674" s="92">
        <v>97500</v>
      </c>
      <c r="G1674" s="92">
        <v>97500</v>
      </c>
    </row>
    <row r="1675" spans="1:7">
      <c r="A1675" s="33" t="s">
        <v>327</v>
      </c>
      <c r="B1675" s="33" t="s">
        <v>54</v>
      </c>
      <c r="C1675" s="33" t="s">
        <v>60</v>
      </c>
      <c r="D1675" s="36" t="s">
        <v>61</v>
      </c>
      <c r="E1675" s="91">
        <v>46334</v>
      </c>
      <c r="F1675" s="92">
        <v>97500</v>
      </c>
      <c r="G1675" s="92">
        <v>97500</v>
      </c>
    </row>
    <row r="1676" spans="1:7">
      <c r="A1676" s="33" t="s">
        <v>327</v>
      </c>
      <c r="B1676" s="33" t="s">
        <v>54</v>
      </c>
      <c r="C1676" s="33" t="s">
        <v>60</v>
      </c>
      <c r="D1676" s="36" t="s">
        <v>61</v>
      </c>
      <c r="E1676" s="91">
        <v>46485</v>
      </c>
      <c r="F1676" s="92">
        <v>97500</v>
      </c>
      <c r="G1676" s="92">
        <v>97500</v>
      </c>
    </row>
    <row r="1677" spans="1:7">
      <c r="A1677" s="33" t="s">
        <v>327</v>
      </c>
      <c r="B1677" s="33" t="s">
        <v>54</v>
      </c>
      <c r="C1677" s="33" t="s">
        <v>60</v>
      </c>
      <c r="D1677" s="36" t="s">
        <v>61</v>
      </c>
      <c r="E1677" s="91">
        <v>46699</v>
      </c>
      <c r="F1677" s="92">
        <v>97500</v>
      </c>
      <c r="G1677" s="92">
        <v>97500</v>
      </c>
    </row>
    <row r="1678" spans="1:7">
      <c r="A1678" s="33" t="s">
        <v>327</v>
      </c>
      <c r="B1678" s="33" t="s">
        <v>54</v>
      </c>
      <c r="C1678" s="33" t="s">
        <v>60</v>
      </c>
      <c r="D1678" s="36" t="s">
        <v>61</v>
      </c>
      <c r="E1678" s="91">
        <v>46851</v>
      </c>
      <c r="F1678" s="92">
        <v>97500</v>
      </c>
      <c r="G1678" s="92">
        <v>97500</v>
      </c>
    </row>
    <row r="1679" spans="1:7">
      <c r="A1679" s="33" t="s">
        <v>327</v>
      </c>
      <c r="B1679" s="33" t="s">
        <v>54</v>
      </c>
      <c r="C1679" s="33" t="s">
        <v>60</v>
      </c>
      <c r="D1679" s="36" t="s">
        <v>61</v>
      </c>
      <c r="E1679" s="91">
        <v>47065</v>
      </c>
      <c r="F1679" s="92">
        <v>97500</v>
      </c>
      <c r="G1679" s="92">
        <v>97500</v>
      </c>
    </row>
    <row r="1680" spans="1:7">
      <c r="A1680" s="33" t="s">
        <v>327</v>
      </c>
      <c r="B1680" s="33" t="s">
        <v>54</v>
      </c>
      <c r="C1680" s="33" t="s">
        <v>60</v>
      </c>
      <c r="D1680" s="36" t="s">
        <v>61</v>
      </c>
      <c r="E1680" s="91">
        <v>47216</v>
      </c>
      <c r="F1680" s="92">
        <v>97500</v>
      </c>
      <c r="G1680" s="92">
        <v>97500</v>
      </c>
    </row>
    <row r="1681" spans="1:7">
      <c r="A1681" s="33" t="s">
        <v>327</v>
      </c>
      <c r="B1681" s="33" t="s">
        <v>54</v>
      </c>
      <c r="C1681" s="33" t="s">
        <v>60</v>
      </c>
      <c r="D1681" s="36" t="s">
        <v>61</v>
      </c>
      <c r="E1681" s="91">
        <v>47430</v>
      </c>
      <c r="F1681" s="92">
        <v>97500</v>
      </c>
      <c r="G1681" s="92">
        <v>6097500</v>
      </c>
    </row>
    <row r="1682" spans="1:7">
      <c r="A1682" s="87" t="s">
        <v>165</v>
      </c>
      <c r="B1682" s="87" t="s">
        <v>77</v>
      </c>
      <c r="C1682" s="88" t="s">
        <v>43</v>
      </c>
      <c r="D1682" s="87" t="s">
        <v>61</v>
      </c>
      <c r="E1682" s="89">
        <v>45220</v>
      </c>
      <c r="F1682" s="90">
        <v>166250</v>
      </c>
      <c r="G1682" s="90">
        <v>166250</v>
      </c>
    </row>
    <row r="1683" spans="1:7">
      <c r="A1683" s="33" t="s">
        <v>165</v>
      </c>
      <c r="B1683" s="33" t="s">
        <v>77</v>
      </c>
      <c r="C1683" s="48" t="s">
        <v>43</v>
      </c>
      <c r="D1683" s="33" t="s">
        <v>61</v>
      </c>
      <c r="E1683" s="91">
        <v>45403</v>
      </c>
      <c r="F1683" s="92">
        <v>166250</v>
      </c>
      <c r="G1683" s="92">
        <v>166250</v>
      </c>
    </row>
    <row r="1684" spans="1:7">
      <c r="A1684" s="33" t="s">
        <v>165</v>
      </c>
      <c r="B1684" s="33" t="s">
        <v>77</v>
      </c>
      <c r="C1684" s="48" t="s">
        <v>43</v>
      </c>
      <c r="D1684" s="33" t="s">
        <v>61</v>
      </c>
      <c r="E1684" s="91">
        <v>45586</v>
      </c>
      <c r="F1684" s="92">
        <v>166250</v>
      </c>
      <c r="G1684" s="92">
        <v>166250</v>
      </c>
    </row>
    <row r="1685" spans="1:7">
      <c r="A1685" s="33" t="s">
        <v>165</v>
      </c>
      <c r="B1685" s="33" t="s">
        <v>77</v>
      </c>
      <c r="C1685" s="48" t="s">
        <v>43</v>
      </c>
      <c r="D1685" s="33" t="s">
        <v>61</v>
      </c>
      <c r="E1685" s="91">
        <v>45768</v>
      </c>
      <c r="F1685" s="92">
        <v>166250</v>
      </c>
      <c r="G1685" s="92">
        <v>166250</v>
      </c>
    </row>
    <row r="1686" spans="1:7">
      <c r="A1686" s="33" t="s">
        <v>165</v>
      </c>
      <c r="B1686" s="33" t="s">
        <v>77</v>
      </c>
      <c r="C1686" s="48" t="s">
        <v>43</v>
      </c>
      <c r="D1686" s="33" t="s">
        <v>61</v>
      </c>
      <c r="E1686" s="91">
        <v>45951</v>
      </c>
      <c r="F1686" s="92">
        <v>166250</v>
      </c>
      <c r="G1686" s="92">
        <v>166250</v>
      </c>
    </row>
    <row r="1687" spans="1:7">
      <c r="A1687" s="33" t="s">
        <v>165</v>
      </c>
      <c r="B1687" s="33" t="s">
        <v>77</v>
      </c>
      <c r="C1687" s="48" t="s">
        <v>43</v>
      </c>
      <c r="D1687" s="33" t="s">
        <v>61</v>
      </c>
      <c r="E1687" s="91">
        <v>46133</v>
      </c>
      <c r="F1687" s="92">
        <v>166250</v>
      </c>
      <c r="G1687" s="92">
        <v>166250</v>
      </c>
    </row>
    <row r="1688" spans="1:7">
      <c r="A1688" s="33" t="s">
        <v>165</v>
      </c>
      <c r="B1688" s="33" t="s">
        <v>77</v>
      </c>
      <c r="C1688" s="48" t="s">
        <v>43</v>
      </c>
      <c r="D1688" s="33" t="s">
        <v>61</v>
      </c>
      <c r="E1688" s="91">
        <v>46316</v>
      </c>
      <c r="F1688" s="92">
        <v>166250</v>
      </c>
      <c r="G1688" s="92">
        <v>166250</v>
      </c>
    </row>
    <row r="1689" spans="1:7">
      <c r="A1689" s="33" t="s">
        <v>165</v>
      </c>
      <c r="B1689" s="33" t="s">
        <v>77</v>
      </c>
      <c r="C1689" s="48" t="s">
        <v>43</v>
      </c>
      <c r="D1689" s="33" t="s">
        <v>61</v>
      </c>
      <c r="E1689" s="91">
        <v>46498</v>
      </c>
      <c r="F1689" s="92">
        <v>166250</v>
      </c>
      <c r="G1689" s="92">
        <v>166250</v>
      </c>
    </row>
    <row r="1690" spans="1:7">
      <c r="A1690" s="33" t="s">
        <v>165</v>
      </c>
      <c r="B1690" s="33" t="s">
        <v>77</v>
      </c>
      <c r="C1690" s="48" t="s">
        <v>43</v>
      </c>
      <c r="D1690" s="33" t="s">
        <v>61</v>
      </c>
      <c r="E1690" s="91">
        <v>46681</v>
      </c>
      <c r="F1690" s="92">
        <v>166250</v>
      </c>
      <c r="G1690" s="92">
        <v>166250</v>
      </c>
    </row>
    <row r="1691" spans="1:7">
      <c r="A1691" s="33" t="s">
        <v>165</v>
      </c>
      <c r="B1691" s="33" t="s">
        <v>77</v>
      </c>
      <c r="C1691" s="48" t="s">
        <v>43</v>
      </c>
      <c r="D1691" s="33" t="s">
        <v>61</v>
      </c>
      <c r="E1691" s="91">
        <v>46864</v>
      </c>
      <c r="F1691" s="92">
        <v>166250</v>
      </c>
      <c r="G1691" s="92">
        <v>7166250</v>
      </c>
    </row>
    <row r="1692" spans="1:7">
      <c r="A1692" s="87" t="s">
        <v>289</v>
      </c>
      <c r="B1692" s="87" t="s">
        <v>77</v>
      </c>
      <c r="C1692" s="88" t="s">
        <v>67</v>
      </c>
      <c r="D1692" s="87" t="s">
        <v>61</v>
      </c>
      <c r="E1692" s="89">
        <v>45613</v>
      </c>
      <c r="F1692" s="90">
        <v>28970.550000000003</v>
      </c>
      <c r="G1692" s="90">
        <v>28970.550000000003</v>
      </c>
    </row>
    <row r="1693" spans="1:7">
      <c r="A1693" s="33" t="s">
        <v>289</v>
      </c>
      <c r="B1693" s="33" t="s">
        <v>77</v>
      </c>
      <c r="C1693" s="33" t="s">
        <v>35</v>
      </c>
      <c r="D1693" s="36" t="s">
        <v>61</v>
      </c>
      <c r="E1693" s="91">
        <v>45794</v>
      </c>
      <c r="F1693" s="92">
        <v>28970.550000000003</v>
      </c>
      <c r="G1693" s="92">
        <v>28970.550000000003</v>
      </c>
    </row>
    <row r="1694" spans="1:7">
      <c r="A1694" s="33" t="s">
        <v>822</v>
      </c>
      <c r="B1694" s="33" t="s">
        <v>77</v>
      </c>
      <c r="C1694" s="33" t="s">
        <v>35</v>
      </c>
      <c r="D1694" s="36" t="s">
        <v>61</v>
      </c>
      <c r="E1694" s="93">
        <v>45978</v>
      </c>
      <c r="F1694" s="94">
        <v>28970.550000000003</v>
      </c>
      <c r="G1694" s="94">
        <v>28970.550000000003</v>
      </c>
    </row>
    <row r="1695" spans="1:7">
      <c r="A1695" s="33" t="s">
        <v>822</v>
      </c>
      <c r="B1695" s="33" t="s">
        <v>77</v>
      </c>
      <c r="C1695" s="33" t="s">
        <v>35</v>
      </c>
      <c r="D1695" s="36" t="s">
        <v>61</v>
      </c>
      <c r="E1695" s="91">
        <v>46159</v>
      </c>
      <c r="F1695" s="94">
        <v>28970.550000000003</v>
      </c>
      <c r="G1695" s="94">
        <v>28970.550000000003</v>
      </c>
    </row>
    <row r="1696" spans="1:7">
      <c r="A1696" s="33" t="s">
        <v>822</v>
      </c>
      <c r="B1696" s="33" t="s">
        <v>77</v>
      </c>
      <c r="C1696" s="33" t="s">
        <v>35</v>
      </c>
      <c r="D1696" s="36" t="s">
        <v>61</v>
      </c>
      <c r="E1696" s="93">
        <v>46343</v>
      </c>
      <c r="F1696" s="94">
        <v>28970.550000000003</v>
      </c>
      <c r="G1696" s="94">
        <v>28970.550000000003</v>
      </c>
    </row>
    <row r="1697" spans="1:7">
      <c r="A1697" s="33" t="s">
        <v>822</v>
      </c>
      <c r="B1697" s="33" t="s">
        <v>77</v>
      </c>
      <c r="C1697" s="33" t="s">
        <v>35</v>
      </c>
      <c r="D1697" s="36" t="s">
        <v>61</v>
      </c>
      <c r="E1697" s="91">
        <v>46524</v>
      </c>
      <c r="F1697" s="94">
        <v>28970.550000000003</v>
      </c>
      <c r="G1697" s="94">
        <v>28970.550000000003</v>
      </c>
    </row>
    <row r="1698" spans="1:7">
      <c r="A1698" s="33" t="s">
        <v>822</v>
      </c>
      <c r="B1698" s="33" t="s">
        <v>77</v>
      </c>
      <c r="C1698" s="33" t="s">
        <v>35</v>
      </c>
      <c r="D1698" s="36" t="s">
        <v>61</v>
      </c>
      <c r="E1698" s="93">
        <v>46708</v>
      </c>
      <c r="F1698" s="94">
        <v>28970.550000000003</v>
      </c>
      <c r="G1698" s="94">
        <v>28970.550000000003</v>
      </c>
    </row>
    <row r="1699" spans="1:7">
      <c r="A1699" s="33" t="s">
        <v>822</v>
      </c>
      <c r="B1699" s="33" t="s">
        <v>77</v>
      </c>
      <c r="C1699" s="33" t="s">
        <v>35</v>
      </c>
      <c r="D1699" s="36" t="s">
        <v>61</v>
      </c>
      <c r="E1699" s="91">
        <v>46890</v>
      </c>
      <c r="F1699" s="94">
        <v>28970.550000000003</v>
      </c>
      <c r="G1699" s="94">
        <v>28970.550000000003</v>
      </c>
    </row>
    <row r="1700" spans="1:7">
      <c r="A1700" s="33" t="s">
        <v>822</v>
      </c>
      <c r="B1700" s="33" t="s">
        <v>77</v>
      </c>
      <c r="C1700" s="33" t="s">
        <v>35</v>
      </c>
      <c r="D1700" s="36" t="s">
        <v>61</v>
      </c>
      <c r="E1700" s="93">
        <v>47074</v>
      </c>
      <c r="F1700" s="94">
        <v>28970.550000000003</v>
      </c>
      <c r="G1700" s="94">
        <v>28970.550000000003</v>
      </c>
    </row>
    <row r="1701" spans="1:7">
      <c r="A1701" s="33" t="s">
        <v>822</v>
      </c>
      <c r="B1701" s="33" t="s">
        <v>77</v>
      </c>
      <c r="C1701" s="33" t="s">
        <v>35</v>
      </c>
      <c r="D1701" s="36" t="s">
        <v>61</v>
      </c>
      <c r="E1701" s="91">
        <v>47255</v>
      </c>
      <c r="F1701" s="94">
        <v>28970.550000000003</v>
      </c>
      <c r="G1701" s="94">
        <v>1099970.55</v>
      </c>
    </row>
    <row r="1702" spans="1:7">
      <c r="A1702" s="87" t="s">
        <v>42</v>
      </c>
      <c r="B1702" s="87" t="s">
        <v>754</v>
      </c>
      <c r="C1702" s="88" t="s">
        <v>43</v>
      </c>
      <c r="D1702" s="87" t="s">
        <v>36</v>
      </c>
      <c r="E1702" s="89">
        <v>44492</v>
      </c>
      <c r="F1702" s="90">
        <v>6250</v>
      </c>
      <c r="G1702" s="90">
        <v>6250</v>
      </c>
    </row>
    <row r="1703" spans="1:7">
      <c r="A1703" s="33" t="s">
        <v>42</v>
      </c>
      <c r="B1703" s="33" t="s">
        <v>754</v>
      </c>
      <c r="C1703" s="48" t="s">
        <v>43</v>
      </c>
      <c r="D1703" s="33" t="s">
        <v>36</v>
      </c>
      <c r="E1703" s="91">
        <v>44674</v>
      </c>
      <c r="F1703" s="92">
        <v>6250</v>
      </c>
      <c r="G1703" s="92">
        <v>6250</v>
      </c>
    </row>
    <row r="1704" spans="1:7">
      <c r="A1704" s="33" t="s">
        <v>42</v>
      </c>
      <c r="B1704" s="33" t="s">
        <v>754</v>
      </c>
      <c r="C1704" s="48" t="s">
        <v>43</v>
      </c>
      <c r="D1704" s="33" t="s">
        <v>36</v>
      </c>
      <c r="E1704" s="91">
        <v>44857</v>
      </c>
      <c r="F1704" s="92">
        <v>6250</v>
      </c>
      <c r="G1704" s="92">
        <v>6250</v>
      </c>
    </row>
    <row r="1705" spans="1:7">
      <c r="A1705" s="33" t="s">
        <v>823</v>
      </c>
      <c r="B1705" s="33" t="s">
        <v>754</v>
      </c>
      <c r="C1705" s="48" t="s">
        <v>43</v>
      </c>
      <c r="D1705" s="33" t="s">
        <v>36</v>
      </c>
      <c r="E1705" s="91">
        <v>45039</v>
      </c>
      <c r="F1705" s="92">
        <v>6250</v>
      </c>
      <c r="G1705" s="92">
        <v>6250</v>
      </c>
    </row>
    <row r="1706" spans="1:7">
      <c r="A1706" s="33" t="s">
        <v>823</v>
      </c>
      <c r="B1706" s="33" t="s">
        <v>754</v>
      </c>
      <c r="C1706" s="48" t="s">
        <v>43</v>
      </c>
      <c r="D1706" s="33" t="s">
        <v>36</v>
      </c>
      <c r="E1706" s="91">
        <v>45222</v>
      </c>
      <c r="F1706" s="92">
        <v>6250</v>
      </c>
      <c r="G1706" s="92">
        <v>6250</v>
      </c>
    </row>
    <row r="1707" spans="1:7">
      <c r="A1707" s="33" t="s">
        <v>823</v>
      </c>
      <c r="B1707" s="33" t="s">
        <v>754</v>
      </c>
      <c r="C1707" s="48" t="s">
        <v>43</v>
      </c>
      <c r="D1707" s="33" t="s">
        <v>36</v>
      </c>
      <c r="E1707" s="91">
        <v>45405</v>
      </c>
      <c r="F1707" s="92">
        <v>6250</v>
      </c>
      <c r="G1707" s="92">
        <v>6250</v>
      </c>
    </row>
    <row r="1708" spans="1:7">
      <c r="A1708" s="33" t="s">
        <v>823</v>
      </c>
      <c r="B1708" s="33" t="s">
        <v>754</v>
      </c>
      <c r="C1708" s="48" t="s">
        <v>43</v>
      </c>
      <c r="D1708" s="33" t="s">
        <v>36</v>
      </c>
      <c r="E1708" s="91">
        <v>45588</v>
      </c>
      <c r="F1708" s="92">
        <v>6250</v>
      </c>
      <c r="G1708" s="92">
        <v>6250</v>
      </c>
    </row>
    <row r="1709" spans="1:7">
      <c r="A1709" s="33" t="s">
        <v>823</v>
      </c>
      <c r="B1709" s="33" t="s">
        <v>754</v>
      </c>
      <c r="C1709" s="48" t="s">
        <v>43</v>
      </c>
      <c r="D1709" s="33" t="s">
        <v>36</v>
      </c>
      <c r="E1709" s="91">
        <v>45770</v>
      </c>
      <c r="F1709" s="92">
        <v>6250</v>
      </c>
      <c r="G1709" s="92">
        <v>6250</v>
      </c>
    </row>
    <row r="1710" spans="1:7">
      <c r="A1710" s="33" t="s">
        <v>823</v>
      </c>
      <c r="B1710" s="33" t="s">
        <v>754</v>
      </c>
      <c r="C1710" s="48" t="s">
        <v>43</v>
      </c>
      <c r="D1710" s="33" t="s">
        <v>36</v>
      </c>
      <c r="E1710" s="91">
        <v>45953</v>
      </c>
      <c r="F1710" s="92">
        <v>6250</v>
      </c>
      <c r="G1710" s="92">
        <v>6250</v>
      </c>
    </row>
    <row r="1711" spans="1:7">
      <c r="A1711" s="33" t="s">
        <v>823</v>
      </c>
      <c r="B1711" s="33" t="s">
        <v>754</v>
      </c>
      <c r="C1711" s="48" t="s">
        <v>43</v>
      </c>
      <c r="D1711" s="33" t="s">
        <v>36</v>
      </c>
      <c r="E1711" s="91">
        <v>46135</v>
      </c>
      <c r="F1711" s="92">
        <v>6250</v>
      </c>
      <c r="G1711" s="92">
        <v>1006250</v>
      </c>
    </row>
    <row r="1712" spans="1:7">
      <c r="A1712" s="87" t="s">
        <v>546</v>
      </c>
      <c r="B1712" s="87" t="s">
        <v>754</v>
      </c>
      <c r="C1712" s="88" t="s">
        <v>43</v>
      </c>
      <c r="D1712" s="87" t="s">
        <v>36</v>
      </c>
      <c r="E1712" s="89">
        <v>44472</v>
      </c>
      <c r="F1712" s="90">
        <v>16875</v>
      </c>
      <c r="G1712" s="90">
        <v>16875</v>
      </c>
    </row>
    <row r="1713" spans="1:7">
      <c r="A1713" s="33" t="s">
        <v>546</v>
      </c>
      <c r="B1713" s="33" t="s">
        <v>754</v>
      </c>
      <c r="C1713" s="48" t="s">
        <v>43</v>
      </c>
      <c r="D1713" s="33" t="s">
        <v>36</v>
      </c>
      <c r="E1713" s="91">
        <v>44674</v>
      </c>
      <c r="F1713" s="92">
        <v>16875</v>
      </c>
      <c r="G1713" s="92">
        <v>16875</v>
      </c>
    </row>
    <row r="1714" spans="1:7">
      <c r="A1714" s="33" t="s">
        <v>824</v>
      </c>
      <c r="B1714" s="33" t="s">
        <v>754</v>
      </c>
      <c r="C1714" s="48" t="s">
        <v>43</v>
      </c>
      <c r="D1714" s="33" t="s">
        <v>36</v>
      </c>
      <c r="E1714" s="91">
        <v>44857</v>
      </c>
      <c r="F1714" s="92">
        <v>16875</v>
      </c>
      <c r="G1714" s="92">
        <v>16875</v>
      </c>
    </row>
    <row r="1715" spans="1:7">
      <c r="A1715" s="33" t="s">
        <v>824</v>
      </c>
      <c r="B1715" s="33" t="s">
        <v>754</v>
      </c>
      <c r="C1715" s="48" t="s">
        <v>43</v>
      </c>
      <c r="D1715" s="33" t="s">
        <v>36</v>
      </c>
      <c r="E1715" s="91">
        <v>45039</v>
      </c>
      <c r="F1715" s="92">
        <v>16875</v>
      </c>
      <c r="G1715" s="92">
        <v>16875</v>
      </c>
    </row>
    <row r="1716" spans="1:7">
      <c r="A1716" s="33" t="s">
        <v>824</v>
      </c>
      <c r="B1716" s="33" t="s">
        <v>754</v>
      </c>
      <c r="C1716" s="48" t="s">
        <v>43</v>
      </c>
      <c r="D1716" s="33" t="s">
        <v>36</v>
      </c>
      <c r="E1716" s="91">
        <v>45222</v>
      </c>
      <c r="F1716" s="92">
        <v>16875</v>
      </c>
      <c r="G1716" s="92">
        <v>16875</v>
      </c>
    </row>
    <row r="1717" spans="1:7">
      <c r="A1717" s="33" t="s">
        <v>824</v>
      </c>
      <c r="B1717" s="33" t="s">
        <v>754</v>
      </c>
      <c r="C1717" s="48" t="s">
        <v>43</v>
      </c>
      <c r="D1717" s="33" t="s">
        <v>36</v>
      </c>
      <c r="E1717" s="91">
        <v>45405</v>
      </c>
      <c r="F1717" s="92">
        <v>16875</v>
      </c>
      <c r="G1717" s="92">
        <v>16875</v>
      </c>
    </row>
    <row r="1718" spans="1:7">
      <c r="A1718" s="33" t="s">
        <v>824</v>
      </c>
      <c r="B1718" s="33" t="s">
        <v>754</v>
      </c>
      <c r="C1718" s="48" t="s">
        <v>43</v>
      </c>
      <c r="D1718" s="33" t="s">
        <v>36</v>
      </c>
      <c r="E1718" s="91">
        <v>45588</v>
      </c>
      <c r="F1718" s="92">
        <v>16875</v>
      </c>
      <c r="G1718" s="92">
        <v>16875</v>
      </c>
    </row>
    <row r="1719" spans="1:7">
      <c r="A1719" s="33" t="s">
        <v>824</v>
      </c>
      <c r="B1719" s="33" t="s">
        <v>754</v>
      </c>
      <c r="C1719" s="48" t="s">
        <v>43</v>
      </c>
      <c r="D1719" s="33" t="s">
        <v>36</v>
      </c>
      <c r="E1719" s="91">
        <v>45770</v>
      </c>
      <c r="F1719" s="92">
        <v>16875</v>
      </c>
      <c r="G1719" s="92">
        <v>16875</v>
      </c>
    </row>
    <row r="1720" spans="1:7">
      <c r="A1720" s="33" t="s">
        <v>824</v>
      </c>
      <c r="B1720" s="33" t="s">
        <v>754</v>
      </c>
      <c r="C1720" s="48" t="s">
        <v>43</v>
      </c>
      <c r="D1720" s="33" t="s">
        <v>36</v>
      </c>
      <c r="E1720" s="91">
        <v>45953</v>
      </c>
      <c r="F1720" s="92">
        <v>16875</v>
      </c>
      <c r="G1720" s="92">
        <v>16875</v>
      </c>
    </row>
    <row r="1721" spans="1:7">
      <c r="A1721" s="33" t="s">
        <v>824</v>
      </c>
      <c r="B1721" s="33" t="s">
        <v>754</v>
      </c>
      <c r="C1721" s="48" t="s">
        <v>43</v>
      </c>
      <c r="D1721" s="33" t="s">
        <v>36</v>
      </c>
      <c r="E1721" s="91">
        <v>46135</v>
      </c>
      <c r="F1721" s="92">
        <v>16875</v>
      </c>
      <c r="G1721" s="92">
        <v>16875</v>
      </c>
    </row>
    <row r="1722" spans="1:7">
      <c r="A1722" s="33" t="s">
        <v>824</v>
      </c>
      <c r="B1722" s="33" t="s">
        <v>754</v>
      </c>
      <c r="C1722" s="48" t="s">
        <v>43</v>
      </c>
      <c r="D1722" s="33" t="s">
        <v>36</v>
      </c>
      <c r="E1722" s="91">
        <v>46318</v>
      </c>
      <c r="F1722" s="92">
        <v>16875</v>
      </c>
      <c r="G1722" s="92">
        <v>16875</v>
      </c>
    </row>
    <row r="1723" spans="1:7">
      <c r="A1723" s="33" t="s">
        <v>824</v>
      </c>
      <c r="B1723" s="33" t="s">
        <v>754</v>
      </c>
      <c r="C1723" s="48" t="s">
        <v>43</v>
      </c>
      <c r="D1723" s="33" t="s">
        <v>36</v>
      </c>
      <c r="E1723" s="91">
        <v>46500</v>
      </c>
      <c r="F1723" s="92">
        <v>16875</v>
      </c>
      <c r="G1723" s="92">
        <v>16875</v>
      </c>
    </row>
    <row r="1724" spans="1:7">
      <c r="A1724" s="33" t="s">
        <v>824</v>
      </c>
      <c r="B1724" s="33" t="s">
        <v>754</v>
      </c>
      <c r="C1724" s="48" t="s">
        <v>43</v>
      </c>
      <c r="D1724" s="33" t="s">
        <v>36</v>
      </c>
      <c r="E1724" s="91">
        <v>46683</v>
      </c>
      <c r="F1724" s="92">
        <v>16875</v>
      </c>
      <c r="G1724" s="92">
        <v>16875</v>
      </c>
    </row>
    <row r="1725" spans="1:7">
      <c r="A1725" s="33" t="s">
        <v>824</v>
      </c>
      <c r="B1725" s="33" t="s">
        <v>754</v>
      </c>
      <c r="C1725" s="48" t="s">
        <v>43</v>
      </c>
      <c r="D1725" s="33" t="s">
        <v>36</v>
      </c>
      <c r="E1725" s="91">
        <v>46866</v>
      </c>
      <c r="F1725" s="92">
        <v>16875</v>
      </c>
      <c r="G1725" s="92">
        <v>16875</v>
      </c>
    </row>
    <row r="1726" spans="1:7">
      <c r="A1726" s="33" t="s">
        <v>824</v>
      </c>
      <c r="B1726" s="33" t="s">
        <v>754</v>
      </c>
      <c r="C1726" s="48" t="s">
        <v>43</v>
      </c>
      <c r="D1726" s="33" t="s">
        <v>36</v>
      </c>
      <c r="E1726" s="91">
        <v>47049</v>
      </c>
      <c r="F1726" s="92">
        <v>16875</v>
      </c>
      <c r="G1726" s="92">
        <v>16875</v>
      </c>
    </row>
    <row r="1727" spans="1:7">
      <c r="A1727" s="33" t="s">
        <v>824</v>
      </c>
      <c r="B1727" s="33" t="s">
        <v>754</v>
      </c>
      <c r="C1727" s="48" t="s">
        <v>43</v>
      </c>
      <c r="D1727" s="33" t="s">
        <v>36</v>
      </c>
      <c r="E1727" s="91">
        <v>47231</v>
      </c>
      <c r="F1727" s="92">
        <v>16875</v>
      </c>
      <c r="G1727" s="92">
        <v>16875</v>
      </c>
    </row>
    <row r="1728" spans="1:7">
      <c r="A1728" s="33" t="s">
        <v>824</v>
      </c>
      <c r="B1728" s="33" t="s">
        <v>754</v>
      </c>
      <c r="C1728" s="48" t="s">
        <v>43</v>
      </c>
      <c r="D1728" s="33" t="s">
        <v>36</v>
      </c>
      <c r="E1728" s="91">
        <v>47414</v>
      </c>
      <c r="F1728" s="92">
        <v>16875</v>
      </c>
      <c r="G1728" s="92">
        <v>16875</v>
      </c>
    </row>
    <row r="1729" spans="1:7">
      <c r="A1729" s="33" t="s">
        <v>824</v>
      </c>
      <c r="B1729" s="33" t="s">
        <v>754</v>
      </c>
      <c r="C1729" s="48" t="s">
        <v>43</v>
      </c>
      <c r="D1729" s="33" t="s">
        <v>36</v>
      </c>
      <c r="E1729" s="91">
        <v>47596</v>
      </c>
      <c r="F1729" s="92">
        <v>16875</v>
      </c>
      <c r="G1729" s="92">
        <v>16875</v>
      </c>
    </row>
    <row r="1730" spans="1:7">
      <c r="A1730" s="33" t="s">
        <v>824</v>
      </c>
      <c r="B1730" s="33" t="s">
        <v>754</v>
      </c>
      <c r="C1730" s="48" t="s">
        <v>43</v>
      </c>
      <c r="D1730" s="33" t="s">
        <v>36</v>
      </c>
      <c r="E1730" s="91">
        <v>47779</v>
      </c>
      <c r="F1730" s="92">
        <v>16875</v>
      </c>
      <c r="G1730" s="92">
        <v>16875</v>
      </c>
    </row>
    <row r="1731" spans="1:7">
      <c r="A1731" s="33" t="s">
        <v>824</v>
      </c>
      <c r="B1731" s="33" t="s">
        <v>754</v>
      </c>
      <c r="C1731" s="48" t="s">
        <v>43</v>
      </c>
      <c r="D1731" s="33" t="s">
        <v>36</v>
      </c>
      <c r="E1731" s="91">
        <v>47961</v>
      </c>
      <c r="F1731" s="92">
        <v>16875</v>
      </c>
      <c r="G1731" s="92">
        <v>1516875</v>
      </c>
    </row>
    <row r="1732" spans="1:7">
      <c r="A1732" s="87" t="s">
        <v>825</v>
      </c>
      <c r="B1732" s="87" t="s">
        <v>77</v>
      </c>
      <c r="C1732" s="88" t="s">
        <v>67</v>
      </c>
      <c r="D1732" s="87" t="s">
        <v>61</v>
      </c>
      <c r="E1732" s="89">
        <v>45578</v>
      </c>
      <c r="F1732" s="90">
        <v>99174.999999999985</v>
      </c>
      <c r="G1732" s="90">
        <v>99174.999999999985</v>
      </c>
    </row>
    <row r="1733" spans="1:7">
      <c r="A1733" s="57" t="s">
        <v>826</v>
      </c>
      <c r="B1733" s="57" t="s">
        <v>388</v>
      </c>
      <c r="C1733" s="57" t="s">
        <v>35</v>
      </c>
      <c r="D1733" s="33" t="s">
        <v>61</v>
      </c>
      <c r="E1733" s="91">
        <v>45760</v>
      </c>
      <c r="F1733" s="46">
        <v>99174.999999999985</v>
      </c>
      <c r="G1733" s="46">
        <v>99174.999999999985</v>
      </c>
    </row>
    <row r="1734" spans="1:7">
      <c r="A1734" s="57" t="s">
        <v>826</v>
      </c>
      <c r="B1734" s="57" t="s">
        <v>388</v>
      </c>
      <c r="C1734" s="57" t="s">
        <v>35</v>
      </c>
      <c r="D1734" s="33" t="s">
        <v>61</v>
      </c>
      <c r="E1734" s="91">
        <v>45943</v>
      </c>
      <c r="F1734" s="46">
        <v>99174.999999999985</v>
      </c>
      <c r="G1734" s="46">
        <v>99174.999999999985</v>
      </c>
    </row>
    <row r="1735" spans="1:7">
      <c r="A1735" s="57" t="s">
        <v>826</v>
      </c>
      <c r="B1735" s="57" t="s">
        <v>388</v>
      </c>
      <c r="C1735" s="57" t="s">
        <v>35</v>
      </c>
      <c r="D1735" s="33" t="s">
        <v>61</v>
      </c>
      <c r="E1735" s="91">
        <v>46125</v>
      </c>
      <c r="F1735" s="46">
        <v>99174.999999999985</v>
      </c>
      <c r="G1735" s="46">
        <v>99174.999999999985</v>
      </c>
    </row>
    <row r="1736" spans="1:7">
      <c r="A1736" s="57" t="s">
        <v>826</v>
      </c>
      <c r="B1736" s="57" t="s">
        <v>388</v>
      </c>
      <c r="C1736" s="57" t="s">
        <v>35</v>
      </c>
      <c r="D1736" s="33" t="s">
        <v>61</v>
      </c>
      <c r="E1736" s="91">
        <v>46308</v>
      </c>
      <c r="F1736" s="46">
        <v>99174.999999999985</v>
      </c>
      <c r="G1736" s="46">
        <v>99174.999999999985</v>
      </c>
    </row>
    <row r="1737" spans="1:7">
      <c r="A1737" s="57" t="s">
        <v>826</v>
      </c>
      <c r="B1737" s="57" t="s">
        <v>388</v>
      </c>
      <c r="C1737" s="57" t="s">
        <v>35</v>
      </c>
      <c r="D1737" s="33" t="s">
        <v>61</v>
      </c>
      <c r="E1737" s="91">
        <v>46490</v>
      </c>
      <c r="F1737" s="46">
        <v>99174.999999999985</v>
      </c>
      <c r="G1737" s="46">
        <v>99174.999999999985</v>
      </c>
    </row>
    <row r="1738" spans="1:7">
      <c r="A1738" s="57" t="s">
        <v>826</v>
      </c>
      <c r="B1738" s="57" t="s">
        <v>388</v>
      </c>
      <c r="C1738" s="57" t="s">
        <v>35</v>
      </c>
      <c r="D1738" s="33" t="s">
        <v>61</v>
      </c>
      <c r="E1738" s="91">
        <v>46673</v>
      </c>
      <c r="F1738" s="46">
        <v>99174.999999999985</v>
      </c>
      <c r="G1738" s="46">
        <v>99174.999999999985</v>
      </c>
    </row>
    <row r="1739" spans="1:7">
      <c r="A1739" s="57" t="s">
        <v>826</v>
      </c>
      <c r="B1739" s="57" t="s">
        <v>388</v>
      </c>
      <c r="C1739" s="57" t="s">
        <v>35</v>
      </c>
      <c r="D1739" s="33" t="s">
        <v>61</v>
      </c>
      <c r="E1739" s="91">
        <v>46856</v>
      </c>
      <c r="F1739" s="46">
        <v>99174.999999999985</v>
      </c>
      <c r="G1739" s="46">
        <v>99174.999999999985</v>
      </c>
    </row>
    <row r="1740" spans="1:7">
      <c r="A1740" s="57" t="s">
        <v>826</v>
      </c>
      <c r="B1740" s="57" t="s">
        <v>388</v>
      </c>
      <c r="C1740" s="57" t="s">
        <v>35</v>
      </c>
      <c r="D1740" s="33" t="s">
        <v>61</v>
      </c>
      <c r="E1740" s="91">
        <v>47039</v>
      </c>
      <c r="F1740" s="46">
        <v>99174.999999999985</v>
      </c>
      <c r="G1740" s="46">
        <v>99174.999999999985</v>
      </c>
    </row>
    <row r="1741" spans="1:7">
      <c r="A1741" s="57" t="s">
        <v>826</v>
      </c>
      <c r="B1741" s="57" t="s">
        <v>388</v>
      </c>
      <c r="C1741" s="57" t="s">
        <v>35</v>
      </c>
      <c r="D1741" s="33" t="s">
        <v>61</v>
      </c>
      <c r="E1741" s="91">
        <v>47221</v>
      </c>
      <c r="F1741" s="46">
        <v>99174.999999999985</v>
      </c>
      <c r="G1741" s="46">
        <v>99174.999999999985</v>
      </c>
    </row>
    <row r="1742" spans="1:7">
      <c r="A1742" s="57" t="s">
        <v>826</v>
      </c>
      <c r="B1742" s="57" t="s">
        <v>388</v>
      </c>
      <c r="C1742" s="57" t="s">
        <v>35</v>
      </c>
      <c r="D1742" s="33" t="s">
        <v>61</v>
      </c>
      <c r="E1742" s="91">
        <v>47404</v>
      </c>
      <c r="F1742" s="46">
        <v>99174.999999999985</v>
      </c>
      <c r="G1742" s="46">
        <v>99174.999999999985</v>
      </c>
    </row>
    <row r="1743" spans="1:7">
      <c r="A1743" s="57" t="s">
        <v>826</v>
      </c>
      <c r="B1743" s="57" t="s">
        <v>388</v>
      </c>
      <c r="C1743" s="57" t="s">
        <v>35</v>
      </c>
      <c r="D1743" s="33" t="s">
        <v>61</v>
      </c>
      <c r="E1743" s="91">
        <v>47586</v>
      </c>
      <c r="F1743" s="46">
        <v>99174.999999999985</v>
      </c>
      <c r="G1743" s="46">
        <v>5099175</v>
      </c>
    </row>
    <row r="1744" spans="1:7">
      <c r="A1744" s="87" t="s">
        <v>536</v>
      </c>
      <c r="B1744" s="87" t="s">
        <v>77</v>
      </c>
      <c r="C1744" s="88" t="s">
        <v>43</v>
      </c>
      <c r="D1744" s="87" t="s">
        <v>61</v>
      </c>
      <c r="E1744" s="89">
        <v>45202</v>
      </c>
      <c r="F1744" s="90">
        <v>41300</v>
      </c>
      <c r="G1744" s="90">
        <v>41300</v>
      </c>
    </row>
    <row r="1745" spans="1:7">
      <c r="A1745" s="33" t="s">
        <v>536</v>
      </c>
      <c r="B1745" s="33" t="s">
        <v>77</v>
      </c>
      <c r="C1745" s="33" t="s">
        <v>60</v>
      </c>
      <c r="D1745" s="36" t="s">
        <v>61</v>
      </c>
      <c r="E1745" s="91">
        <v>45385</v>
      </c>
      <c r="F1745" s="92">
        <v>41300</v>
      </c>
      <c r="G1745" s="92">
        <v>41300</v>
      </c>
    </row>
    <row r="1746" spans="1:7">
      <c r="A1746" s="33" t="s">
        <v>536</v>
      </c>
      <c r="B1746" s="33" t="s">
        <v>77</v>
      </c>
      <c r="C1746" s="33" t="s">
        <v>60</v>
      </c>
      <c r="D1746" s="36" t="s">
        <v>61</v>
      </c>
      <c r="E1746" s="91">
        <v>45568</v>
      </c>
      <c r="F1746" s="92">
        <v>41300</v>
      </c>
      <c r="G1746" s="92">
        <v>41300</v>
      </c>
    </row>
    <row r="1747" spans="1:7">
      <c r="A1747" s="33" t="s">
        <v>536</v>
      </c>
      <c r="B1747" s="33" t="s">
        <v>77</v>
      </c>
      <c r="C1747" s="33" t="s">
        <v>60</v>
      </c>
      <c r="D1747" s="36" t="s">
        <v>61</v>
      </c>
      <c r="E1747" s="91">
        <v>45750</v>
      </c>
      <c r="F1747" s="92">
        <v>41300</v>
      </c>
      <c r="G1747" s="92">
        <v>41300</v>
      </c>
    </row>
    <row r="1748" spans="1:7">
      <c r="A1748" s="33" t="s">
        <v>536</v>
      </c>
      <c r="B1748" s="33" t="s">
        <v>77</v>
      </c>
      <c r="C1748" s="33" t="s">
        <v>60</v>
      </c>
      <c r="D1748" s="36" t="s">
        <v>61</v>
      </c>
      <c r="E1748" s="91">
        <v>45933</v>
      </c>
      <c r="F1748" s="92">
        <v>41300</v>
      </c>
      <c r="G1748" s="92">
        <v>41300</v>
      </c>
    </row>
    <row r="1749" spans="1:7">
      <c r="A1749" s="33" t="s">
        <v>536</v>
      </c>
      <c r="B1749" s="33" t="s">
        <v>77</v>
      </c>
      <c r="C1749" s="33" t="s">
        <v>60</v>
      </c>
      <c r="D1749" s="36" t="s">
        <v>61</v>
      </c>
      <c r="E1749" s="91">
        <v>46115</v>
      </c>
      <c r="F1749" s="92">
        <v>41300</v>
      </c>
      <c r="G1749" s="92">
        <v>41300</v>
      </c>
    </row>
    <row r="1750" spans="1:7">
      <c r="A1750" s="33" t="s">
        <v>536</v>
      </c>
      <c r="B1750" s="33" t="s">
        <v>77</v>
      </c>
      <c r="C1750" s="33" t="s">
        <v>60</v>
      </c>
      <c r="D1750" s="36" t="s">
        <v>61</v>
      </c>
      <c r="E1750" s="91">
        <v>46298</v>
      </c>
      <c r="F1750" s="92">
        <v>41300</v>
      </c>
      <c r="G1750" s="92">
        <v>41300</v>
      </c>
    </row>
    <row r="1751" spans="1:7">
      <c r="A1751" s="33" t="s">
        <v>536</v>
      </c>
      <c r="B1751" s="33" t="s">
        <v>77</v>
      </c>
      <c r="C1751" s="33" t="s">
        <v>60</v>
      </c>
      <c r="D1751" s="36" t="s">
        <v>61</v>
      </c>
      <c r="E1751" s="91">
        <v>46480</v>
      </c>
      <c r="F1751" s="92">
        <v>41300</v>
      </c>
      <c r="G1751" s="92">
        <v>41300</v>
      </c>
    </row>
    <row r="1752" spans="1:7">
      <c r="A1752" s="33" t="s">
        <v>536</v>
      </c>
      <c r="B1752" s="33" t="s">
        <v>77</v>
      </c>
      <c r="C1752" s="33" t="s">
        <v>60</v>
      </c>
      <c r="D1752" s="36" t="s">
        <v>61</v>
      </c>
      <c r="E1752" s="91">
        <v>46663</v>
      </c>
      <c r="F1752" s="92">
        <v>41300</v>
      </c>
      <c r="G1752" s="92">
        <v>41300</v>
      </c>
    </row>
    <row r="1753" spans="1:7">
      <c r="A1753" s="33" t="s">
        <v>536</v>
      </c>
      <c r="B1753" s="33" t="s">
        <v>77</v>
      </c>
      <c r="C1753" s="33" t="s">
        <v>60</v>
      </c>
      <c r="D1753" s="36" t="s">
        <v>61</v>
      </c>
      <c r="E1753" s="91">
        <v>46846</v>
      </c>
      <c r="F1753" s="92">
        <v>41300</v>
      </c>
      <c r="G1753" s="92">
        <v>41300</v>
      </c>
    </row>
    <row r="1754" spans="1:7">
      <c r="A1754" s="33" t="s">
        <v>536</v>
      </c>
      <c r="B1754" s="33" t="s">
        <v>77</v>
      </c>
      <c r="C1754" s="33" t="s">
        <v>60</v>
      </c>
      <c r="D1754" s="36" t="s">
        <v>61</v>
      </c>
      <c r="E1754" s="91">
        <v>47029</v>
      </c>
      <c r="F1754" s="92">
        <v>41300</v>
      </c>
      <c r="G1754" s="92">
        <v>41300</v>
      </c>
    </row>
    <row r="1755" spans="1:7">
      <c r="A1755" s="33" t="s">
        <v>536</v>
      </c>
      <c r="B1755" s="33" t="s">
        <v>77</v>
      </c>
      <c r="C1755" s="33" t="s">
        <v>60</v>
      </c>
      <c r="D1755" s="36" t="s">
        <v>61</v>
      </c>
      <c r="E1755" s="91">
        <v>47211</v>
      </c>
      <c r="F1755" s="92">
        <v>41300</v>
      </c>
      <c r="G1755" s="92">
        <v>41300</v>
      </c>
    </row>
    <row r="1756" spans="1:7">
      <c r="A1756" s="33" t="s">
        <v>536</v>
      </c>
      <c r="B1756" s="33" t="s">
        <v>77</v>
      </c>
      <c r="C1756" s="33" t="s">
        <v>60</v>
      </c>
      <c r="D1756" s="36" t="s">
        <v>61</v>
      </c>
      <c r="E1756" s="91">
        <v>47394</v>
      </c>
      <c r="F1756" s="92">
        <v>41300</v>
      </c>
      <c r="G1756" s="92">
        <v>41300</v>
      </c>
    </row>
    <row r="1757" spans="1:7">
      <c r="A1757" s="33" t="s">
        <v>536</v>
      </c>
      <c r="B1757" s="33" t="s">
        <v>77</v>
      </c>
      <c r="C1757" s="33" t="s">
        <v>60</v>
      </c>
      <c r="D1757" s="36" t="s">
        <v>61</v>
      </c>
      <c r="E1757" s="91">
        <v>47576</v>
      </c>
      <c r="F1757" s="92">
        <v>41300</v>
      </c>
      <c r="G1757" s="92">
        <v>41300</v>
      </c>
    </row>
    <row r="1758" spans="1:7">
      <c r="A1758" s="33" t="s">
        <v>536</v>
      </c>
      <c r="B1758" s="33" t="s">
        <v>77</v>
      </c>
      <c r="C1758" s="33" t="s">
        <v>60</v>
      </c>
      <c r="D1758" s="36" t="s">
        <v>61</v>
      </c>
      <c r="E1758" s="91">
        <v>47759</v>
      </c>
      <c r="F1758" s="92">
        <v>41300</v>
      </c>
      <c r="G1758" s="92">
        <v>41300</v>
      </c>
    </row>
    <row r="1759" spans="1:7">
      <c r="A1759" s="33" t="s">
        <v>536</v>
      </c>
      <c r="B1759" s="33" t="s">
        <v>77</v>
      </c>
      <c r="C1759" s="33" t="s">
        <v>60</v>
      </c>
      <c r="D1759" s="36" t="s">
        <v>61</v>
      </c>
      <c r="E1759" s="91">
        <v>47941</v>
      </c>
      <c r="F1759" s="92">
        <v>41300</v>
      </c>
      <c r="G1759" s="92">
        <v>4041300</v>
      </c>
    </row>
    <row r="1760" spans="1:7">
      <c r="A1760" s="87" t="s">
        <v>536</v>
      </c>
      <c r="B1760" s="87" t="s">
        <v>54</v>
      </c>
      <c r="C1760" s="88" t="s">
        <v>43</v>
      </c>
      <c r="D1760" s="87" t="s">
        <v>61</v>
      </c>
      <c r="E1760" s="89">
        <v>45385</v>
      </c>
      <c r="F1760" s="90">
        <v>25812.500000000004</v>
      </c>
      <c r="G1760" s="90">
        <v>25812.500000000004</v>
      </c>
    </row>
    <row r="1761" spans="1:7">
      <c r="A1761" s="33" t="s">
        <v>536</v>
      </c>
      <c r="B1761" s="33" t="s">
        <v>54</v>
      </c>
      <c r="C1761" s="33" t="s">
        <v>60</v>
      </c>
      <c r="D1761" s="36" t="s">
        <v>61</v>
      </c>
      <c r="E1761" s="93">
        <v>45568</v>
      </c>
      <c r="F1761" s="94">
        <v>25812.500000000004</v>
      </c>
      <c r="G1761" s="94">
        <v>25812.500000000004</v>
      </c>
    </row>
    <row r="1762" spans="1:7">
      <c r="A1762" s="33" t="s">
        <v>827</v>
      </c>
      <c r="B1762" s="33" t="s">
        <v>54</v>
      </c>
      <c r="C1762" s="33" t="s">
        <v>60</v>
      </c>
      <c r="D1762" s="36" t="s">
        <v>61</v>
      </c>
      <c r="E1762" s="91">
        <v>45750</v>
      </c>
      <c r="F1762" s="94">
        <v>25812.500000000004</v>
      </c>
      <c r="G1762" s="94">
        <v>25812.500000000004</v>
      </c>
    </row>
    <row r="1763" spans="1:7">
      <c r="A1763" s="33" t="s">
        <v>827</v>
      </c>
      <c r="B1763" s="33" t="s">
        <v>54</v>
      </c>
      <c r="C1763" s="33" t="s">
        <v>60</v>
      </c>
      <c r="D1763" s="36" t="s">
        <v>61</v>
      </c>
      <c r="E1763" s="93">
        <v>45933</v>
      </c>
      <c r="F1763" s="94">
        <v>25812.500000000004</v>
      </c>
      <c r="G1763" s="94">
        <v>25812.500000000004</v>
      </c>
    </row>
    <row r="1764" spans="1:7">
      <c r="A1764" s="33" t="s">
        <v>827</v>
      </c>
      <c r="B1764" s="33" t="s">
        <v>54</v>
      </c>
      <c r="C1764" s="33" t="s">
        <v>60</v>
      </c>
      <c r="D1764" s="36" t="s">
        <v>61</v>
      </c>
      <c r="E1764" s="91">
        <v>46115</v>
      </c>
      <c r="F1764" s="94">
        <v>25812.500000000004</v>
      </c>
      <c r="G1764" s="94">
        <v>25812.500000000004</v>
      </c>
    </row>
    <row r="1765" spans="1:7">
      <c r="A1765" s="33" t="s">
        <v>827</v>
      </c>
      <c r="B1765" s="33" t="s">
        <v>54</v>
      </c>
      <c r="C1765" s="33" t="s">
        <v>60</v>
      </c>
      <c r="D1765" s="36" t="s">
        <v>61</v>
      </c>
      <c r="E1765" s="93">
        <v>46298</v>
      </c>
      <c r="F1765" s="94">
        <v>25812.500000000004</v>
      </c>
      <c r="G1765" s="94">
        <v>25812.500000000004</v>
      </c>
    </row>
    <row r="1766" spans="1:7">
      <c r="A1766" s="33" t="s">
        <v>827</v>
      </c>
      <c r="B1766" s="33" t="s">
        <v>54</v>
      </c>
      <c r="C1766" s="33" t="s">
        <v>60</v>
      </c>
      <c r="D1766" s="36" t="s">
        <v>61</v>
      </c>
      <c r="E1766" s="91">
        <v>46480</v>
      </c>
      <c r="F1766" s="94">
        <v>25812.500000000004</v>
      </c>
      <c r="G1766" s="94">
        <v>25812.500000000004</v>
      </c>
    </row>
    <row r="1767" spans="1:7">
      <c r="A1767" s="33" t="s">
        <v>827</v>
      </c>
      <c r="B1767" s="33" t="s">
        <v>54</v>
      </c>
      <c r="C1767" s="33" t="s">
        <v>60</v>
      </c>
      <c r="D1767" s="36" t="s">
        <v>61</v>
      </c>
      <c r="E1767" s="93">
        <v>46663</v>
      </c>
      <c r="F1767" s="94">
        <v>25812.500000000004</v>
      </c>
      <c r="G1767" s="94">
        <v>25812.500000000004</v>
      </c>
    </row>
    <row r="1768" spans="1:7">
      <c r="A1768" s="33" t="s">
        <v>827</v>
      </c>
      <c r="B1768" s="33" t="s">
        <v>54</v>
      </c>
      <c r="C1768" s="33" t="s">
        <v>60</v>
      </c>
      <c r="D1768" s="36" t="s">
        <v>61</v>
      </c>
      <c r="E1768" s="91">
        <v>46846</v>
      </c>
      <c r="F1768" s="94">
        <v>25812.500000000004</v>
      </c>
      <c r="G1768" s="94">
        <v>25812.500000000004</v>
      </c>
    </row>
    <row r="1769" spans="1:7">
      <c r="A1769" s="33" t="s">
        <v>827</v>
      </c>
      <c r="B1769" s="33" t="s">
        <v>54</v>
      </c>
      <c r="C1769" s="33" t="s">
        <v>60</v>
      </c>
      <c r="D1769" s="36" t="s">
        <v>61</v>
      </c>
      <c r="E1769" s="93">
        <v>47029</v>
      </c>
      <c r="F1769" s="94">
        <v>25812.500000000004</v>
      </c>
      <c r="G1769" s="94">
        <v>25812.500000000004</v>
      </c>
    </row>
    <row r="1770" spans="1:7">
      <c r="A1770" s="33" t="s">
        <v>827</v>
      </c>
      <c r="B1770" s="33" t="s">
        <v>54</v>
      </c>
      <c r="C1770" s="33" t="s">
        <v>60</v>
      </c>
      <c r="D1770" s="36" t="s">
        <v>61</v>
      </c>
      <c r="E1770" s="91">
        <v>47211</v>
      </c>
      <c r="F1770" s="94">
        <v>25812.500000000004</v>
      </c>
      <c r="G1770" s="94">
        <v>25812.500000000004</v>
      </c>
    </row>
    <row r="1771" spans="1:7">
      <c r="A1771" s="33" t="s">
        <v>827</v>
      </c>
      <c r="B1771" s="33" t="s">
        <v>54</v>
      </c>
      <c r="C1771" s="33" t="s">
        <v>60</v>
      </c>
      <c r="D1771" s="36" t="s">
        <v>61</v>
      </c>
      <c r="E1771" s="93">
        <v>47394</v>
      </c>
      <c r="F1771" s="94">
        <v>25812.500000000004</v>
      </c>
      <c r="G1771" s="94">
        <v>25812.500000000004</v>
      </c>
    </row>
    <row r="1772" spans="1:7">
      <c r="A1772" s="33" t="s">
        <v>827</v>
      </c>
      <c r="B1772" s="33" t="s">
        <v>54</v>
      </c>
      <c r="C1772" s="33" t="s">
        <v>60</v>
      </c>
      <c r="D1772" s="36" t="s">
        <v>61</v>
      </c>
      <c r="E1772" s="91">
        <v>47576</v>
      </c>
      <c r="F1772" s="94">
        <v>25812.500000000004</v>
      </c>
      <c r="G1772" s="94">
        <v>25812.500000000004</v>
      </c>
    </row>
    <row r="1773" spans="1:7">
      <c r="A1773" s="33" t="s">
        <v>827</v>
      </c>
      <c r="B1773" s="33" t="s">
        <v>54</v>
      </c>
      <c r="C1773" s="33" t="s">
        <v>60</v>
      </c>
      <c r="D1773" s="36" t="s">
        <v>61</v>
      </c>
      <c r="E1773" s="93">
        <v>47759</v>
      </c>
      <c r="F1773" s="94">
        <v>25812.500000000004</v>
      </c>
      <c r="G1773" s="94">
        <v>25812.500000000004</v>
      </c>
    </row>
    <row r="1774" spans="1:7">
      <c r="A1774" s="33" t="s">
        <v>827</v>
      </c>
      <c r="B1774" s="33" t="s">
        <v>54</v>
      </c>
      <c r="C1774" s="33" t="s">
        <v>60</v>
      </c>
      <c r="D1774" s="36" t="s">
        <v>61</v>
      </c>
      <c r="E1774" s="91">
        <v>47941</v>
      </c>
      <c r="F1774" s="94">
        <v>25812.500000000004</v>
      </c>
      <c r="G1774" s="94">
        <v>2525812.5</v>
      </c>
    </row>
    <row r="1775" spans="1:7">
      <c r="A1775" s="87" t="s">
        <v>828</v>
      </c>
      <c r="B1775" s="87" t="s">
        <v>54</v>
      </c>
      <c r="C1775" s="88" t="s">
        <v>43</v>
      </c>
      <c r="D1775" s="87" t="s">
        <v>61</v>
      </c>
      <c r="E1775" s="89">
        <v>45659</v>
      </c>
      <c r="F1775" s="90">
        <v>63429.600000000006</v>
      </c>
      <c r="G1775" s="90">
        <v>63429.600000000006</v>
      </c>
    </row>
    <row r="1776" spans="1:7">
      <c r="A1776" s="57" t="s">
        <v>571</v>
      </c>
      <c r="B1776" s="57" t="s">
        <v>54</v>
      </c>
      <c r="C1776" s="57" t="s">
        <v>60</v>
      </c>
      <c r="D1776" s="33" t="s">
        <v>61</v>
      </c>
      <c r="E1776" s="91">
        <v>45840</v>
      </c>
      <c r="F1776" s="92">
        <v>63429.600000000006</v>
      </c>
      <c r="G1776" s="92">
        <v>63429.600000000006</v>
      </c>
    </row>
    <row r="1777" spans="1:7">
      <c r="A1777" s="57" t="s">
        <v>829</v>
      </c>
      <c r="B1777" s="57" t="s">
        <v>54</v>
      </c>
      <c r="C1777" s="57" t="s">
        <v>60</v>
      </c>
      <c r="D1777" s="33" t="s">
        <v>61</v>
      </c>
      <c r="E1777" s="91">
        <v>46024</v>
      </c>
      <c r="F1777" s="92">
        <v>63429.600000000006</v>
      </c>
      <c r="G1777" s="92">
        <v>63429.600000000006</v>
      </c>
    </row>
    <row r="1778" spans="1:7">
      <c r="A1778" s="57" t="s">
        <v>829</v>
      </c>
      <c r="B1778" s="57" t="s">
        <v>54</v>
      </c>
      <c r="C1778" s="57" t="s">
        <v>60</v>
      </c>
      <c r="D1778" s="33" t="s">
        <v>61</v>
      </c>
      <c r="E1778" s="91">
        <v>46205</v>
      </c>
      <c r="F1778" s="92">
        <v>63429.600000000006</v>
      </c>
      <c r="G1778" s="92">
        <v>63429.600000000006</v>
      </c>
    </row>
    <row r="1779" spans="1:7">
      <c r="A1779" s="57" t="s">
        <v>829</v>
      </c>
      <c r="B1779" s="57" t="s">
        <v>54</v>
      </c>
      <c r="C1779" s="57" t="s">
        <v>60</v>
      </c>
      <c r="D1779" s="33" t="s">
        <v>61</v>
      </c>
      <c r="E1779" s="91">
        <v>46389</v>
      </c>
      <c r="F1779" s="92">
        <v>63429.600000000006</v>
      </c>
      <c r="G1779" s="92">
        <v>63429.600000000006</v>
      </c>
    </row>
    <row r="1780" spans="1:7">
      <c r="A1780" s="57" t="s">
        <v>829</v>
      </c>
      <c r="B1780" s="57" t="s">
        <v>54</v>
      </c>
      <c r="C1780" s="57" t="s">
        <v>60</v>
      </c>
      <c r="D1780" s="33" t="s">
        <v>61</v>
      </c>
      <c r="E1780" s="91">
        <v>46570</v>
      </c>
      <c r="F1780" s="94">
        <v>63429.600000000006</v>
      </c>
      <c r="G1780" s="94">
        <v>63429.600000000006</v>
      </c>
    </row>
    <row r="1781" spans="1:7">
      <c r="A1781" s="57" t="s">
        <v>829</v>
      </c>
      <c r="B1781" s="57" t="s">
        <v>54</v>
      </c>
      <c r="C1781" s="57" t="s">
        <v>60</v>
      </c>
      <c r="D1781" s="33" t="s">
        <v>61</v>
      </c>
      <c r="E1781" s="91">
        <v>46754</v>
      </c>
      <c r="F1781" s="94">
        <v>63429.600000000006</v>
      </c>
      <c r="G1781" s="94">
        <v>63429.600000000006</v>
      </c>
    </row>
    <row r="1782" spans="1:7">
      <c r="A1782" s="57" t="s">
        <v>829</v>
      </c>
      <c r="B1782" s="57" t="s">
        <v>54</v>
      </c>
      <c r="C1782" s="57" t="s">
        <v>60</v>
      </c>
      <c r="D1782" s="33" t="s">
        <v>61</v>
      </c>
      <c r="E1782" s="91">
        <v>46936</v>
      </c>
      <c r="F1782" s="94">
        <v>63429.600000000006</v>
      </c>
      <c r="G1782" s="94">
        <v>63429.600000000006</v>
      </c>
    </row>
    <row r="1783" spans="1:7">
      <c r="A1783" s="57" t="s">
        <v>829</v>
      </c>
      <c r="B1783" s="57" t="s">
        <v>54</v>
      </c>
      <c r="C1783" s="57" t="s">
        <v>60</v>
      </c>
      <c r="D1783" s="33" t="s">
        <v>61</v>
      </c>
      <c r="E1783" s="91">
        <v>47120</v>
      </c>
      <c r="F1783" s="94">
        <v>63429.600000000006</v>
      </c>
      <c r="G1783" s="94">
        <v>63429.600000000006</v>
      </c>
    </row>
    <row r="1784" spans="1:7">
      <c r="A1784" s="57" t="s">
        <v>829</v>
      </c>
      <c r="B1784" s="57" t="s">
        <v>54</v>
      </c>
      <c r="C1784" s="57" t="s">
        <v>60</v>
      </c>
      <c r="D1784" s="33" t="s">
        <v>61</v>
      </c>
      <c r="E1784" s="91">
        <v>47301</v>
      </c>
      <c r="F1784" s="94">
        <v>63429.600000000006</v>
      </c>
      <c r="G1784" s="94">
        <v>63429.600000000006</v>
      </c>
    </row>
    <row r="1785" spans="1:7">
      <c r="A1785" s="57" t="s">
        <v>829</v>
      </c>
      <c r="B1785" s="57" t="s">
        <v>54</v>
      </c>
      <c r="C1785" s="57" t="s">
        <v>60</v>
      </c>
      <c r="D1785" s="33" t="s">
        <v>61</v>
      </c>
      <c r="E1785" s="91">
        <v>47485</v>
      </c>
      <c r="F1785" s="94">
        <v>63429.600000000006</v>
      </c>
      <c r="G1785" s="94">
        <v>63429.600000000006</v>
      </c>
    </row>
    <row r="1786" spans="1:7">
      <c r="A1786" s="57" t="s">
        <v>829</v>
      </c>
      <c r="B1786" s="57" t="s">
        <v>54</v>
      </c>
      <c r="C1786" s="57" t="s">
        <v>60</v>
      </c>
      <c r="D1786" s="33" t="s">
        <v>61</v>
      </c>
      <c r="E1786" s="91">
        <v>47666</v>
      </c>
      <c r="F1786" s="94">
        <v>63429.600000000006</v>
      </c>
      <c r="G1786" s="94">
        <v>63429.600000000006</v>
      </c>
    </row>
    <row r="1787" spans="1:7">
      <c r="A1787" s="57" t="s">
        <v>829</v>
      </c>
      <c r="B1787" s="57" t="s">
        <v>54</v>
      </c>
      <c r="C1787" s="57" t="s">
        <v>60</v>
      </c>
      <c r="D1787" s="33" t="s">
        <v>61</v>
      </c>
      <c r="E1787" s="91">
        <v>47850</v>
      </c>
      <c r="F1787" s="94">
        <v>63429.600000000006</v>
      </c>
      <c r="G1787" s="94">
        <v>63429.600000000006</v>
      </c>
    </row>
    <row r="1788" spans="1:7">
      <c r="A1788" s="57" t="s">
        <v>829</v>
      </c>
      <c r="B1788" s="57" t="s">
        <v>54</v>
      </c>
      <c r="C1788" s="57" t="s">
        <v>60</v>
      </c>
      <c r="D1788" s="33" t="s">
        <v>61</v>
      </c>
      <c r="E1788" s="91">
        <v>48031</v>
      </c>
      <c r="F1788" s="94">
        <v>63429.600000000006</v>
      </c>
      <c r="G1788" s="94">
        <v>2533429.6</v>
      </c>
    </row>
    <row r="1789" spans="1:7">
      <c r="A1789" s="87" t="s">
        <v>828</v>
      </c>
      <c r="B1789" s="87" t="s">
        <v>54</v>
      </c>
      <c r="C1789" s="88" t="s">
        <v>43</v>
      </c>
      <c r="D1789" s="87" t="s">
        <v>61</v>
      </c>
      <c r="E1789" s="89">
        <v>45659</v>
      </c>
      <c r="F1789" s="90">
        <v>17719.2</v>
      </c>
      <c r="G1789" s="90">
        <v>17719.2</v>
      </c>
    </row>
    <row r="1790" spans="1:7">
      <c r="A1790" s="57" t="s">
        <v>571</v>
      </c>
      <c r="B1790" s="57" t="s">
        <v>54</v>
      </c>
      <c r="C1790" s="57" t="s">
        <v>60</v>
      </c>
      <c r="D1790" s="33" t="s">
        <v>61</v>
      </c>
      <c r="E1790" s="91">
        <v>45840</v>
      </c>
      <c r="F1790" s="92">
        <v>17719.2</v>
      </c>
      <c r="G1790" s="92">
        <v>17719.2</v>
      </c>
    </row>
    <row r="1791" spans="1:7">
      <c r="A1791" s="57" t="s">
        <v>829</v>
      </c>
      <c r="B1791" s="57" t="s">
        <v>54</v>
      </c>
      <c r="C1791" s="57" t="s">
        <v>60</v>
      </c>
      <c r="D1791" s="33" t="s">
        <v>61</v>
      </c>
      <c r="E1791" s="91">
        <v>46024</v>
      </c>
      <c r="F1791" s="92">
        <v>17719.2</v>
      </c>
      <c r="G1791" s="92">
        <v>17719.2</v>
      </c>
    </row>
    <row r="1792" spans="1:7">
      <c r="A1792" s="57" t="s">
        <v>829</v>
      </c>
      <c r="B1792" s="57" t="s">
        <v>54</v>
      </c>
      <c r="C1792" s="57" t="s">
        <v>60</v>
      </c>
      <c r="D1792" s="33" t="s">
        <v>61</v>
      </c>
      <c r="E1792" s="91">
        <v>46205</v>
      </c>
      <c r="F1792" s="92">
        <v>17719.2</v>
      </c>
      <c r="G1792" s="92">
        <v>17719.2</v>
      </c>
    </row>
    <row r="1793" spans="1:7">
      <c r="A1793" s="57" t="s">
        <v>829</v>
      </c>
      <c r="B1793" s="57" t="s">
        <v>54</v>
      </c>
      <c r="C1793" s="57" t="s">
        <v>60</v>
      </c>
      <c r="D1793" s="33" t="s">
        <v>61</v>
      </c>
      <c r="E1793" s="91">
        <v>46389</v>
      </c>
      <c r="F1793" s="92">
        <v>17719.2</v>
      </c>
      <c r="G1793" s="92">
        <v>17719.2</v>
      </c>
    </row>
    <row r="1794" spans="1:7">
      <c r="A1794" s="57" t="s">
        <v>829</v>
      </c>
      <c r="B1794" s="57" t="s">
        <v>54</v>
      </c>
      <c r="C1794" s="57" t="s">
        <v>60</v>
      </c>
      <c r="D1794" s="33" t="s">
        <v>61</v>
      </c>
      <c r="E1794" s="91">
        <v>46570</v>
      </c>
      <c r="F1794" s="92">
        <v>17719.2</v>
      </c>
      <c r="G1794" s="92">
        <v>17719.2</v>
      </c>
    </row>
    <row r="1795" spans="1:7">
      <c r="A1795" s="57" t="s">
        <v>829</v>
      </c>
      <c r="B1795" s="57" t="s">
        <v>54</v>
      </c>
      <c r="C1795" s="57" t="s">
        <v>60</v>
      </c>
      <c r="D1795" s="33" t="s">
        <v>61</v>
      </c>
      <c r="E1795" s="91">
        <v>46754</v>
      </c>
      <c r="F1795" s="92">
        <v>17719.2</v>
      </c>
      <c r="G1795" s="92">
        <v>17719.2</v>
      </c>
    </row>
    <row r="1796" spans="1:7">
      <c r="A1796" s="57" t="s">
        <v>829</v>
      </c>
      <c r="B1796" s="57" t="s">
        <v>54</v>
      </c>
      <c r="C1796" s="57" t="s">
        <v>60</v>
      </c>
      <c r="D1796" s="33" t="s">
        <v>61</v>
      </c>
      <c r="E1796" s="91">
        <v>46936</v>
      </c>
      <c r="F1796" s="92">
        <v>17719.2</v>
      </c>
      <c r="G1796" s="92">
        <v>17719.2</v>
      </c>
    </row>
    <row r="1797" spans="1:7">
      <c r="A1797" s="57" t="s">
        <v>829</v>
      </c>
      <c r="B1797" s="57" t="s">
        <v>54</v>
      </c>
      <c r="C1797" s="57" t="s">
        <v>60</v>
      </c>
      <c r="D1797" s="33" t="s">
        <v>61</v>
      </c>
      <c r="E1797" s="91">
        <v>47120</v>
      </c>
      <c r="F1797" s="92">
        <v>17719.2</v>
      </c>
      <c r="G1797" s="92">
        <v>17719.2</v>
      </c>
    </row>
    <row r="1798" spans="1:7">
      <c r="A1798" s="57" t="s">
        <v>829</v>
      </c>
      <c r="B1798" s="57" t="s">
        <v>54</v>
      </c>
      <c r="C1798" s="57" t="s">
        <v>60</v>
      </c>
      <c r="D1798" s="33" t="s">
        <v>61</v>
      </c>
      <c r="E1798" s="91">
        <v>47301</v>
      </c>
      <c r="F1798" s="92">
        <v>17719.2</v>
      </c>
      <c r="G1798" s="92">
        <v>17719.2</v>
      </c>
    </row>
    <row r="1799" spans="1:7">
      <c r="A1799" s="57" t="s">
        <v>829</v>
      </c>
      <c r="B1799" s="57" t="s">
        <v>54</v>
      </c>
      <c r="C1799" s="57" t="s">
        <v>60</v>
      </c>
      <c r="D1799" s="33" t="s">
        <v>61</v>
      </c>
      <c r="E1799" s="91">
        <v>47485</v>
      </c>
      <c r="F1799" s="92">
        <v>17719.2</v>
      </c>
      <c r="G1799" s="92">
        <v>17719.2</v>
      </c>
    </row>
    <row r="1800" spans="1:7">
      <c r="A1800" s="57" t="s">
        <v>829</v>
      </c>
      <c r="B1800" s="57" t="s">
        <v>54</v>
      </c>
      <c r="C1800" s="57" t="s">
        <v>60</v>
      </c>
      <c r="D1800" s="33" t="s">
        <v>61</v>
      </c>
      <c r="E1800" s="91">
        <v>47666</v>
      </c>
      <c r="F1800" s="92">
        <v>17719.2</v>
      </c>
      <c r="G1800" s="92">
        <v>17719.2</v>
      </c>
    </row>
    <row r="1801" spans="1:7">
      <c r="A1801" s="57" t="s">
        <v>829</v>
      </c>
      <c r="B1801" s="57" t="s">
        <v>54</v>
      </c>
      <c r="C1801" s="57" t="s">
        <v>60</v>
      </c>
      <c r="D1801" s="33" t="s">
        <v>61</v>
      </c>
      <c r="E1801" s="91">
        <v>47850</v>
      </c>
      <c r="F1801" s="92">
        <v>17719.2</v>
      </c>
      <c r="G1801" s="92">
        <v>17719.2</v>
      </c>
    </row>
    <row r="1802" spans="1:7">
      <c r="A1802" s="57" t="s">
        <v>829</v>
      </c>
      <c r="B1802" s="57" t="s">
        <v>54</v>
      </c>
      <c r="C1802" s="57" t="s">
        <v>60</v>
      </c>
      <c r="D1802" s="33" t="s">
        <v>61</v>
      </c>
      <c r="E1802" s="91">
        <v>48031</v>
      </c>
      <c r="F1802" s="92">
        <v>17719.2</v>
      </c>
      <c r="G1802" s="94">
        <v>707719.2</v>
      </c>
    </row>
    <row r="1803" spans="1:7">
      <c r="A1803" s="87" t="s">
        <v>155</v>
      </c>
      <c r="B1803" s="87" t="s">
        <v>101</v>
      </c>
      <c r="C1803" s="88" t="s">
        <v>67</v>
      </c>
      <c r="D1803" s="87" t="s">
        <v>61</v>
      </c>
      <c r="E1803" s="89">
        <v>45178</v>
      </c>
      <c r="F1803" s="90">
        <v>82500</v>
      </c>
      <c r="G1803" s="90">
        <v>82500</v>
      </c>
    </row>
    <row r="1804" spans="1:7">
      <c r="A1804" s="33" t="s">
        <v>830</v>
      </c>
      <c r="B1804" s="33" t="s">
        <v>101</v>
      </c>
      <c r="C1804" s="48" t="s">
        <v>67</v>
      </c>
      <c r="D1804" s="33" t="s">
        <v>61</v>
      </c>
      <c r="E1804" s="93">
        <v>45360</v>
      </c>
      <c r="F1804" s="94">
        <v>82500</v>
      </c>
      <c r="G1804" s="94">
        <v>82500</v>
      </c>
    </row>
    <row r="1805" spans="1:7">
      <c r="A1805" s="33" t="s">
        <v>830</v>
      </c>
      <c r="B1805" s="33" t="s">
        <v>101</v>
      </c>
      <c r="C1805" s="48" t="s">
        <v>67</v>
      </c>
      <c r="D1805" s="33" t="s">
        <v>61</v>
      </c>
      <c r="E1805" s="93">
        <v>45544</v>
      </c>
      <c r="F1805" s="94">
        <v>82500</v>
      </c>
      <c r="G1805" s="94">
        <v>82500</v>
      </c>
    </row>
    <row r="1806" spans="1:7">
      <c r="A1806" s="33" t="s">
        <v>830</v>
      </c>
      <c r="B1806" s="33" t="s">
        <v>101</v>
      </c>
      <c r="C1806" s="48" t="s">
        <v>67</v>
      </c>
      <c r="D1806" s="33" t="s">
        <v>61</v>
      </c>
      <c r="E1806" s="93">
        <v>45725</v>
      </c>
      <c r="F1806" s="94">
        <v>82500</v>
      </c>
      <c r="G1806" s="94">
        <v>82500</v>
      </c>
    </row>
    <row r="1807" spans="1:7">
      <c r="A1807" s="33" t="s">
        <v>830</v>
      </c>
      <c r="B1807" s="33" t="s">
        <v>101</v>
      </c>
      <c r="C1807" s="48" t="s">
        <v>67</v>
      </c>
      <c r="D1807" s="33" t="s">
        <v>61</v>
      </c>
      <c r="E1807" s="93">
        <v>45909</v>
      </c>
      <c r="F1807" s="94">
        <v>82500</v>
      </c>
      <c r="G1807" s="94">
        <v>82500</v>
      </c>
    </row>
    <row r="1808" spans="1:7">
      <c r="A1808" s="33" t="s">
        <v>830</v>
      </c>
      <c r="B1808" s="33" t="s">
        <v>101</v>
      </c>
      <c r="C1808" s="48" t="s">
        <v>67</v>
      </c>
      <c r="D1808" s="33" t="s">
        <v>61</v>
      </c>
      <c r="E1808" s="93">
        <v>46090</v>
      </c>
      <c r="F1808" s="94">
        <v>82500</v>
      </c>
      <c r="G1808" s="94">
        <v>82500</v>
      </c>
    </row>
    <row r="1809" spans="1:7">
      <c r="A1809" s="33" t="s">
        <v>830</v>
      </c>
      <c r="B1809" s="33" t="s">
        <v>101</v>
      </c>
      <c r="C1809" s="48" t="s">
        <v>67</v>
      </c>
      <c r="D1809" s="33" t="s">
        <v>61</v>
      </c>
      <c r="E1809" s="93">
        <v>46274</v>
      </c>
      <c r="F1809" s="94">
        <v>82500</v>
      </c>
      <c r="G1809" s="94">
        <v>82500</v>
      </c>
    </row>
    <row r="1810" spans="1:7">
      <c r="A1810" s="33" t="s">
        <v>830</v>
      </c>
      <c r="B1810" s="33" t="s">
        <v>101</v>
      </c>
      <c r="C1810" s="48" t="s">
        <v>67</v>
      </c>
      <c r="D1810" s="33" t="s">
        <v>61</v>
      </c>
      <c r="E1810" s="93">
        <v>46455</v>
      </c>
      <c r="F1810" s="94">
        <v>82500</v>
      </c>
      <c r="G1810" s="94">
        <v>82500</v>
      </c>
    </row>
    <row r="1811" spans="1:7">
      <c r="A1811" s="33" t="s">
        <v>830</v>
      </c>
      <c r="B1811" s="33" t="s">
        <v>101</v>
      </c>
      <c r="C1811" s="48" t="s">
        <v>67</v>
      </c>
      <c r="D1811" s="33" t="s">
        <v>61</v>
      </c>
      <c r="E1811" s="93">
        <v>46639</v>
      </c>
      <c r="F1811" s="94">
        <v>82500</v>
      </c>
      <c r="G1811" s="94">
        <v>82500</v>
      </c>
    </row>
    <row r="1812" spans="1:7">
      <c r="A1812" s="33" t="s">
        <v>830</v>
      </c>
      <c r="B1812" s="33" t="s">
        <v>101</v>
      </c>
      <c r="C1812" s="48" t="s">
        <v>67</v>
      </c>
      <c r="D1812" s="33" t="s">
        <v>61</v>
      </c>
      <c r="E1812" s="93">
        <v>46821</v>
      </c>
      <c r="F1812" s="94">
        <v>82500</v>
      </c>
      <c r="G1812" s="94">
        <v>3082500</v>
      </c>
    </row>
    <row r="1813" spans="1:7">
      <c r="A1813" s="87" t="s">
        <v>155</v>
      </c>
      <c r="B1813" s="87" t="s">
        <v>754</v>
      </c>
      <c r="C1813" s="88" t="s">
        <v>67</v>
      </c>
      <c r="D1813" s="87" t="s">
        <v>61</v>
      </c>
      <c r="E1813" s="89">
        <v>45178</v>
      </c>
      <c r="F1813" s="90">
        <v>49500</v>
      </c>
      <c r="G1813" s="90">
        <v>49500</v>
      </c>
    </row>
    <row r="1814" spans="1:7">
      <c r="A1814" s="33" t="s">
        <v>155</v>
      </c>
      <c r="B1814" s="33" t="s">
        <v>754</v>
      </c>
      <c r="C1814" s="48" t="s">
        <v>67</v>
      </c>
      <c r="D1814" s="33" t="s">
        <v>61</v>
      </c>
      <c r="E1814" s="93">
        <v>45360</v>
      </c>
      <c r="F1814" s="94">
        <v>49500</v>
      </c>
      <c r="G1814" s="94">
        <v>49500</v>
      </c>
    </row>
    <row r="1815" spans="1:7">
      <c r="A1815" s="33" t="s">
        <v>155</v>
      </c>
      <c r="B1815" s="33" t="s">
        <v>754</v>
      </c>
      <c r="C1815" s="48" t="s">
        <v>67</v>
      </c>
      <c r="D1815" s="33" t="s">
        <v>61</v>
      </c>
      <c r="E1815" s="93">
        <v>45544</v>
      </c>
      <c r="F1815" s="94">
        <v>49500</v>
      </c>
      <c r="G1815" s="94">
        <v>49500</v>
      </c>
    </row>
    <row r="1816" spans="1:7">
      <c r="A1816" s="33" t="s">
        <v>831</v>
      </c>
      <c r="B1816" s="33" t="s">
        <v>754</v>
      </c>
      <c r="C1816" s="48" t="s">
        <v>67</v>
      </c>
      <c r="D1816" s="33" t="s">
        <v>61</v>
      </c>
      <c r="E1816" s="93">
        <v>45725</v>
      </c>
      <c r="F1816" s="94">
        <v>49500</v>
      </c>
      <c r="G1816" s="94">
        <v>49500</v>
      </c>
    </row>
    <row r="1817" spans="1:7">
      <c r="A1817" s="33" t="s">
        <v>831</v>
      </c>
      <c r="B1817" s="33" t="s">
        <v>754</v>
      </c>
      <c r="C1817" s="48" t="s">
        <v>67</v>
      </c>
      <c r="D1817" s="33" t="s">
        <v>61</v>
      </c>
      <c r="E1817" s="93">
        <v>45909</v>
      </c>
      <c r="F1817" s="94">
        <v>49500</v>
      </c>
      <c r="G1817" s="94">
        <v>49500</v>
      </c>
    </row>
    <row r="1818" spans="1:7">
      <c r="A1818" s="33" t="s">
        <v>831</v>
      </c>
      <c r="B1818" s="33" t="s">
        <v>754</v>
      </c>
      <c r="C1818" s="48" t="s">
        <v>67</v>
      </c>
      <c r="D1818" s="33" t="s">
        <v>61</v>
      </c>
      <c r="E1818" s="93">
        <v>46090</v>
      </c>
      <c r="F1818" s="94">
        <v>49500</v>
      </c>
      <c r="G1818" s="94">
        <v>49500</v>
      </c>
    </row>
    <row r="1819" spans="1:7">
      <c r="A1819" s="33" t="s">
        <v>831</v>
      </c>
      <c r="B1819" s="33" t="s">
        <v>754</v>
      </c>
      <c r="C1819" s="48" t="s">
        <v>67</v>
      </c>
      <c r="D1819" s="33" t="s">
        <v>61</v>
      </c>
      <c r="E1819" s="93">
        <v>46274</v>
      </c>
      <c r="F1819" s="94">
        <v>49500</v>
      </c>
      <c r="G1819" s="94">
        <v>49500</v>
      </c>
    </row>
    <row r="1820" spans="1:7">
      <c r="A1820" s="33" t="s">
        <v>831</v>
      </c>
      <c r="B1820" s="33" t="s">
        <v>754</v>
      </c>
      <c r="C1820" s="48" t="s">
        <v>67</v>
      </c>
      <c r="D1820" s="33" t="s">
        <v>61</v>
      </c>
      <c r="E1820" s="93">
        <v>46455</v>
      </c>
      <c r="F1820" s="94">
        <v>49500</v>
      </c>
      <c r="G1820" s="94">
        <v>49500</v>
      </c>
    </row>
    <row r="1821" spans="1:7">
      <c r="A1821" s="33" t="s">
        <v>831</v>
      </c>
      <c r="B1821" s="33" t="s">
        <v>754</v>
      </c>
      <c r="C1821" s="48" t="s">
        <v>67</v>
      </c>
      <c r="D1821" s="33" t="s">
        <v>61</v>
      </c>
      <c r="E1821" s="93">
        <v>46639</v>
      </c>
      <c r="F1821" s="94">
        <v>49500</v>
      </c>
      <c r="G1821" s="94">
        <v>49500</v>
      </c>
    </row>
    <row r="1822" spans="1:7">
      <c r="A1822" s="33" t="s">
        <v>831</v>
      </c>
      <c r="B1822" s="33" t="s">
        <v>754</v>
      </c>
      <c r="C1822" s="48" t="s">
        <v>67</v>
      </c>
      <c r="D1822" s="33" t="s">
        <v>61</v>
      </c>
      <c r="E1822" s="93">
        <v>46821</v>
      </c>
      <c r="F1822" s="94">
        <v>49500</v>
      </c>
      <c r="G1822" s="94">
        <v>1849500</v>
      </c>
    </row>
    <row r="1823" spans="1:7">
      <c r="A1823" s="87" t="s">
        <v>832</v>
      </c>
      <c r="B1823" s="87" t="s">
        <v>223</v>
      </c>
      <c r="C1823" s="88" t="s">
        <v>43</v>
      </c>
      <c r="D1823" s="87" t="s">
        <v>61</v>
      </c>
      <c r="E1823" s="89">
        <v>45672</v>
      </c>
      <c r="F1823" s="90">
        <v>9275</v>
      </c>
      <c r="G1823" s="90">
        <v>9275</v>
      </c>
    </row>
    <row r="1824" spans="1:7">
      <c r="A1824" s="56" t="s">
        <v>638</v>
      </c>
      <c r="B1824" s="56" t="s">
        <v>321</v>
      </c>
      <c r="C1824" s="57" t="s">
        <v>60</v>
      </c>
      <c r="D1824" s="36" t="s">
        <v>61</v>
      </c>
      <c r="E1824" s="93">
        <v>45853</v>
      </c>
      <c r="F1824" s="100">
        <v>9275</v>
      </c>
      <c r="G1824" s="99">
        <v>9275</v>
      </c>
    </row>
    <row r="1825" spans="1:7">
      <c r="A1825" s="56" t="s">
        <v>833</v>
      </c>
      <c r="B1825" s="56" t="s">
        <v>321</v>
      </c>
      <c r="C1825" s="57" t="s">
        <v>60</v>
      </c>
      <c r="D1825" s="36" t="s">
        <v>61</v>
      </c>
      <c r="E1825" s="93">
        <v>46037</v>
      </c>
      <c r="F1825" s="100">
        <v>9275</v>
      </c>
      <c r="G1825" s="99">
        <v>9275</v>
      </c>
    </row>
    <row r="1826" spans="1:7">
      <c r="A1826" s="56" t="s">
        <v>833</v>
      </c>
      <c r="B1826" s="56" t="s">
        <v>321</v>
      </c>
      <c r="C1826" s="57" t="s">
        <v>60</v>
      </c>
      <c r="D1826" s="36" t="s">
        <v>61</v>
      </c>
      <c r="E1826" s="93">
        <v>46218</v>
      </c>
      <c r="F1826" s="100">
        <v>9275</v>
      </c>
      <c r="G1826" s="99">
        <v>9275</v>
      </c>
    </row>
    <row r="1827" spans="1:7">
      <c r="A1827" s="56" t="s">
        <v>833</v>
      </c>
      <c r="B1827" s="56" t="s">
        <v>321</v>
      </c>
      <c r="C1827" s="57" t="s">
        <v>60</v>
      </c>
      <c r="D1827" s="36" t="s">
        <v>61</v>
      </c>
      <c r="E1827" s="93">
        <v>46402</v>
      </c>
      <c r="F1827" s="100">
        <v>9275</v>
      </c>
      <c r="G1827" s="99">
        <v>9275</v>
      </c>
    </row>
    <row r="1828" spans="1:7">
      <c r="A1828" s="56" t="s">
        <v>833</v>
      </c>
      <c r="B1828" s="56" t="s">
        <v>321</v>
      </c>
      <c r="C1828" s="57" t="s">
        <v>60</v>
      </c>
      <c r="D1828" s="36" t="s">
        <v>61</v>
      </c>
      <c r="E1828" s="93">
        <v>46583</v>
      </c>
      <c r="F1828" s="100">
        <v>9275</v>
      </c>
      <c r="G1828" s="99">
        <v>9275</v>
      </c>
    </row>
    <row r="1829" spans="1:7">
      <c r="A1829" s="56" t="s">
        <v>833</v>
      </c>
      <c r="B1829" s="56" t="s">
        <v>321</v>
      </c>
      <c r="C1829" s="57" t="s">
        <v>60</v>
      </c>
      <c r="D1829" s="36" t="s">
        <v>61</v>
      </c>
      <c r="E1829" s="93">
        <v>46767</v>
      </c>
      <c r="F1829" s="100">
        <v>9275</v>
      </c>
      <c r="G1829" s="99">
        <v>9275</v>
      </c>
    </row>
    <row r="1830" spans="1:7">
      <c r="A1830" s="56" t="s">
        <v>833</v>
      </c>
      <c r="B1830" s="56" t="s">
        <v>321</v>
      </c>
      <c r="C1830" s="57" t="s">
        <v>60</v>
      </c>
      <c r="D1830" s="36" t="s">
        <v>61</v>
      </c>
      <c r="E1830" s="93">
        <v>46949</v>
      </c>
      <c r="F1830" s="100">
        <v>9275</v>
      </c>
      <c r="G1830" s="99">
        <v>9275</v>
      </c>
    </row>
    <row r="1831" spans="1:7">
      <c r="A1831" s="56" t="s">
        <v>833</v>
      </c>
      <c r="B1831" s="56" t="s">
        <v>321</v>
      </c>
      <c r="C1831" s="57" t="s">
        <v>60</v>
      </c>
      <c r="D1831" s="36" t="s">
        <v>61</v>
      </c>
      <c r="E1831" s="93">
        <v>47133</v>
      </c>
      <c r="F1831" s="100">
        <v>9275</v>
      </c>
      <c r="G1831" s="99">
        <v>9275</v>
      </c>
    </row>
    <row r="1832" spans="1:7">
      <c r="A1832" s="56" t="s">
        <v>833</v>
      </c>
      <c r="B1832" s="56" t="s">
        <v>321</v>
      </c>
      <c r="C1832" s="57" t="s">
        <v>60</v>
      </c>
      <c r="D1832" s="36" t="s">
        <v>61</v>
      </c>
      <c r="E1832" s="93">
        <v>47314</v>
      </c>
      <c r="F1832" s="100">
        <v>9275</v>
      </c>
      <c r="G1832" s="99">
        <v>9275</v>
      </c>
    </row>
    <row r="1833" spans="1:7">
      <c r="A1833" s="56" t="s">
        <v>833</v>
      </c>
      <c r="B1833" s="56" t="s">
        <v>321</v>
      </c>
      <c r="C1833" s="57" t="s">
        <v>60</v>
      </c>
      <c r="D1833" s="36" t="s">
        <v>61</v>
      </c>
      <c r="E1833" s="93">
        <v>47498</v>
      </c>
      <c r="F1833" s="100">
        <v>9275</v>
      </c>
      <c r="G1833" s="99">
        <v>9275</v>
      </c>
    </row>
    <row r="1834" spans="1:7">
      <c r="A1834" s="56" t="s">
        <v>833</v>
      </c>
      <c r="B1834" s="56" t="s">
        <v>321</v>
      </c>
      <c r="C1834" s="57" t="s">
        <v>60</v>
      </c>
      <c r="D1834" s="36" t="s">
        <v>61</v>
      </c>
      <c r="E1834" s="93">
        <v>47679</v>
      </c>
      <c r="F1834" s="100">
        <v>9275</v>
      </c>
      <c r="G1834" s="99">
        <v>9275</v>
      </c>
    </row>
    <row r="1835" spans="1:7">
      <c r="A1835" s="56" t="s">
        <v>833</v>
      </c>
      <c r="B1835" s="56" t="s">
        <v>321</v>
      </c>
      <c r="C1835" s="57" t="s">
        <v>60</v>
      </c>
      <c r="D1835" s="36" t="s">
        <v>61</v>
      </c>
      <c r="E1835" s="93">
        <v>47863</v>
      </c>
      <c r="F1835" s="100">
        <v>9275</v>
      </c>
      <c r="G1835" s="99">
        <v>9275</v>
      </c>
    </row>
    <row r="1836" spans="1:7">
      <c r="A1836" s="56" t="s">
        <v>833</v>
      </c>
      <c r="B1836" s="56" t="s">
        <v>321</v>
      </c>
      <c r="C1836" s="57" t="s">
        <v>60</v>
      </c>
      <c r="D1836" s="36" t="s">
        <v>61</v>
      </c>
      <c r="E1836" s="93">
        <v>48044</v>
      </c>
      <c r="F1836" s="100">
        <v>9275</v>
      </c>
      <c r="G1836" s="99">
        <v>9275</v>
      </c>
    </row>
    <row r="1837" spans="1:7">
      <c r="A1837" s="56" t="s">
        <v>833</v>
      </c>
      <c r="B1837" s="56" t="s">
        <v>321</v>
      </c>
      <c r="C1837" s="57" t="s">
        <v>60</v>
      </c>
      <c r="D1837" s="36" t="s">
        <v>61</v>
      </c>
      <c r="E1837" s="93">
        <v>48228</v>
      </c>
      <c r="F1837" s="100">
        <v>9275</v>
      </c>
      <c r="G1837" s="99">
        <v>709275</v>
      </c>
    </row>
    <row r="1838" spans="1:7">
      <c r="A1838" s="87" t="s">
        <v>146</v>
      </c>
      <c r="B1838" s="87" t="s">
        <v>77</v>
      </c>
      <c r="C1838" s="88" t="s">
        <v>43</v>
      </c>
      <c r="D1838" s="87" t="s">
        <v>61</v>
      </c>
      <c r="E1838" s="89">
        <v>45344</v>
      </c>
      <c r="F1838" s="90">
        <v>46875</v>
      </c>
      <c r="G1838" s="90">
        <v>46875</v>
      </c>
    </row>
    <row r="1839" spans="1:7">
      <c r="A1839" s="33" t="s">
        <v>146</v>
      </c>
      <c r="B1839" s="33" t="s">
        <v>77</v>
      </c>
      <c r="C1839" s="48" t="s">
        <v>43</v>
      </c>
      <c r="D1839" s="33" t="s">
        <v>61</v>
      </c>
      <c r="E1839" s="93">
        <v>45526</v>
      </c>
      <c r="F1839" s="94">
        <v>46875</v>
      </c>
      <c r="G1839" s="94">
        <v>46875</v>
      </c>
    </row>
    <row r="1840" spans="1:7">
      <c r="A1840" s="33" t="s">
        <v>146</v>
      </c>
      <c r="B1840" s="33" t="s">
        <v>77</v>
      </c>
      <c r="C1840" s="48" t="s">
        <v>43</v>
      </c>
      <c r="D1840" s="33" t="s">
        <v>61</v>
      </c>
      <c r="E1840" s="91">
        <v>45710</v>
      </c>
      <c r="F1840" s="94">
        <v>46875</v>
      </c>
      <c r="G1840" s="94">
        <v>46875</v>
      </c>
    </row>
    <row r="1841" spans="1:7">
      <c r="A1841" s="33" t="s">
        <v>834</v>
      </c>
      <c r="B1841" s="33" t="s">
        <v>77</v>
      </c>
      <c r="C1841" s="48" t="s">
        <v>43</v>
      </c>
      <c r="D1841" s="33" t="s">
        <v>61</v>
      </c>
      <c r="E1841" s="93">
        <v>45891</v>
      </c>
      <c r="F1841" s="94">
        <v>46875</v>
      </c>
      <c r="G1841" s="94">
        <v>46875</v>
      </c>
    </row>
    <row r="1842" spans="1:7">
      <c r="A1842" s="33" t="s">
        <v>834</v>
      </c>
      <c r="B1842" s="33" t="s">
        <v>77</v>
      </c>
      <c r="C1842" s="48" t="s">
        <v>43</v>
      </c>
      <c r="D1842" s="33" t="s">
        <v>61</v>
      </c>
      <c r="E1842" s="91">
        <v>46075</v>
      </c>
      <c r="F1842" s="94">
        <v>46875</v>
      </c>
      <c r="G1842" s="94">
        <v>46875</v>
      </c>
    </row>
    <row r="1843" spans="1:7">
      <c r="A1843" s="33" t="s">
        <v>834</v>
      </c>
      <c r="B1843" s="33" t="s">
        <v>77</v>
      </c>
      <c r="C1843" s="48" t="s">
        <v>43</v>
      </c>
      <c r="D1843" s="33" t="s">
        <v>61</v>
      </c>
      <c r="E1843" s="93">
        <v>46256</v>
      </c>
      <c r="F1843" s="94">
        <v>46875</v>
      </c>
      <c r="G1843" s="94">
        <v>46875</v>
      </c>
    </row>
    <row r="1844" spans="1:7">
      <c r="A1844" s="33" t="s">
        <v>834</v>
      </c>
      <c r="B1844" s="33" t="s">
        <v>77</v>
      </c>
      <c r="C1844" s="48" t="s">
        <v>43</v>
      </c>
      <c r="D1844" s="33" t="s">
        <v>61</v>
      </c>
      <c r="E1844" s="91">
        <v>46440</v>
      </c>
      <c r="F1844" s="94">
        <v>46875</v>
      </c>
      <c r="G1844" s="94">
        <v>46875</v>
      </c>
    </row>
    <row r="1845" spans="1:7">
      <c r="A1845" s="33" t="s">
        <v>834</v>
      </c>
      <c r="B1845" s="33" t="s">
        <v>77</v>
      </c>
      <c r="C1845" s="48" t="s">
        <v>43</v>
      </c>
      <c r="D1845" s="33" t="s">
        <v>61</v>
      </c>
      <c r="E1845" s="93">
        <v>46621</v>
      </c>
      <c r="F1845" s="94">
        <v>46875</v>
      </c>
      <c r="G1845" s="94">
        <v>46875</v>
      </c>
    </row>
    <row r="1846" spans="1:7">
      <c r="A1846" s="33" t="s">
        <v>834</v>
      </c>
      <c r="B1846" s="33" t="s">
        <v>77</v>
      </c>
      <c r="C1846" s="48" t="s">
        <v>43</v>
      </c>
      <c r="D1846" s="33" t="s">
        <v>61</v>
      </c>
      <c r="E1846" s="91">
        <v>46805</v>
      </c>
      <c r="F1846" s="94">
        <v>46875</v>
      </c>
      <c r="G1846" s="94">
        <v>2546875</v>
      </c>
    </row>
    <row r="1847" spans="1:7">
      <c r="A1847" s="87" t="s">
        <v>146</v>
      </c>
      <c r="B1847" s="87" t="s">
        <v>77</v>
      </c>
      <c r="C1847" s="88" t="s">
        <v>43</v>
      </c>
      <c r="D1847" s="87" t="s">
        <v>61</v>
      </c>
      <c r="E1847" s="89">
        <v>45337</v>
      </c>
      <c r="F1847" s="90">
        <v>46814.1</v>
      </c>
      <c r="G1847" s="90">
        <v>46814.1</v>
      </c>
    </row>
    <row r="1848" spans="1:7">
      <c r="A1848" s="33" t="s">
        <v>146</v>
      </c>
      <c r="B1848" s="33" t="s">
        <v>77</v>
      </c>
      <c r="C1848" s="48" t="s">
        <v>43</v>
      </c>
      <c r="D1848" s="33" t="s">
        <v>61</v>
      </c>
      <c r="E1848" s="93">
        <v>45519</v>
      </c>
      <c r="F1848" s="94">
        <v>46814.1</v>
      </c>
      <c r="G1848" s="94">
        <v>46814.1</v>
      </c>
    </row>
    <row r="1849" spans="1:7">
      <c r="A1849" s="33" t="s">
        <v>834</v>
      </c>
      <c r="B1849" s="33" t="s">
        <v>77</v>
      </c>
      <c r="C1849" s="48" t="s">
        <v>43</v>
      </c>
      <c r="D1849" s="33" t="s">
        <v>61</v>
      </c>
      <c r="E1849" s="91">
        <v>45703</v>
      </c>
      <c r="F1849" s="94">
        <v>46814.1</v>
      </c>
      <c r="G1849" s="94">
        <v>46814.1</v>
      </c>
    </row>
    <row r="1850" spans="1:7">
      <c r="A1850" s="33" t="s">
        <v>834</v>
      </c>
      <c r="B1850" s="33" t="s">
        <v>77</v>
      </c>
      <c r="C1850" s="48" t="s">
        <v>43</v>
      </c>
      <c r="D1850" s="33" t="s">
        <v>61</v>
      </c>
      <c r="E1850" s="93">
        <v>45884</v>
      </c>
      <c r="F1850" s="94">
        <v>46814.1</v>
      </c>
      <c r="G1850" s="94">
        <v>46814.1</v>
      </c>
    </row>
    <row r="1851" spans="1:7">
      <c r="A1851" s="33" t="s">
        <v>834</v>
      </c>
      <c r="B1851" s="33" t="s">
        <v>77</v>
      </c>
      <c r="C1851" s="48" t="s">
        <v>43</v>
      </c>
      <c r="D1851" s="33" t="s">
        <v>61</v>
      </c>
      <c r="E1851" s="91">
        <v>46068</v>
      </c>
      <c r="F1851" s="94">
        <v>46814.1</v>
      </c>
      <c r="G1851" s="94">
        <v>46814.1</v>
      </c>
    </row>
    <row r="1852" spans="1:7">
      <c r="A1852" s="33" t="s">
        <v>834</v>
      </c>
      <c r="B1852" s="33" t="s">
        <v>77</v>
      </c>
      <c r="C1852" s="48" t="s">
        <v>43</v>
      </c>
      <c r="D1852" s="33" t="s">
        <v>61</v>
      </c>
      <c r="E1852" s="93">
        <v>46249</v>
      </c>
      <c r="F1852" s="94">
        <v>46814.1</v>
      </c>
      <c r="G1852" s="94">
        <v>46814.1</v>
      </c>
    </row>
    <row r="1853" spans="1:7">
      <c r="A1853" s="33" t="s">
        <v>834</v>
      </c>
      <c r="B1853" s="33" t="s">
        <v>77</v>
      </c>
      <c r="C1853" s="48" t="s">
        <v>43</v>
      </c>
      <c r="D1853" s="33" t="s">
        <v>61</v>
      </c>
      <c r="E1853" s="91">
        <v>46433</v>
      </c>
      <c r="F1853" s="94">
        <v>46814.1</v>
      </c>
      <c r="G1853" s="94">
        <v>46814.1</v>
      </c>
    </row>
    <row r="1854" spans="1:7">
      <c r="A1854" s="33" t="s">
        <v>834</v>
      </c>
      <c r="B1854" s="33" t="s">
        <v>77</v>
      </c>
      <c r="C1854" s="48" t="s">
        <v>43</v>
      </c>
      <c r="D1854" s="33" t="s">
        <v>61</v>
      </c>
      <c r="E1854" s="93">
        <v>46614</v>
      </c>
      <c r="F1854" s="94">
        <v>46814.1</v>
      </c>
      <c r="G1854" s="94">
        <v>46814.1</v>
      </c>
    </row>
    <row r="1855" spans="1:7">
      <c r="A1855" s="33" t="s">
        <v>834</v>
      </c>
      <c r="B1855" s="33" t="s">
        <v>77</v>
      </c>
      <c r="C1855" s="48" t="s">
        <v>43</v>
      </c>
      <c r="D1855" s="33" t="s">
        <v>61</v>
      </c>
      <c r="E1855" s="91">
        <v>46798</v>
      </c>
      <c r="F1855" s="94">
        <v>46814.1</v>
      </c>
      <c r="G1855" s="94">
        <v>1956814.1</v>
      </c>
    </row>
    <row r="1856" spans="1:7">
      <c r="A1856" s="87" t="s">
        <v>617</v>
      </c>
      <c r="B1856" s="87" t="s">
        <v>54</v>
      </c>
      <c r="C1856" s="88" t="s">
        <v>43</v>
      </c>
      <c r="D1856" s="87" t="s">
        <v>61</v>
      </c>
      <c r="E1856" s="89">
        <v>45457</v>
      </c>
      <c r="F1856" s="90">
        <v>68750</v>
      </c>
      <c r="G1856" s="90">
        <v>68750</v>
      </c>
    </row>
    <row r="1857" spans="1:7">
      <c r="A1857" s="33" t="s">
        <v>617</v>
      </c>
      <c r="B1857" s="33" t="s">
        <v>54</v>
      </c>
      <c r="C1857" s="48" t="s">
        <v>43</v>
      </c>
      <c r="D1857" s="33" t="s">
        <v>61</v>
      </c>
      <c r="E1857" s="93">
        <v>45640</v>
      </c>
      <c r="F1857" s="94">
        <v>68750</v>
      </c>
      <c r="G1857" s="94">
        <v>68750</v>
      </c>
    </row>
    <row r="1858" spans="1:7">
      <c r="A1858" s="33" t="s">
        <v>835</v>
      </c>
      <c r="B1858" s="33" t="s">
        <v>54</v>
      </c>
      <c r="C1858" s="48" t="s">
        <v>43</v>
      </c>
      <c r="D1858" s="33" t="s">
        <v>61</v>
      </c>
      <c r="E1858" s="91">
        <v>45822</v>
      </c>
      <c r="F1858" s="94">
        <v>68750</v>
      </c>
      <c r="G1858" s="94">
        <v>68750</v>
      </c>
    </row>
    <row r="1859" spans="1:7">
      <c r="A1859" s="33" t="s">
        <v>835</v>
      </c>
      <c r="B1859" s="33" t="s">
        <v>54</v>
      </c>
      <c r="C1859" s="48" t="s">
        <v>43</v>
      </c>
      <c r="D1859" s="33" t="s">
        <v>61</v>
      </c>
      <c r="E1859" s="93">
        <v>46005</v>
      </c>
      <c r="F1859" s="94">
        <v>68750</v>
      </c>
      <c r="G1859" s="94">
        <v>68750</v>
      </c>
    </row>
    <row r="1860" spans="1:7">
      <c r="A1860" s="33" t="s">
        <v>835</v>
      </c>
      <c r="B1860" s="33" t="s">
        <v>54</v>
      </c>
      <c r="C1860" s="48" t="s">
        <v>43</v>
      </c>
      <c r="D1860" s="33" t="s">
        <v>61</v>
      </c>
      <c r="E1860" s="91">
        <v>46187</v>
      </c>
      <c r="F1860" s="94">
        <v>68750</v>
      </c>
      <c r="G1860" s="94">
        <v>68750</v>
      </c>
    </row>
    <row r="1861" spans="1:7">
      <c r="A1861" s="33" t="s">
        <v>835</v>
      </c>
      <c r="B1861" s="33" t="s">
        <v>54</v>
      </c>
      <c r="C1861" s="48" t="s">
        <v>43</v>
      </c>
      <c r="D1861" s="33" t="s">
        <v>61</v>
      </c>
      <c r="E1861" s="93">
        <v>46370</v>
      </c>
      <c r="F1861" s="94">
        <v>68750</v>
      </c>
      <c r="G1861" s="94">
        <v>68750</v>
      </c>
    </row>
    <row r="1862" spans="1:7">
      <c r="A1862" s="33" t="s">
        <v>835</v>
      </c>
      <c r="B1862" s="33" t="s">
        <v>54</v>
      </c>
      <c r="C1862" s="48" t="s">
        <v>43</v>
      </c>
      <c r="D1862" s="33" t="s">
        <v>61</v>
      </c>
      <c r="E1862" s="91">
        <v>46552</v>
      </c>
      <c r="F1862" s="94">
        <v>68750</v>
      </c>
      <c r="G1862" s="94">
        <v>68750</v>
      </c>
    </row>
    <row r="1863" spans="1:7">
      <c r="A1863" s="33" t="s">
        <v>835</v>
      </c>
      <c r="B1863" s="33" t="s">
        <v>54</v>
      </c>
      <c r="C1863" s="48" t="s">
        <v>43</v>
      </c>
      <c r="D1863" s="33" t="s">
        <v>61</v>
      </c>
      <c r="E1863" s="93">
        <v>46735</v>
      </c>
      <c r="F1863" s="94">
        <v>68750</v>
      </c>
      <c r="G1863" s="94">
        <v>68750</v>
      </c>
    </row>
    <row r="1864" spans="1:7">
      <c r="A1864" s="33" t="s">
        <v>835</v>
      </c>
      <c r="B1864" s="33" t="s">
        <v>54</v>
      </c>
      <c r="C1864" s="48" t="s">
        <v>43</v>
      </c>
      <c r="D1864" s="33" t="s">
        <v>61</v>
      </c>
      <c r="E1864" s="91">
        <v>46918</v>
      </c>
      <c r="F1864" s="94">
        <v>68750</v>
      </c>
      <c r="G1864" s="94">
        <v>68750</v>
      </c>
    </row>
    <row r="1865" spans="1:7">
      <c r="A1865" s="33" t="s">
        <v>835</v>
      </c>
      <c r="B1865" s="33" t="s">
        <v>54</v>
      </c>
      <c r="C1865" s="48" t="s">
        <v>43</v>
      </c>
      <c r="D1865" s="33" t="s">
        <v>61</v>
      </c>
      <c r="E1865" s="93">
        <v>47101</v>
      </c>
      <c r="F1865" s="94">
        <v>68750</v>
      </c>
      <c r="G1865" s="94">
        <v>68750</v>
      </c>
    </row>
    <row r="1866" spans="1:7">
      <c r="A1866" s="33" t="s">
        <v>835</v>
      </c>
      <c r="B1866" s="33" t="s">
        <v>54</v>
      </c>
      <c r="C1866" s="48" t="s">
        <v>43</v>
      </c>
      <c r="D1866" s="33" t="s">
        <v>61</v>
      </c>
      <c r="E1866" s="91">
        <v>47283</v>
      </c>
      <c r="F1866" s="94">
        <v>68750</v>
      </c>
      <c r="G1866" s="94">
        <v>68750</v>
      </c>
    </row>
    <row r="1867" spans="1:7">
      <c r="A1867" s="33" t="s">
        <v>835</v>
      </c>
      <c r="B1867" s="33" t="s">
        <v>54</v>
      </c>
      <c r="C1867" s="48" t="s">
        <v>43</v>
      </c>
      <c r="D1867" s="33" t="s">
        <v>61</v>
      </c>
      <c r="E1867" s="93">
        <v>47466</v>
      </c>
      <c r="F1867" s="94">
        <v>68750</v>
      </c>
      <c r="G1867" s="94">
        <v>68750</v>
      </c>
    </row>
    <row r="1868" spans="1:7">
      <c r="A1868" s="33" t="s">
        <v>835</v>
      </c>
      <c r="B1868" s="33" t="s">
        <v>54</v>
      </c>
      <c r="C1868" s="48" t="s">
        <v>43</v>
      </c>
      <c r="D1868" s="33" t="s">
        <v>61</v>
      </c>
      <c r="E1868" s="91">
        <v>47648</v>
      </c>
      <c r="F1868" s="94">
        <v>68750</v>
      </c>
      <c r="G1868" s="94">
        <v>68750</v>
      </c>
    </row>
    <row r="1869" spans="1:7">
      <c r="A1869" s="33" t="s">
        <v>835</v>
      </c>
      <c r="B1869" s="33" t="s">
        <v>54</v>
      </c>
      <c r="C1869" s="48" t="s">
        <v>43</v>
      </c>
      <c r="D1869" s="33" t="s">
        <v>61</v>
      </c>
      <c r="E1869" s="93">
        <v>47831</v>
      </c>
      <c r="F1869" s="94">
        <v>68750</v>
      </c>
      <c r="G1869" s="94">
        <v>68750</v>
      </c>
    </row>
    <row r="1870" spans="1:7">
      <c r="A1870" s="33" t="s">
        <v>835</v>
      </c>
      <c r="B1870" s="33" t="s">
        <v>54</v>
      </c>
      <c r="C1870" s="48" t="s">
        <v>43</v>
      </c>
      <c r="D1870" s="33" t="s">
        <v>61</v>
      </c>
      <c r="E1870" s="91">
        <v>48013</v>
      </c>
      <c r="F1870" s="94">
        <v>68750</v>
      </c>
      <c r="G1870" s="94">
        <v>68750</v>
      </c>
    </row>
    <row r="1871" spans="1:7">
      <c r="A1871" s="33" t="s">
        <v>835</v>
      </c>
      <c r="B1871" s="33" t="s">
        <v>54</v>
      </c>
      <c r="C1871" s="48" t="s">
        <v>43</v>
      </c>
      <c r="D1871" s="33" t="s">
        <v>61</v>
      </c>
      <c r="E1871" s="93">
        <v>48196</v>
      </c>
      <c r="F1871" s="94">
        <v>68750</v>
      </c>
      <c r="G1871" s="94">
        <v>5568750</v>
      </c>
    </row>
    <row r="1872" spans="1:7">
      <c r="A1872" s="87" t="s">
        <v>676</v>
      </c>
      <c r="B1872" s="87" t="s">
        <v>54</v>
      </c>
      <c r="C1872" s="88" t="s">
        <v>43</v>
      </c>
      <c r="D1872" s="87" t="s">
        <v>61</v>
      </c>
      <c r="E1872" s="89">
        <v>45429</v>
      </c>
      <c r="F1872" s="90">
        <v>48500</v>
      </c>
      <c r="G1872" s="90">
        <v>48500</v>
      </c>
    </row>
    <row r="1873" spans="1:7">
      <c r="A1873" s="33" t="s">
        <v>676</v>
      </c>
      <c r="B1873" s="33" t="s">
        <v>54</v>
      </c>
      <c r="C1873" s="33" t="s">
        <v>60</v>
      </c>
      <c r="D1873" s="36" t="s">
        <v>61</v>
      </c>
      <c r="E1873" s="91">
        <v>45613</v>
      </c>
      <c r="F1873" s="92">
        <v>48500</v>
      </c>
      <c r="G1873" s="92">
        <v>48500</v>
      </c>
    </row>
    <row r="1874" spans="1:7">
      <c r="A1874" s="33" t="s">
        <v>836</v>
      </c>
      <c r="B1874" s="33" t="s">
        <v>54</v>
      </c>
      <c r="C1874" s="33" t="s">
        <v>60</v>
      </c>
      <c r="D1874" s="36" t="s">
        <v>61</v>
      </c>
      <c r="E1874" s="91">
        <v>45794</v>
      </c>
      <c r="F1874" s="92">
        <v>48500</v>
      </c>
      <c r="G1874" s="92">
        <v>48500</v>
      </c>
    </row>
    <row r="1875" spans="1:7">
      <c r="A1875" s="33" t="s">
        <v>836</v>
      </c>
      <c r="B1875" s="33" t="s">
        <v>54</v>
      </c>
      <c r="C1875" s="33" t="s">
        <v>60</v>
      </c>
      <c r="D1875" s="36" t="s">
        <v>61</v>
      </c>
      <c r="E1875" s="91">
        <v>45978</v>
      </c>
      <c r="F1875" s="94">
        <v>48500</v>
      </c>
      <c r="G1875" s="94">
        <v>48500</v>
      </c>
    </row>
    <row r="1876" spans="1:7">
      <c r="A1876" s="33" t="s">
        <v>836</v>
      </c>
      <c r="B1876" s="33" t="s">
        <v>54</v>
      </c>
      <c r="C1876" s="33" t="s">
        <v>60</v>
      </c>
      <c r="D1876" s="36" t="s">
        <v>61</v>
      </c>
      <c r="E1876" s="91">
        <v>46159</v>
      </c>
      <c r="F1876" s="94">
        <v>48500</v>
      </c>
      <c r="G1876" s="94">
        <v>48500</v>
      </c>
    </row>
    <row r="1877" spans="1:7">
      <c r="A1877" s="33" t="s">
        <v>836</v>
      </c>
      <c r="B1877" s="33" t="s">
        <v>54</v>
      </c>
      <c r="C1877" s="33" t="s">
        <v>60</v>
      </c>
      <c r="D1877" s="36" t="s">
        <v>61</v>
      </c>
      <c r="E1877" s="91">
        <v>46343</v>
      </c>
      <c r="F1877" s="94">
        <v>48500</v>
      </c>
      <c r="G1877" s="94">
        <v>48500</v>
      </c>
    </row>
    <row r="1878" spans="1:7">
      <c r="A1878" s="33" t="s">
        <v>836</v>
      </c>
      <c r="B1878" s="33" t="s">
        <v>54</v>
      </c>
      <c r="C1878" s="33" t="s">
        <v>60</v>
      </c>
      <c r="D1878" s="36" t="s">
        <v>61</v>
      </c>
      <c r="E1878" s="91">
        <v>46524</v>
      </c>
      <c r="F1878" s="94">
        <v>48500</v>
      </c>
      <c r="G1878" s="94">
        <v>48500</v>
      </c>
    </row>
    <row r="1879" spans="1:7">
      <c r="A1879" s="33" t="s">
        <v>836</v>
      </c>
      <c r="B1879" s="33" t="s">
        <v>54</v>
      </c>
      <c r="C1879" s="33" t="s">
        <v>60</v>
      </c>
      <c r="D1879" s="36" t="s">
        <v>61</v>
      </c>
      <c r="E1879" s="91">
        <v>46708</v>
      </c>
      <c r="F1879" s="94">
        <v>48500</v>
      </c>
      <c r="G1879" s="94">
        <v>48500</v>
      </c>
    </row>
    <row r="1880" spans="1:7">
      <c r="A1880" s="33" t="s">
        <v>836</v>
      </c>
      <c r="B1880" s="33" t="s">
        <v>54</v>
      </c>
      <c r="C1880" s="33" t="s">
        <v>60</v>
      </c>
      <c r="D1880" s="36" t="s">
        <v>61</v>
      </c>
      <c r="E1880" s="91">
        <v>46890</v>
      </c>
      <c r="F1880" s="94">
        <v>48500</v>
      </c>
      <c r="G1880" s="94">
        <v>48500</v>
      </c>
    </row>
    <row r="1881" spans="1:7">
      <c r="A1881" s="33" t="s">
        <v>836</v>
      </c>
      <c r="B1881" s="33" t="s">
        <v>54</v>
      </c>
      <c r="C1881" s="33" t="s">
        <v>60</v>
      </c>
      <c r="D1881" s="36" t="s">
        <v>61</v>
      </c>
      <c r="E1881" s="91">
        <v>47074</v>
      </c>
      <c r="F1881" s="94">
        <v>48500</v>
      </c>
      <c r="G1881" s="94">
        <v>48500</v>
      </c>
    </row>
    <row r="1882" spans="1:7">
      <c r="A1882" s="33" t="s">
        <v>836</v>
      </c>
      <c r="B1882" s="33" t="s">
        <v>54</v>
      </c>
      <c r="C1882" s="33" t="s">
        <v>60</v>
      </c>
      <c r="D1882" s="36" t="s">
        <v>61</v>
      </c>
      <c r="E1882" s="91">
        <v>47255</v>
      </c>
      <c r="F1882" s="94">
        <v>48500</v>
      </c>
      <c r="G1882" s="94">
        <v>48500</v>
      </c>
    </row>
    <row r="1883" spans="1:7">
      <c r="A1883" s="33" t="s">
        <v>836</v>
      </c>
      <c r="B1883" s="33" t="s">
        <v>54</v>
      </c>
      <c r="C1883" s="33" t="s">
        <v>60</v>
      </c>
      <c r="D1883" s="36" t="s">
        <v>61</v>
      </c>
      <c r="E1883" s="91">
        <v>47439</v>
      </c>
      <c r="F1883" s="94">
        <v>48500</v>
      </c>
      <c r="G1883" s="94">
        <v>48500</v>
      </c>
    </row>
    <row r="1884" spans="1:7">
      <c r="A1884" s="33" t="s">
        <v>836</v>
      </c>
      <c r="B1884" s="33" t="s">
        <v>54</v>
      </c>
      <c r="C1884" s="33" t="s">
        <v>60</v>
      </c>
      <c r="D1884" s="36" t="s">
        <v>61</v>
      </c>
      <c r="E1884" s="91">
        <v>47620</v>
      </c>
      <c r="F1884" s="94">
        <v>48500</v>
      </c>
      <c r="G1884" s="94">
        <v>48500</v>
      </c>
    </row>
    <row r="1885" spans="1:7">
      <c r="A1885" s="33" t="s">
        <v>836</v>
      </c>
      <c r="B1885" s="33" t="s">
        <v>54</v>
      </c>
      <c r="C1885" s="33" t="s">
        <v>60</v>
      </c>
      <c r="D1885" s="36" t="s">
        <v>61</v>
      </c>
      <c r="E1885" s="91">
        <v>47804</v>
      </c>
      <c r="F1885" s="94">
        <v>48500</v>
      </c>
      <c r="G1885" s="94">
        <v>48500</v>
      </c>
    </row>
    <row r="1886" spans="1:7">
      <c r="A1886" s="33" t="s">
        <v>836</v>
      </c>
      <c r="B1886" s="33" t="s">
        <v>54</v>
      </c>
      <c r="C1886" s="33" t="s">
        <v>60</v>
      </c>
      <c r="D1886" s="36" t="s">
        <v>61</v>
      </c>
      <c r="E1886" s="91">
        <v>47985</v>
      </c>
      <c r="F1886" s="94">
        <v>48500</v>
      </c>
      <c r="G1886" s="94">
        <v>48500</v>
      </c>
    </row>
    <row r="1887" spans="1:7">
      <c r="A1887" s="33" t="s">
        <v>836</v>
      </c>
      <c r="B1887" s="33" t="s">
        <v>54</v>
      </c>
      <c r="C1887" s="33" t="s">
        <v>60</v>
      </c>
      <c r="D1887" s="36" t="s">
        <v>61</v>
      </c>
      <c r="E1887" s="91">
        <v>48169</v>
      </c>
      <c r="F1887" s="94">
        <v>48500</v>
      </c>
      <c r="G1887" s="94">
        <v>48500</v>
      </c>
    </row>
    <row r="1888" spans="1:7">
      <c r="A1888" s="33" t="s">
        <v>836</v>
      </c>
      <c r="B1888" s="33" t="s">
        <v>54</v>
      </c>
      <c r="C1888" s="33" t="s">
        <v>60</v>
      </c>
      <c r="D1888" s="36" t="s">
        <v>61</v>
      </c>
      <c r="E1888" s="91">
        <v>48351</v>
      </c>
      <c r="F1888" s="94">
        <v>48500</v>
      </c>
      <c r="G1888" s="94">
        <v>2048500</v>
      </c>
    </row>
    <row r="1889" spans="1:7">
      <c r="A1889" s="87" t="s">
        <v>355</v>
      </c>
      <c r="B1889" s="87" t="s">
        <v>754</v>
      </c>
      <c r="C1889" s="88" t="s">
        <v>43</v>
      </c>
      <c r="D1889" s="87" t="s">
        <v>61</v>
      </c>
      <c r="E1889" s="89">
        <v>45183</v>
      </c>
      <c r="F1889" s="90">
        <v>49500</v>
      </c>
      <c r="G1889" s="90">
        <v>49500</v>
      </c>
    </row>
    <row r="1890" spans="1:7">
      <c r="A1890" s="33" t="s">
        <v>355</v>
      </c>
      <c r="B1890" s="33" t="s">
        <v>754</v>
      </c>
      <c r="C1890" s="48" t="s">
        <v>43</v>
      </c>
      <c r="D1890" s="33" t="s">
        <v>61</v>
      </c>
      <c r="E1890" s="91">
        <v>45365</v>
      </c>
      <c r="F1890" s="92">
        <v>49500</v>
      </c>
      <c r="G1890" s="92">
        <v>49500</v>
      </c>
    </row>
    <row r="1891" spans="1:7">
      <c r="A1891" s="33" t="s">
        <v>355</v>
      </c>
      <c r="B1891" s="33" t="s">
        <v>754</v>
      </c>
      <c r="C1891" s="48" t="s">
        <v>43</v>
      </c>
      <c r="D1891" s="33" t="s">
        <v>61</v>
      </c>
      <c r="E1891" s="91">
        <v>45549</v>
      </c>
      <c r="F1891" s="92">
        <v>49500</v>
      </c>
      <c r="G1891" s="92">
        <v>49500</v>
      </c>
    </row>
    <row r="1892" spans="1:7">
      <c r="A1892" s="33" t="s">
        <v>355</v>
      </c>
      <c r="B1892" s="33" t="s">
        <v>754</v>
      </c>
      <c r="C1892" s="48" t="s">
        <v>43</v>
      </c>
      <c r="D1892" s="33" t="s">
        <v>61</v>
      </c>
      <c r="E1892" s="91">
        <v>45730</v>
      </c>
      <c r="F1892" s="92">
        <v>49500</v>
      </c>
      <c r="G1892" s="92">
        <v>49500</v>
      </c>
    </row>
    <row r="1893" spans="1:7">
      <c r="A1893" s="33" t="s">
        <v>355</v>
      </c>
      <c r="B1893" s="33" t="s">
        <v>754</v>
      </c>
      <c r="C1893" s="48" t="s">
        <v>43</v>
      </c>
      <c r="D1893" s="33" t="s">
        <v>61</v>
      </c>
      <c r="E1893" s="91">
        <v>45914</v>
      </c>
      <c r="F1893" s="92">
        <v>49500</v>
      </c>
      <c r="G1893" s="92">
        <v>49500</v>
      </c>
    </row>
    <row r="1894" spans="1:7">
      <c r="A1894" s="33" t="s">
        <v>355</v>
      </c>
      <c r="B1894" s="33" t="s">
        <v>754</v>
      </c>
      <c r="C1894" s="48" t="s">
        <v>43</v>
      </c>
      <c r="D1894" s="33" t="s">
        <v>61</v>
      </c>
      <c r="E1894" s="91">
        <v>46095</v>
      </c>
      <c r="F1894" s="92">
        <v>49500</v>
      </c>
      <c r="G1894" s="92">
        <v>49500</v>
      </c>
    </row>
    <row r="1895" spans="1:7">
      <c r="A1895" s="33" t="s">
        <v>355</v>
      </c>
      <c r="B1895" s="33" t="s">
        <v>754</v>
      </c>
      <c r="C1895" s="48" t="s">
        <v>43</v>
      </c>
      <c r="D1895" s="33" t="s">
        <v>61</v>
      </c>
      <c r="E1895" s="91">
        <v>46279</v>
      </c>
      <c r="F1895" s="92">
        <v>49500</v>
      </c>
      <c r="G1895" s="92">
        <v>49500</v>
      </c>
    </row>
    <row r="1896" spans="1:7">
      <c r="A1896" s="33" t="s">
        <v>355</v>
      </c>
      <c r="B1896" s="33" t="s">
        <v>754</v>
      </c>
      <c r="C1896" s="48" t="s">
        <v>43</v>
      </c>
      <c r="D1896" s="33" t="s">
        <v>61</v>
      </c>
      <c r="E1896" s="91">
        <v>46460</v>
      </c>
      <c r="F1896" s="92">
        <v>49500</v>
      </c>
      <c r="G1896" s="92">
        <v>49500</v>
      </c>
    </row>
    <row r="1897" spans="1:7">
      <c r="A1897" s="33" t="s">
        <v>355</v>
      </c>
      <c r="B1897" s="33" t="s">
        <v>754</v>
      </c>
      <c r="C1897" s="48" t="s">
        <v>43</v>
      </c>
      <c r="D1897" s="33" t="s">
        <v>61</v>
      </c>
      <c r="E1897" s="91">
        <v>46644</v>
      </c>
      <c r="F1897" s="92">
        <v>49500</v>
      </c>
      <c r="G1897" s="92">
        <v>49500</v>
      </c>
    </row>
    <row r="1898" spans="1:7">
      <c r="A1898" s="33" t="s">
        <v>355</v>
      </c>
      <c r="B1898" s="33" t="s">
        <v>754</v>
      </c>
      <c r="C1898" s="48" t="s">
        <v>43</v>
      </c>
      <c r="D1898" s="33" t="s">
        <v>61</v>
      </c>
      <c r="E1898" s="91">
        <v>46826</v>
      </c>
      <c r="F1898" s="92">
        <v>49500</v>
      </c>
      <c r="G1898" s="92">
        <v>49500</v>
      </c>
    </row>
    <row r="1899" spans="1:7">
      <c r="A1899" s="33" t="s">
        <v>355</v>
      </c>
      <c r="B1899" s="33" t="s">
        <v>754</v>
      </c>
      <c r="C1899" s="48" t="s">
        <v>43</v>
      </c>
      <c r="D1899" s="33" t="s">
        <v>61</v>
      </c>
      <c r="E1899" s="91">
        <v>47010</v>
      </c>
      <c r="F1899" s="92">
        <v>49500</v>
      </c>
      <c r="G1899" s="92">
        <v>49500</v>
      </c>
    </row>
    <row r="1900" spans="1:7">
      <c r="A1900" s="33" t="s">
        <v>355</v>
      </c>
      <c r="B1900" s="33" t="s">
        <v>754</v>
      </c>
      <c r="C1900" s="48" t="s">
        <v>43</v>
      </c>
      <c r="D1900" s="33" t="s">
        <v>61</v>
      </c>
      <c r="E1900" s="91">
        <v>47191</v>
      </c>
      <c r="F1900" s="92">
        <v>49500</v>
      </c>
      <c r="G1900" s="92">
        <v>49500</v>
      </c>
    </row>
    <row r="1901" spans="1:7">
      <c r="A1901" s="33" t="s">
        <v>355</v>
      </c>
      <c r="B1901" s="33" t="s">
        <v>754</v>
      </c>
      <c r="C1901" s="48" t="s">
        <v>43</v>
      </c>
      <c r="D1901" s="33" t="s">
        <v>61</v>
      </c>
      <c r="E1901" s="91">
        <v>47375</v>
      </c>
      <c r="F1901" s="92">
        <v>49500</v>
      </c>
      <c r="G1901" s="92">
        <v>49500</v>
      </c>
    </row>
    <row r="1902" spans="1:7">
      <c r="A1902" s="33" t="s">
        <v>355</v>
      </c>
      <c r="B1902" s="33" t="s">
        <v>754</v>
      </c>
      <c r="C1902" s="48" t="s">
        <v>43</v>
      </c>
      <c r="D1902" s="33" t="s">
        <v>61</v>
      </c>
      <c r="E1902" s="91">
        <v>47556</v>
      </c>
      <c r="F1902" s="92">
        <v>49500</v>
      </c>
      <c r="G1902" s="92">
        <v>2049500</v>
      </c>
    </row>
    <row r="1903" spans="1:7">
      <c r="A1903" s="101" t="s">
        <v>355</v>
      </c>
      <c r="B1903" s="101" t="s">
        <v>54</v>
      </c>
      <c r="C1903" s="102" t="s">
        <v>43</v>
      </c>
      <c r="D1903" s="101" t="s">
        <v>61</v>
      </c>
      <c r="E1903" s="103">
        <v>45183</v>
      </c>
      <c r="F1903" s="104">
        <v>184387.5</v>
      </c>
      <c r="G1903" s="104">
        <v>184387.5</v>
      </c>
    </row>
    <row r="1904" spans="1:7">
      <c r="A1904" s="33" t="s">
        <v>355</v>
      </c>
      <c r="B1904" s="33" t="s">
        <v>54</v>
      </c>
      <c r="C1904" s="48" t="s">
        <v>43</v>
      </c>
      <c r="D1904" s="33" t="s">
        <v>61</v>
      </c>
      <c r="E1904" s="91">
        <v>45365</v>
      </c>
      <c r="F1904" s="92">
        <v>184387.5</v>
      </c>
      <c r="G1904" s="92">
        <v>184387.5</v>
      </c>
    </row>
    <row r="1905" spans="1:7">
      <c r="A1905" s="33" t="s">
        <v>355</v>
      </c>
      <c r="B1905" s="33" t="s">
        <v>54</v>
      </c>
      <c r="C1905" s="48" t="s">
        <v>43</v>
      </c>
      <c r="D1905" s="33" t="s">
        <v>61</v>
      </c>
      <c r="E1905" s="91">
        <v>45549</v>
      </c>
      <c r="F1905" s="92">
        <v>184387.5</v>
      </c>
      <c r="G1905" s="92">
        <v>184387.5</v>
      </c>
    </row>
    <row r="1906" spans="1:7">
      <c r="A1906" s="33" t="s">
        <v>355</v>
      </c>
      <c r="B1906" s="33" t="s">
        <v>54</v>
      </c>
      <c r="C1906" s="48" t="s">
        <v>43</v>
      </c>
      <c r="D1906" s="33" t="s">
        <v>61</v>
      </c>
      <c r="E1906" s="91">
        <v>45730</v>
      </c>
      <c r="F1906" s="92">
        <v>184387.5</v>
      </c>
      <c r="G1906" s="92">
        <v>184387.5</v>
      </c>
    </row>
    <row r="1907" spans="1:7">
      <c r="A1907" s="33" t="s">
        <v>355</v>
      </c>
      <c r="B1907" s="33" t="s">
        <v>54</v>
      </c>
      <c r="C1907" s="48" t="s">
        <v>43</v>
      </c>
      <c r="D1907" s="33" t="s">
        <v>61</v>
      </c>
      <c r="E1907" s="91">
        <v>45914</v>
      </c>
      <c r="F1907" s="92">
        <v>184387.5</v>
      </c>
      <c r="G1907" s="92">
        <v>184387.5</v>
      </c>
    </row>
    <row r="1908" spans="1:7">
      <c r="A1908" s="33" t="s">
        <v>355</v>
      </c>
      <c r="B1908" s="33" t="s">
        <v>54</v>
      </c>
      <c r="C1908" s="48" t="s">
        <v>43</v>
      </c>
      <c r="D1908" s="33" t="s">
        <v>61</v>
      </c>
      <c r="E1908" s="91">
        <v>46095</v>
      </c>
      <c r="F1908" s="92">
        <v>184387.5</v>
      </c>
      <c r="G1908" s="92">
        <v>184387.5</v>
      </c>
    </row>
    <row r="1909" spans="1:7">
      <c r="A1909" s="33" t="s">
        <v>355</v>
      </c>
      <c r="B1909" s="33" t="s">
        <v>54</v>
      </c>
      <c r="C1909" s="48" t="s">
        <v>43</v>
      </c>
      <c r="D1909" s="33" t="s">
        <v>61</v>
      </c>
      <c r="E1909" s="91">
        <v>46279</v>
      </c>
      <c r="F1909" s="92">
        <v>184387.5</v>
      </c>
      <c r="G1909" s="92">
        <v>184387.5</v>
      </c>
    </row>
    <row r="1910" spans="1:7">
      <c r="A1910" s="33" t="s">
        <v>355</v>
      </c>
      <c r="B1910" s="33" t="s">
        <v>54</v>
      </c>
      <c r="C1910" s="48" t="s">
        <v>43</v>
      </c>
      <c r="D1910" s="33" t="s">
        <v>61</v>
      </c>
      <c r="E1910" s="91">
        <v>46460</v>
      </c>
      <c r="F1910" s="92">
        <v>184387.5</v>
      </c>
      <c r="G1910" s="92">
        <v>184387.5</v>
      </c>
    </row>
    <row r="1911" spans="1:7">
      <c r="A1911" s="33" t="s">
        <v>355</v>
      </c>
      <c r="B1911" s="33" t="s">
        <v>54</v>
      </c>
      <c r="C1911" s="48" t="s">
        <v>43</v>
      </c>
      <c r="D1911" s="33" t="s">
        <v>61</v>
      </c>
      <c r="E1911" s="91">
        <v>46644</v>
      </c>
      <c r="F1911" s="92">
        <v>184387.5</v>
      </c>
      <c r="G1911" s="92">
        <v>184387.5</v>
      </c>
    </row>
    <row r="1912" spans="1:7">
      <c r="A1912" s="33" t="s">
        <v>355</v>
      </c>
      <c r="B1912" s="33" t="s">
        <v>54</v>
      </c>
      <c r="C1912" s="48" t="s">
        <v>43</v>
      </c>
      <c r="D1912" s="33" t="s">
        <v>61</v>
      </c>
      <c r="E1912" s="91">
        <v>46826</v>
      </c>
      <c r="F1912" s="92">
        <v>184387.5</v>
      </c>
      <c r="G1912" s="92">
        <v>184387.5</v>
      </c>
    </row>
    <row r="1913" spans="1:7">
      <c r="A1913" s="33" t="s">
        <v>355</v>
      </c>
      <c r="B1913" s="33" t="s">
        <v>54</v>
      </c>
      <c r="C1913" s="48" t="s">
        <v>43</v>
      </c>
      <c r="D1913" s="33" t="s">
        <v>61</v>
      </c>
      <c r="E1913" s="91">
        <v>47010</v>
      </c>
      <c r="F1913" s="92">
        <v>184387.5</v>
      </c>
      <c r="G1913" s="92">
        <v>184387.5</v>
      </c>
    </row>
    <row r="1914" spans="1:7">
      <c r="A1914" s="33" t="s">
        <v>355</v>
      </c>
      <c r="B1914" s="33" t="s">
        <v>54</v>
      </c>
      <c r="C1914" s="48" t="s">
        <v>43</v>
      </c>
      <c r="D1914" s="33" t="s">
        <v>61</v>
      </c>
      <c r="E1914" s="91">
        <v>47191</v>
      </c>
      <c r="F1914" s="92">
        <v>184387.5</v>
      </c>
      <c r="G1914" s="92">
        <v>184387.5</v>
      </c>
    </row>
    <row r="1915" spans="1:7">
      <c r="A1915" s="33" t="s">
        <v>355</v>
      </c>
      <c r="B1915" s="33" t="s">
        <v>54</v>
      </c>
      <c r="C1915" s="48" t="s">
        <v>43</v>
      </c>
      <c r="D1915" s="33" t="s">
        <v>61</v>
      </c>
      <c r="E1915" s="91">
        <v>47375</v>
      </c>
      <c r="F1915" s="92">
        <v>184387.5</v>
      </c>
      <c r="G1915" s="92">
        <v>184387.5</v>
      </c>
    </row>
    <row r="1916" spans="1:7">
      <c r="A1916" s="33" t="s">
        <v>355</v>
      </c>
      <c r="B1916" s="33" t="s">
        <v>54</v>
      </c>
      <c r="C1916" s="48" t="s">
        <v>43</v>
      </c>
      <c r="D1916" s="33" t="s">
        <v>61</v>
      </c>
      <c r="E1916" s="91">
        <v>47556</v>
      </c>
      <c r="F1916" s="92">
        <v>184387.5</v>
      </c>
      <c r="G1916" s="92">
        <v>7634387.5</v>
      </c>
    </row>
    <row r="1917" spans="1:7">
      <c r="A1917" s="87" t="s">
        <v>728</v>
      </c>
      <c r="B1917" s="87" t="s">
        <v>77</v>
      </c>
      <c r="C1917" s="88" t="s">
        <v>67</v>
      </c>
      <c r="D1917" s="87" t="s">
        <v>61</v>
      </c>
      <c r="E1917" s="89">
        <v>45532</v>
      </c>
      <c r="F1917" s="90">
        <v>198030</v>
      </c>
      <c r="G1917" s="90">
        <v>198030</v>
      </c>
    </row>
    <row r="1918" spans="1:7">
      <c r="A1918" s="33" t="s">
        <v>728</v>
      </c>
      <c r="B1918" s="33" t="s">
        <v>77</v>
      </c>
      <c r="C1918" s="48" t="s">
        <v>67</v>
      </c>
      <c r="D1918" s="33" t="s">
        <v>61</v>
      </c>
      <c r="E1918" s="91">
        <v>45716</v>
      </c>
      <c r="F1918" s="95">
        <v>198030</v>
      </c>
      <c r="G1918" s="95">
        <v>198030</v>
      </c>
    </row>
    <row r="1919" spans="1:7">
      <c r="A1919" s="33" t="s">
        <v>728</v>
      </c>
      <c r="B1919" s="33" t="s">
        <v>77</v>
      </c>
      <c r="C1919" s="48" t="s">
        <v>67</v>
      </c>
      <c r="D1919" s="33" t="s">
        <v>61</v>
      </c>
      <c r="E1919" s="91">
        <v>45897</v>
      </c>
      <c r="F1919" s="95">
        <v>198030</v>
      </c>
      <c r="G1919" s="95">
        <v>198030</v>
      </c>
    </row>
    <row r="1920" spans="1:7">
      <c r="A1920" s="33" t="s">
        <v>837</v>
      </c>
      <c r="B1920" s="33" t="s">
        <v>77</v>
      </c>
      <c r="C1920" s="48" t="s">
        <v>67</v>
      </c>
      <c r="D1920" s="33" t="s">
        <v>61</v>
      </c>
      <c r="E1920" s="91">
        <v>46081</v>
      </c>
      <c r="F1920" s="95">
        <v>198030</v>
      </c>
      <c r="G1920" s="95">
        <v>198030</v>
      </c>
    </row>
    <row r="1921" spans="1:7">
      <c r="A1921" s="33" t="s">
        <v>838</v>
      </c>
      <c r="B1921" s="33" t="s">
        <v>77</v>
      </c>
      <c r="C1921" s="48" t="s">
        <v>67</v>
      </c>
      <c r="D1921" s="33" t="s">
        <v>61</v>
      </c>
      <c r="E1921" s="91">
        <v>46262</v>
      </c>
      <c r="F1921" s="95">
        <v>198030</v>
      </c>
      <c r="G1921" s="92">
        <v>198030</v>
      </c>
    </row>
    <row r="1922" spans="1:7">
      <c r="A1922" s="33" t="s">
        <v>838</v>
      </c>
      <c r="B1922" s="33" t="s">
        <v>77</v>
      </c>
      <c r="C1922" s="48" t="s">
        <v>67</v>
      </c>
      <c r="D1922" s="33" t="s">
        <v>61</v>
      </c>
      <c r="E1922" s="91">
        <v>46446</v>
      </c>
      <c r="F1922" s="95">
        <v>198030</v>
      </c>
      <c r="G1922" s="92">
        <v>198030</v>
      </c>
    </row>
    <row r="1923" spans="1:7">
      <c r="A1923" s="33" t="s">
        <v>838</v>
      </c>
      <c r="B1923" s="33" t="s">
        <v>77</v>
      </c>
      <c r="C1923" s="48" t="s">
        <v>67</v>
      </c>
      <c r="D1923" s="33" t="s">
        <v>61</v>
      </c>
      <c r="E1923" s="91">
        <v>46627</v>
      </c>
      <c r="F1923" s="95">
        <v>198030</v>
      </c>
      <c r="G1923" s="92">
        <v>198030</v>
      </c>
    </row>
    <row r="1924" spans="1:7">
      <c r="A1924" s="33" t="s">
        <v>838</v>
      </c>
      <c r="B1924" s="33" t="s">
        <v>77</v>
      </c>
      <c r="C1924" s="48" t="s">
        <v>67</v>
      </c>
      <c r="D1924" s="33" t="s">
        <v>61</v>
      </c>
      <c r="E1924" s="91">
        <v>46811</v>
      </c>
      <c r="F1924" s="95">
        <v>198030</v>
      </c>
      <c r="G1924" s="92">
        <v>198030</v>
      </c>
    </row>
    <row r="1925" spans="1:7">
      <c r="A1925" s="33" t="s">
        <v>838</v>
      </c>
      <c r="B1925" s="33" t="s">
        <v>77</v>
      </c>
      <c r="C1925" s="48" t="s">
        <v>67</v>
      </c>
      <c r="D1925" s="33" t="s">
        <v>61</v>
      </c>
      <c r="E1925" s="91">
        <v>46993</v>
      </c>
      <c r="F1925" s="95">
        <v>198030</v>
      </c>
      <c r="G1925" s="92">
        <v>198030</v>
      </c>
    </row>
    <row r="1926" spans="1:7">
      <c r="A1926" s="33" t="s">
        <v>838</v>
      </c>
      <c r="B1926" s="33" t="s">
        <v>77</v>
      </c>
      <c r="C1926" s="48" t="s">
        <v>67</v>
      </c>
      <c r="D1926" s="33" t="s">
        <v>61</v>
      </c>
      <c r="E1926" s="91">
        <v>47177</v>
      </c>
      <c r="F1926" s="95">
        <v>198030</v>
      </c>
      <c r="G1926" s="92">
        <v>198030</v>
      </c>
    </row>
    <row r="1927" spans="1:7">
      <c r="A1927" s="33" t="s">
        <v>838</v>
      </c>
      <c r="B1927" s="33" t="s">
        <v>77</v>
      </c>
      <c r="C1927" s="48" t="s">
        <v>67</v>
      </c>
      <c r="D1927" s="33" t="s">
        <v>61</v>
      </c>
      <c r="E1927" s="91">
        <v>47358</v>
      </c>
      <c r="F1927" s="95">
        <v>198030</v>
      </c>
      <c r="G1927" s="92">
        <v>198030</v>
      </c>
    </row>
    <row r="1928" spans="1:7">
      <c r="A1928" s="33" t="s">
        <v>838</v>
      </c>
      <c r="B1928" s="33" t="s">
        <v>77</v>
      </c>
      <c r="C1928" s="48" t="s">
        <v>67</v>
      </c>
      <c r="D1928" s="33" t="s">
        <v>61</v>
      </c>
      <c r="E1928" s="91">
        <v>47542</v>
      </c>
      <c r="F1928" s="95">
        <v>198030</v>
      </c>
      <c r="G1928" s="92">
        <v>198030</v>
      </c>
    </row>
    <row r="1929" spans="1:7">
      <c r="A1929" s="33" t="s">
        <v>838</v>
      </c>
      <c r="B1929" s="33" t="s">
        <v>77</v>
      </c>
      <c r="C1929" s="48" t="s">
        <v>67</v>
      </c>
      <c r="D1929" s="33" t="s">
        <v>61</v>
      </c>
      <c r="E1929" s="91">
        <v>47723</v>
      </c>
      <c r="F1929" s="95">
        <v>198030</v>
      </c>
      <c r="G1929" s="92">
        <v>198030</v>
      </c>
    </row>
    <row r="1930" spans="1:7">
      <c r="A1930" s="33" t="s">
        <v>838</v>
      </c>
      <c r="B1930" s="33" t="s">
        <v>77</v>
      </c>
      <c r="C1930" s="48" t="s">
        <v>67</v>
      </c>
      <c r="D1930" s="33" t="s">
        <v>61</v>
      </c>
      <c r="E1930" s="91">
        <v>47907</v>
      </c>
      <c r="F1930" s="95">
        <v>198030</v>
      </c>
      <c r="G1930" s="92">
        <v>198030</v>
      </c>
    </row>
    <row r="1931" spans="1:7">
      <c r="A1931" s="33" t="s">
        <v>838</v>
      </c>
      <c r="B1931" s="33" t="s">
        <v>77</v>
      </c>
      <c r="C1931" s="48" t="s">
        <v>67</v>
      </c>
      <c r="D1931" s="33" t="s">
        <v>61</v>
      </c>
      <c r="E1931" s="91">
        <v>48088</v>
      </c>
      <c r="F1931" s="95">
        <v>198030</v>
      </c>
      <c r="G1931" s="92">
        <v>198030</v>
      </c>
    </row>
    <row r="1932" spans="1:7">
      <c r="A1932" s="33" t="s">
        <v>838</v>
      </c>
      <c r="B1932" s="33" t="s">
        <v>77</v>
      </c>
      <c r="C1932" s="48" t="s">
        <v>67</v>
      </c>
      <c r="D1932" s="33" t="s">
        <v>61</v>
      </c>
      <c r="E1932" s="91">
        <v>48272</v>
      </c>
      <c r="F1932" s="95">
        <v>198030</v>
      </c>
      <c r="G1932" s="92">
        <v>198030</v>
      </c>
    </row>
    <row r="1933" spans="1:7">
      <c r="A1933" s="33" t="s">
        <v>838</v>
      </c>
      <c r="B1933" s="33" t="s">
        <v>77</v>
      </c>
      <c r="C1933" s="48" t="s">
        <v>67</v>
      </c>
      <c r="D1933" s="33" t="s">
        <v>61</v>
      </c>
      <c r="E1933" s="91">
        <v>48454</v>
      </c>
      <c r="F1933" s="95">
        <v>198030</v>
      </c>
      <c r="G1933" s="92">
        <v>198030</v>
      </c>
    </row>
    <row r="1934" spans="1:7">
      <c r="A1934" s="33" t="s">
        <v>838</v>
      </c>
      <c r="B1934" s="33" t="s">
        <v>77</v>
      </c>
      <c r="C1934" s="48" t="s">
        <v>67</v>
      </c>
      <c r="D1934" s="33" t="s">
        <v>61</v>
      </c>
      <c r="E1934" s="91">
        <v>48638</v>
      </c>
      <c r="F1934" s="95">
        <v>198030</v>
      </c>
      <c r="G1934" s="105">
        <v>7198030</v>
      </c>
    </row>
    <row r="1935" spans="1:7">
      <c r="A1935" s="87" t="s">
        <v>193</v>
      </c>
      <c r="B1935" s="87" t="s">
        <v>54</v>
      </c>
      <c r="C1935" s="88" t="s">
        <v>43</v>
      </c>
      <c r="D1935" s="87" t="s">
        <v>61</v>
      </c>
      <c r="E1935" s="89">
        <v>45183</v>
      </c>
      <c r="F1935" s="90">
        <v>15000</v>
      </c>
      <c r="G1935" s="90">
        <v>15000</v>
      </c>
    </row>
    <row r="1936" spans="1:7">
      <c r="A1936" s="33" t="s">
        <v>193</v>
      </c>
      <c r="B1936" s="33" t="s">
        <v>54</v>
      </c>
      <c r="C1936" s="48" t="s">
        <v>43</v>
      </c>
      <c r="D1936" s="33" t="s">
        <v>61</v>
      </c>
      <c r="E1936" s="91">
        <v>45365</v>
      </c>
      <c r="F1936" s="92">
        <v>15000</v>
      </c>
      <c r="G1936" s="92">
        <v>15000</v>
      </c>
    </row>
    <row r="1937" spans="1:7">
      <c r="A1937" s="33" t="s">
        <v>193</v>
      </c>
      <c r="B1937" s="33" t="s">
        <v>54</v>
      </c>
      <c r="C1937" s="48" t="s">
        <v>43</v>
      </c>
      <c r="D1937" s="33" t="s">
        <v>61</v>
      </c>
      <c r="E1937" s="91">
        <v>45549</v>
      </c>
      <c r="F1937" s="92">
        <v>15000</v>
      </c>
      <c r="G1937" s="92">
        <v>15000</v>
      </c>
    </row>
    <row r="1938" spans="1:7">
      <c r="A1938" s="33" t="s">
        <v>193</v>
      </c>
      <c r="B1938" s="33" t="s">
        <v>54</v>
      </c>
      <c r="C1938" s="48" t="s">
        <v>43</v>
      </c>
      <c r="D1938" s="33" t="s">
        <v>61</v>
      </c>
      <c r="E1938" s="91">
        <v>45730</v>
      </c>
      <c r="F1938" s="92">
        <v>15000</v>
      </c>
      <c r="G1938" s="92">
        <v>15000</v>
      </c>
    </row>
    <row r="1939" spans="1:7">
      <c r="A1939" s="33" t="s">
        <v>193</v>
      </c>
      <c r="B1939" s="33" t="s">
        <v>54</v>
      </c>
      <c r="C1939" s="48" t="s">
        <v>43</v>
      </c>
      <c r="D1939" s="33" t="s">
        <v>61</v>
      </c>
      <c r="E1939" s="91">
        <v>45914</v>
      </c>
      <c r="F1939" s="92">
        <v>15000</v>
      </c>
      <c r="G1939" s="92">
        <v>15000</v>
      </c>
    </row>
    <row r="1940" spans="1:7">
      <c r="A1940" s="33" t="s">
        <v>193</v>
      </c>
      <c r="B1940" s="33" t="s">
        <v>54</v>
      </c>
      <c r="C1940" s="48" t="s">
        <v>43</v>
      </c>
      <c r="D1940" s="33" t="s">
        <v>61</v>
      </c>
      <c r="E1940" s="91">
        <v>46095</v>
      </c>
      <c r="F1940" s="92">
        <v>15000</v>
      </c>
      <c r="G1940" s="92">
        <v>15000</v>
      </c>
    </row>
    <row r="1941" spans="1:7">
      <c r="A1941" s="33" t="s">
        <v>193</v>
      </c>
      <c r="B1941" s="33" t="s">
        <v>54</v>
      </c>
      <c r="C1941" s="48" t="s">
        <v>43</v>
      </c>
      <c r="D1941" s="33" t="s">
        <v>61</v>
      </c>
      <c r="E1941" s="91">
        <v>46279</v>
      </c>
      <c r="F1941" s="92">
        <v>15000</v>
      </c>
      <c r="G1941" s="92">
        <v>15000</v>
      </c>
    </row>
    <row r="1942" spans="1:7">
      <c r="A1942" s="33" t="s">
        <v>193</v>
      </c>
      <c r="B1942" s="33" t="s">
        <v>54</v>
      </c>
      <c r="C1942" s="48" t="s">
        <v>43</v>
      </c>
      <c r="D1942" s="33" t="s">
        <v>61</v>
      </c>
      <c r="E1942" s="91">
        <v>46460</v>
      </c>
      <c r="F1942" s="92">
        <v>15000</v>
      </c>
      <c r="G1942" s="92">
        <v>15000</v>
      </c>
    </row>
    <row r="1943" spans="1:7">
      <c r="A1943" s="33" t="s">
        <v>193</v>
      </c>
      <c r="B1943" s="33" t="s">
        <v>54</v>
      </c>
      <c r="C1943" s="48" t="s">
        <v>43</v>
      </c>
      <c r="D1943" s="33" t="s">
        <v>61</v>
      </c>
      <c r="E1943" s="91">
        <v>46644</v>
      </c>
      <c r="F1943" s="92">
        <v>15000</v>
      </c>
      <c r="G1943" s="92">
        <v>15000</v>
      </c>
    </row>
    <row r="1944" spans="1:7">
      <c r="A1944" s="33" t="s">
        <v>193</v>
      </c>
      <c r="B1944" s="33" t="s">
        <v>54</v>
      </c>
      <c r="C1944" s="48" t="s">
        <v>43</v>
      </c>
      <c r="D1944" s="33" t="s">
        <v>61</v>
      </c>
      <c r="E1944" s="91">
        <v>46826</v>
      </c>
      <c r="F1944" s="94">
        <v>15000</v>
      </c>
      <c r="G1944" s="94">
        <v>15000</v>
      </c>
    </row>
    <row r="1945" spans="1:7">
      <c r="A1945" s="33" t="s">
        <v>193</v>
      </c>
      <c r="B1945" s="33" t="s">
        <v>54</v>
      </c>
      <c r="C1945" s="48" t="s">
        <v>43</v>
      </c>
      <c r="D1945" s="33" t="s">
        <v>61</v>
      </c>
      <c r="E1945" s="91">
        <v>47010</v>
      </c>
      <c r="F1945" s="92">
        <v>15000</v>
      </c>
      <c r="G1945" s="92">
        <v>2015000</v>
      </c>
    </row>
    <row r="1946" spans="1:7">
      <c r="A1946" s="87" t="s">
        <v>193</v>
      </c>
      <c r="B1946" s="87" t="s">
        <v>77</v>
      </c>
      <c r="C1946" s="88" t="s">
        <v>43</v>
      </c>
      <c r="D1946" s="87" t="s">
        <v>61</v>
      </c>
      <c r="E1946" s="89">
        <v>45183</v>
      </c>
      <c r="F1946" s="90">
        <v>22500</v>
      </c>
      <c r="G1946" s="90">
        <v>22500</v>
      </c>
    </row>
    <row r="1947" spans="1:7">
      <c r="A1947" s="33" t="s">
        <v>193</v>
      </c>
      <c r="B1947" s="33" t="s">
        <v>77</v>
      </c>
      <c r="C1947" s="33" t="s">
        <v>60</v>
      </c>
      <c r="D1947" s="36" t="s">
        <v>61</v>
      </c>
      <c r="E1947" s="91">
        <v>45365</v>
      </c>
      <c r="F1947" s="92">
        <v>22500</v>
      </c>
      <c r="G1947" s="92">
        <v>22500</v>
      </c>
    </row>
    <row r="1948" spans="1:7">
      <c r="A1948" s="33" t="s">
        <v>193</v>
      </c>
      <c r="B1948" s="33" t="s">
        <v>77</v>
      </c>
      <c r="C1948" s="33" t="s">
        <v>60</v>
      </c>
      <c r="D1948" s="36" t="s">
        <v>61</v>
      </c>
      <c r="E1948" s="91">
        <v>45549</v>
      </c>
      <c r="F1948" s="92">
        <v>22500</v>
      </c>
      <c r="G1948" s="92">
        <v>22500</v>
      </c>
    </row>
    <row r="1949" spans="1:7">
      <c r="A1949" s="33" t="s">
        <v>193</v>
      </c>
      <c r="B1949" s="33" t="s">
        <v>77</v>
      </c>
      <c r="C1949" s="33" t="s">
        <v>60</v>
      </c>
      <c r="D1949" s="36" t="s">
        <v>61</v>
      </c>
      <c r="E1949" s="91">
        <v>45730</v>
      </c>
      <c r="F1949" s="92">
        <v>22500</v>
      </c>
      <c r="G1949" s="92">
        <v>22500</v>
      </c>
    </row>
    <row r="1950" spans="1:7">
      <c r="A1950" s="33" t="s">
        <v>193</v>
      </c>
      <c r="B1950" s="33" t="s">
        <v>77</v>
      </c>
      <c r="C1950" s="33" t="s">
        <v>60</v>
      </c>
      <c r="D1950" s="36" t="s">
        <v>61</v>
      </c>
      <c r="E1950" s="91">
        <v>45914</v>
      </c>
      <c r="F1950" s="92">
        <v>22500</v>
      </c>
      <c r="G1950" s="92">
        <v>22500</v>
      </c>
    </row>
    <row r="1951" spans="1:7">
      <c r="A1951" s="33" t="s">
        <v>193</v>
      </c>
      <c r="B1951" s="33" t="s">
        <v>77</v>
      </c>
      <c r="C1951" s="33" t="s">
        <v>60</v>
      </c>
      <c r="D1951" s="36" t="s">
        <v>61</v>
      </c>
      <c r="E1951" s="91">
        <v>46095</v>
      </c>
      <c r="F1951" s="92">
        <v>22500</v>
      </c>
      <c r="G1951" s="92">
        <v>22500</v>
      </c>
    </row>
    <row r="1952" spans="1:7">
      <c r="A1952" s="33" t="s">
        <v>193</v>
      </c>
      <c r="B1952" s="33" t="s">
        <v>77</v>
      </c>
      <c r="C1952" s="33" t="s">
        <v>60</v>
      </c>
      <c r="D1952" s="36" t="s">
        <v>61</v>
      </c>
      <c r="E1952" s="91">
        <v>46279</v>
      </c>
      <c r="F1952" s="92">
        <v>22500</v>
      </c>
      <c r="G1952" s="92">
        <v>22500</v>
      </c>
    </row>
    <row r="1953" spans="1:7">
      <c r="A1953" s="33" t="s">
        <v>193</v>
      </c>
      <c r="B1953" s="33" t="s">
        <v>77</v>
      </c>
      <c r="C1953" s="33" t="s">
        <v>60</v>
      </c>
      <c r="D1953" s="36" t="s">
        <v>61</v>
      </c>
      <c r="E1953" s="91">
        <v>46460</v>
      </c>
      <c r="F1953" s="92">
        <v>22500</v>
      </c>
      <c r="G1953" s="92">
        <v>22500</v>
      </c>
    </row>
    <row r="1954" spans="1:7">
      <c r="A1954" s="33" t="s">
        <v>193</v>
      </c>
      <c r="B1954" s="33" t="s">
        <v>77</v>
      </c>
      <c r="C1954" s="33" t="s">
        <v>60</v>
      </c>
      <c r="D1954" s="36" t="s">
        <v>61</v>
      </c>
      <c r="E1954" s="91">
        <v>46644</v>
      </c>
      <c r="F1954" s="92">
        <v>22500</v>
      </c>
      <c r="G1954" s="92">
        <v>22500</v>
      </c>
    </row>
    <row r="1955" spans="1:7">
      <c r="A1955" s="33" t="s">
        <v>193</v>
      </c>
      <c r="B1955" s="33" t="s">
        <v>77</v>
      </c>
      <c r="C1955" s="33" t="s">
        <v>60</v>
      </c>
      <c r="D1955" s="36" t="s">
        <v>61</v>
      </c>
      <c r="E1955" s="91">
        <v>46826</v>
      </c>
      <c r="F1955" s="92">
        <v>22500</v>
      </c>
      <c r="G1955" s="92">
        <v>22500</v>
      </c>
    </row>
    <row r="1956" spans="1:7">
      <c r="A1956" s="33" t="s">
        <v>193</v>
      </c>
      <c r="B1956" s="33" t="s">
        <v>77</v>
      </c>
      <c r="C1956" s="33" t="s">
        <v>60</v>
      </c>
      <c r="D1956" s="36" t="s">
        <v>61</v>
      </c>
      <c r="E1956" s="91">
        <v>47010</v>
      </c>
      <c r="F1956" s="92">
        <v>22500</v>
      </c>
      <c r="G1956" s="92">
        <v>3022500</v>
      </c>
    </row>
    <row r="1957" spans="1:7">
      <c r="A1957" s="87" t="s">
        <v>218</v>
      </c>
      <c r="B1957" s="87" t="s">
        <v>77</v>
      </c>
      <c r="C1957" s="88" t="s">
        <v>43</v>
      </c>
      <c r="D1957" s="87" t="s">
        <v>61</v>
      </c>
      <c r="E1957" s="89">
        <v>45273</v>
      </c>
      <c r="F1957" s="90">
        <v>24125</v>
      </c>
      <c r="G1957" s="90">
        <v>24125</v>
      </c>
    </row>
    <row r="1958" spans="1:7">
      <c r="A1958" s="33" t="s">
        <v>218</v>
      </c>
      <c r="B1958" s="33" t="s">
        <v>77</v>
      </c>
      <c r="C1958" s="48" t="s">
        <v>43</v>
      </c>
      <c r="D1958" s="33" t="s">
        <v>61</v>
      </c>
      <c r="E1958" s="91">
        <v>45456</v>
      </c>
      <c r="F1958" s="92">
        <v>24125</v>
      </c>
      <c r="G1958" s="92">
        <v>24125</v>
      </c>
    </row>
    <row r="1959" spans="1:7">
      <c r="A1959" s="33" t="s">
        <v>839</v>
      </c>
      <c r="B1959" s="33" t="s">
        <v>77</v>
      </c>
      <c r="C1959" s="48" t="s">
        <v>43</v>
      </c>
      <c r="D1959" s="33" t="s">
        <v>61</v>
      </c>
      <c r="E1959" s="91">
        <v>45639</v>
      </c>
      <c r="F1959" s="92">
        <v>24125</v>
      </c>
      <c r="G1959" s="92">
        <v>24125</v>
      </c>
    </row>
    <row r="1960" spans="1:7">
      <c r="A1960" s="33" t="s">
        <v>839</v>
      </c>
      <c r="B1960" s="33" t="s">
        <v>77</v>
      </c>
      <c r="C1960" s="48" t="s">
        <v>43</v>
      </c>
      <c r="D1960" s="33" t="s">
        <v>61</v>
      </c>
      <c r="E1960" s="91">
        <v>45821</v>
      </c>
      <c r="F1960" s="92">
        <v>24125</v>
      </c>
      <c r="G1960" s="92">
        <v>24125</v>
      </c>
    </row>
    <row r="1961" spans="1:7">
      <c r="A1961" s="33" t="s">
        <v>839</v>
      </c>
      <c r="B1961" s="33" t="s">
        <v>77</v>
      </c>
      <c r="C1961" s="48" t="s">
        <v>43</v>
      </c>
      <c r="D1961" s="33" t="s">
        <v>61</v>
      </c>
      <c r="E1961" s="91">
        <v>46004</v>
      </c>
      <c r="F1961" s="92">
        <v>24125</v>
      </c>
      <c r="G1961" s="92">
        <v>24125</v>
      </c>
    </row>
    <row r="1962" spans="1:7">
      <c r="A1962" s="33" t="s">
        <v>839</v>
      </c>
      <c r="B1962" s="33" t="s">
        <v>77</v>
      </c>
      <c r="C1962" s="48" t="s">
        <v>43</v>
      </c>
      <c r="D1962" s="33" t="s">
        <v>61</v>
      </c>
      <c r="E1962" s="91">
        <v>46186</v>
      </c>
      <c r="F1962" s="92">
        <v>24125</v>
      </c>
      <c r="G1962" s="92">
        <v>24125</v>
      </c>
    </row>
    <row r="1963" spans="1:7">
      <c r="A1963" s="33" t="s">
        <v>839</v>
      </c>
      <c r="B1963" s="33" t="s">
        <v>77</v>
      </c>
      <c r="C1963" s="48" t="s">
        <v>43</v>
      </c>
      <c r="D1963" s="33" t="s">
        <v>61</v>
      </c>
      <c r="E1963" s="91">
        <v>46369</v>
      </c>
      <c r="F1963" s="92">
        <v>24125</v>
      </c>
      <c r="G1963" s="92">
        <v>24125</v>
      </c>
    </row>
    <row r="1964" spans="1:7">
      <c r="A1964" s="33" t="s">
        <v>839</v>
      </c>
      <c r="B1964" s="33" t="s">
        <v>77</v>
      </c>
      <c r="C1964" s="48" t="s">
        <v>43</v>
      </c>
      <c r="D1964" s="33" t="s">
        <v>61</v>
      </c>
      <c r="E1964" s="91">
        <v>46551</v>
      </c>
      <c r="F1964" s="92">
        <v>24125</v>
      </c>
      <c r="G1964" s="92">
        <v>24125</v>
      </c>
    </row>
    <row r="1965" spans="1:7">
      <c r="A1965" s="33" t="s">
        <v>839</v>
      </c>
      <c r="B1965" s="33" t="s">
        <v>77</v>
      </c>
      <c r="C1965" s="48" t="s">
        <v>43</v>
      </c>
      <c r="D1965" s="33" t="s">
        <v>61</v>
      </c>
      <c r="E1965" s="91">
        <v>46734</v>
      </c>
      <c r="F1965" s="92">
        <v>24125</v>
      </c>
      <c r="G1965" s="92">
        <v>24125</v>
      </c>
    </row>
    <row r="1966" spans="1:7">
      <c r="A1966" s="33" t="s">
        <v>839</v>
      </c>
      <c r="B1966" s="33" t="s">
        <v>77</v>
      </c>
      <c r="C1966" s="48" t="s">
        <v>43</v>
      </c>
      <c r="D1966" s="33" t="s">
        <v>61</v>
      </c>
      <c r="E1966" s="91">
        <v>46917</v>
      </c>
      <c r="F1966" s="92">
        <v>24125</v>
      </c>
      <c r="G1966" s="92">
        <v>24125</v>
      </c>
    </row>
    <row r="1967" spans="1:7">
      <c r="A1967" s="33" t="s">
        <v>839</v>
      </c>
      <c r="B1967" s="33" t="s">
        <v>77</v>
      </c>
      <c r="C1967" s="48" t="s">
        <v>43</v>
      </c>
      <c r="D1967" s="33" t="s">
        <v>61</v>
      </c>
      <c r="E1967" s="91">
        <v>47100</v>
      </c>
      <c r="F1967" s="92">
        <v>24125</v>
      </c>
      <c r="G1967" s="92">
        <v>2524125</v>
      </c>
    </row>
    <row r="1968" spans="1:7">
      <c r="A1968" s="87" t="s">
        <v>257</v>
      </c>
      <c r="B1968" s="87" t="s">
        <v>54</v>
      </c>
      <c r="C1968" s="88" t="s">
        <v>67</v>
      </c>
      <c r="D1968" s="87" t="s">
        <v>61</v>
      </c>
      <c r="E1968" s="89">
        <v>45557</v>
      </c>
      <c r="F1968" s="90">
        <v>157500</v>
      </c>
      <c r="G1968" s="90">
        <v>157500</v>
      </c>
    </row>
    <row r="1969" spans="1:7">
      <c r="A1969" s="33" t="s">
        <v>257</v>
      </c>
      <c r="B1969" s="33" t="s">
        <v>54</v>
      </c>
      <c r="C1969" s="33" t="s">
        <v>35</v>
      </c>
      <c r="D1969" s="36" t="s">
        <v>61</v>
      </c>
      <c r="E1969" s="91">
        <v>45738</v>
      </c>
      <c r="F1969" s="92">
        <v>157500</v>
      </c>
      <c r="G1969" s="92">
        <v>157500</v>
      </c>
    </row>
    <row r="1970" spans="1:7">
      <c r="A1970" s="33" t="s">
        <v>840</v>
      </c>
      <c r="B1970" s="33" t="s">
        <v>54</v>
      </c>
      <c r="C1970" s="33" t="s">
        <v>35</v>
      </c>
      <c r="D1970" s="36" t="s">
        <v>61</v>
      </c>
      <c r="E1970" s="91">
        <v>45922</v>
      </c>
      <c r="F1970" s="92">
        <v>157500</v>
      </c>
      <c r="G1970" s="92">
        <v>157500</v>
      </c>
    </row>
    <row r="1971" spans="1:7">
      <c r="A1971" s="33" t="s">
        <v>840</v>
      </c>
      <c r="B1971" s="33" t="s">
        <v>54</v>
      </c>
      <c r="C1971" s="33" t="s">
        <v>35</v>
      </c>
      <c r="D1971" s="36" t="s">
        <v>61</v>
      </c>
      <c r="E1971" s="91">
        <v>46103</v>
      </c>
      <c r="F1971" s="92">
        <v>157500</v>
      </c>
      <c r="G1971" s="92">
        <v>157500</v>
      </c>
    </row>
    <row r="1972" spans="1:7">
      <c r="A1972" s="33" t="s">
        <v>840</v>
      </c>
      <c r="B1972" s="33" t="s">
        <v>54</v>
      </c>
      <c r="C1972" s="33" t="s">
        <v>35</v>
      </c>
      <c r="D1972" s="36" t="s">
        <v>61</v>
      </c>
      <c r="E1972" s="91">
        <v>46287</v>
      </c>
      <c r="F1972" s="92">
        <v>157500</v>
      </c>
      <c r="G1972" s="92">
        <v>157500</v>
      </c>
    </row>
    <row r="1973" spans="1:7">
      <c r="A1973" s="33" t="s">
        <v>840</v>
      </c>
      <c r="B1973" s="33" t="s">
        <v>54</v>
      </c>
      <c r="C1973" s="33" t="s">
        <v>35</v>
      </c>
      <c r="D1973" s="36" t="s">
        <v>61</v>
      </c>
      <c r="E1973" s="91">
        <v>46468</v>
      </c>
      <c r="F1973" s="92">
        <v>157500</v>
      </c>
      <c r="G1973" s="92">
        <v>157500</v>
      </c>
    </row>
    <row r="1974" spans="1:7">
      <c r="A1974" s="33" t="s">
        <v>840</v>
      </c>
      <c r="B1974" s="33" t="s">
        <v>54</v>
      </c>
      <c r="C1974" s="33" t="s">
        <v>35</v>
      </c>
      <c r="D1974" s="36" t="s">
        <v>61</v>
      </c>
      <c r="E1974" s="91">
        <v>46652</v>
      </c>
      <c r="F1974" s="92">
        <v>157500</v>
      </c>
      <c r="G1974" s="92">
        <v>157500</v>
      </c>
    </row>
    <row r="1975" spans="1:7">
      <c r="A1975" s="33" t="s">
        <v>840</v>
      </c>
      <c r="B1975" s="33" t="s">
        <v>54</v>
      </c>
      <c r="C1975" s="33" t="s">
        <v>35</v>
      </c>
      <c r="D1975" s="36" t="s">
        <v>61</v>
      </c>
      <c r="E1975" s="91">
        <v>46834</v>
      </c>
      <c r="F1975" s="92">
        <v>157500</v>
      </c>
      <c r="G1975" s="92">
        <v>157500</v>
      </c>
    </row>
    <row r="1976" spans="1:7">
      <c r="A1976" s="33" t="s">
        <v>840</v>
      </c>
      <c r="B1976" s="33" t="s">
        <v>54</v>
      </c>
      <c r="C1976" s="33" t="s">
        <v>35</v>
      </c>
      <c r="D1976" s="36" t="s">
        <v>61</v>
      </c>
      <c r="E1976" s="91">
        <v>47018</v>
      </c>
      <c r="F1976" s="92">
        <v>157500</v>
      </c>
      <c r="G1976" s="92">
        <v>157500</v>
      </c>
    </row>
    <row r="1977" spans="1:7">
      <c r="A1977" s="33" t="s">
        <v>840</v>
      </c>
      <c r="B1977" s="33" t="s">
        <v>54</v>
      </c>
      <c r="C1977" s="33" t="s">
        <v>35</v>
      </c>
      <c r="D1977" s="36" t="s">
        <v>61</v>
      </c>
      <c r="E1977" s="91">
        <v>47199</v>
      </c>
      <c r="F1977" s="92">
        <v>157500</v>
      </c>
      <c r="G1977" s="92">
        <v>6157500</v>
      </c>
    </row>
    <row r="1978" spans="1:7">
      <c r="A1978" s="87" t="s">
        <v>257</v>
      </c>
      <c r="B1978" s="87" t="s">
        <v>77</v>
      </c>
      <c r="C1978" s="88" t="s">
        <v>67</v>
      </c>
      <c r="D1978" s="87" t="s">
        <v>61</v>
      </c>
      <c r="E1978" s="89">
        <v>45557</v>
      </c>
      <c r="F1978" s="90">
        <v>157500</v>
      </c>
      <c r="G1978" s="90">
        <v>157500</v>
      </c>
    </row>
    <row r="1979" spans="1:7">
      <c r="A1979" s="33" t="s">
        <v>257</v>
      </c>
      <c r="B1979" s="33" t="s">
        <v>77</v>
      </c>
      <c r="C1979" s="48" t="s">
        <v>67</v>
      </c>
      <c r="D1979" s="33" t="s">
        <v>61</v>
      </c>
      <c r="E1979" s="91">
        <v>45738</v>
      </c>
      <c r="F1979" s="92">
        <v>157500</v>
      </c>
      <c r="G1979" s="92">
        <v>157500</v>
      </c>
    </row>
    <row r="1980" spans="1:7">
      <c r="A1980" s="33" t="s">
        <v>840</v>
      </c>
      <c r="B1980" s="33" t="s">
        <v>77</v>
      </c>
      <c r="C1980" s="48" t="s">
        <v>67</v>
      </c>
      <c r="D1980" s="33" t="s">
        <v>61</v>
      </c>
      <c r="E1980" s="91">
        <v>45922</v>
      </c>
      <c r="F1980" s="92">
        <v>157500</v>
      </c>
      <c r="G1980" s="92">
        <v>157500</v>
      </c>
    </row>
    <row r="1981" spans="1:7">
      <c r="A1981" s="33" t="s">
        <v>840</v>
      </c>
      <c r="B1981" s="33" t="s">
        <v>77</v>
      </c>
      <c r="C1981" s="48" t="s">
        <v>67</v>
      </c>
      <c r="D1981" s="33" t="s">
        <v>61</v>
      </c>
      <c r="E1981" s="91">
        <v>46103</v>
      </c>
      <c r="F1981" s="92">
        <v>157500</v>
      </c>
      <c r="G1981" s="92">
        <v>157500</v>
      </c>
    </row>
    <row r="1982" spans="1:7">
      <c r="A1982" s="33" t="s">
        <v>840</v>
      </c>
      <c r="B1982" s="33" t="s">
        <v>77</v>
      </c>
      <c r="C1982" s="48" t="s">
        <v>67</v>
      </c>
      <c r="D1982" s="33" t="s">
        <v>61</v>
      </c>
      <c r="E1982" s="91">
        <v>46287</v>
      </c>
      <c r="F1982" s="92">
        <v>157500</v>
      </c>
      <c r="G1982" s="92">
        <v>157500</v>
      </c>
    </row>
    <row r="1983" spans="1:7">
      <c r="A1983" s="33" t="s">
        <v>840</v>
      </c>
      <c r="B1983" s="33" t="s">
        <v>77</v>
      </c>
      <c r="C1983" s="48" t="s">
        <v>67</v>
      </c>
      <c r="D1983" s="33" t="s">
        <v>61</v>
      </c>
      <c r="E1983" s="91">
        <v>46468</v>
      </c>
      <c r="F1983" s="92">
        <v>157500</v>
      </c>
      <c r="G1983" s="92">
        <v>157500</v>
      </c>
    </row>
    <row r="1984" spans="1:7">
      <c r="A1984" s="33" t="s">
        <v>840</v>
      </c>
      <c r="B1984" s="33" t="s">
        <v>77</v>
      </c>
      <c r="C1984" s="48" t="s">
        <v>67</v>
      </c>
      <c r="D1984" s="33" t="s">
        <v>61</v>
      </c>
      <c r="E1984" s="91">
        <v>46652</v>
      </c>
      <c r="F1984" s="92">
        <v>157500</v>
      </c>
      <c r="G1984" s="92">
        <v>157500</v>
      </c>
    </row>
    <row r="1985" spans="1:7">
      <c r="A1985" s="33" t="s">
        <v>840</v>
      </c>
      <c r="B1985" s="33" t="s">
        <v>77</v>
      </c>
      <c r="C1985" s="48" t="s">
        <v>67</v>
      </c>
      <c r="D1985" s="33" t="s">
        <v>61</v>
      </c>
      <c r="E1985" s="91">
        <v>46834</v>
      </c>
      <c r="F1985" s="92">
        <v>157500</v>
      </c>
      <c r="G1985" s="92">
        <v>157500</v>
      </c>
    </row>
    <row r="1986" spans="1:7">
      <c r="A1986" s="33" t="s">
        <v>840</v>
      </c>
      <c r="B1986" s="33" t="s">
        <v>77</v>
      </c>
      <c r="C1986" s="48" t="s">
        <v>67</v>
      </c>
      <c r="D1986" s="33" t="s">
        <v>61</v>
      </c>
      <c r="E1986" s="91">
        <v>47018</v>
      </c>
      <c r="F1986" s="92">
        <v>157500</v>
      </c>
      <c r="G1986" s="92">
        <v>157500</v>
      </c>
    </row>
    <row r="1987" spans="1:7">
      <c r="A1987" s="33" t="s">
        <v>840</v>
      </c>
      <c r="B1987" s="33" t="s">
        <v>77</v>
      </c>
      <c r="C1987" s="48" t="s">
        <v>67</v>
      </c>
      <c r="D1987" s="33" t="s">
        <v>61</v>
      </c>
      <c r="E1987" s="91">
        <v>47199</v>
      </c>
      <c r="F1987" s="92">
        <v>157500</v>
      </c>
      <c r="G1987" s="92">
        <v>6157500</v>
      </c>
    </row>
    <row r="1988" spans="1:7">
      <c r="A1988" s="87" t="s">
        <v>412</v>
      </c>
      <c r="B1988" s="87" t="s">
        <v>119</v>
      </c>
      <c r="C1988" s="88" t="s">
        <v>43</v>
      </c>
      <c r="D1988" s="87" t="s">
        <v>61</v>
      </c>
      <c r="E1988" s="89">
        <v>45586</v>
      </c>
      <c r="F1988" s="90">
        <v>33950</v>
      </c>
      <c r="G1988" s="90">
        <v>33950</v>
      </c>
    </row>
    <row r="1989" spans="1:7">
      <c r="A1989" s="33" t="s">
        <v>412</v>
      </c>
      <c r="B1989" s="33" t="s">
        <v>119</v>
      </c>
      <c r="C1989" s="48" t="s">
        <v>43</v>
      </c>
      <c r="D1989" s="33" t="s">
        <v>61</v>
      </c>
      <c r="E1989" s="91">
        <v>45768</v>
      </c>
      <c r="F1989" s="92">
        <v>33950</v>
      </c>
      <c r="G1989" s="92">
        <v>33950</v>
      </c>
    </row>
    <row r="1990" spans="1:7">
      <c r="A1990" s="33" t="s">
        <v>841</v>
      </c>
      <c r="B1990" s="33" t="s">
        <v>119</v>
      </c>
      <c r="C1990" s="48" t="s">
        <v>43</v>
      </c>
      <c r="D1990" s="33" t="s">
        <v>61</v>
      </c>
      <c r="E1990" s="91">
        <v>45951</v>
      </c>
      <c r="F1990" s="92">
        <v>33950</v>
      </c>
      <c r="G1990" s="92">
        <v>33950</v>
      </c>
    </row>
    <row r="1991" spans="1:7">
      <c r="A1991" s="33" t="s">
        <v>841</v>
      </c>
      <c r="B1991" s="33" t="s">
        <v>119</v>
      </c>
      <c r="C1991" s="48" t="s">
        <v>43</v>
      </c>
      <c r="D1991" s="33" t="s">
        <v>61</v>
      </c>
      <c r="E1991" s="91">
        <v>46133</v>
      </c>
      <c r="F1991" s="92">
        <v>33950</v>
      </c>
      <c r="G1991" s="92">
        <v>33950</v>
      </c>
    </row>
    <row r="1992" spans="1:7">
      <c r="A1992" s="33" t="s">
        <v>841</v>
      </c>
      <c r="B1992" s="33" t="s">
        <v>119</v>
      </c>
      <c r="C1992" s="48" t="s">
        <v>43</v>
      </c>
      <c r="D1992" s="33" t="s">
        <v>61</v>
      </c>
      <c r="E1992" s="91">
        <v>46316</v>
      </c>
      <c r="F1992" s="92">
        <v>33950</v>
      </c>
      <c r="G1992" s="92">
        <v>33950</v>
      </c>
    </row>
    <row r="1993" spans="1:7">
      <c r="A1993" s="33" t="s">
        <v>841</v>
      </c>
      <c r="B1993" s="33" t="s">
        <v>119</v>
      </c>
      <c r="C1993" s="48" t="s">
        <v>43</v>
      </c>
      <c r="D1993" s="33" t="s">
        <v>61</v>
      </c>
      <c r="E1993" s="91">
        <v>46498</v>
      </c>
      <c r="F1993" s="92">
        <v>33950</v>
      </c>
      <c r="G1993" s="92">
        <v>33950</v>
      </c>
    </row>
    <row r="1994" spans="1:7">
      <c r="A1994" s="33" t="s">
        <v>841</v>
      </c>
      <c r="B1994" s="33" t="s">
        <v>119</v>
      </c>
      <c r="C1994" s="48" t="s">
        <v>43</v>
      </c>
      <c r="D1994" s="33" t="s">
        <v>61</v>
      </c>
      <c r="E1994" s="91">
        <v>46681</v>
      </c>
      <c r="F1994" s="92">
        <v>33950</v>
      </c>
      <c r="G1994" s="92">
        <v>33950</v>
      </c>
    </row>
    <row r="1995" spans="1:7">
      <c r="A1995" s="33" t="s">
        <v>841</v>
      </c>
      <c r="B1995" s="33" t="s">
        <v>119</v>
      </c>
      <c r="C1995" s="48" t="s">
        <v>43</v>
      </c>
      <c r="D1995" s="33" t="s">
        <v>61</v>
      </c>
      <c r="E1995" s="91">
        <v>46864</v>
      </c>
      <c r="F1995" s="92">
        <v>33950</v>
      </c>
      <c r="G1995" s="92">
        <v>33950</v>
      </c>
    </row>
    <row r="1996" spans="1:7">
      <c r="A1996" s="33" t="s">
        <v>841</v>
      </c>
      <c r="B1996" s="33" t="s">
        <v>119</v>
      </c>
      <c r="C1996" s="48" t="s">
        <v>43</v>
      </c>
      <c r="D1996" s="33" t="s">
        <v>61</v>
      </c>
      <c r="E1996" s="91">
        <v>47047</v>
      </c>
      <c r="F1996" s="92">
        <v>33950</v>
      </c>
      <c r="G1996" s="92">
        <v>33950</v>
      </c>
    </row>
    <row r="1997" spans="1:7">
      <c r="A1997" s="33" t="s">
        <v>841</v>
      </c>
      <c r="B1997" s="33" t="s">
        <v>119</v>
      </c>
      <c r="C1997" s="48" t="s">
        <v>43</v>
      </c>
      <c r="D1997" s="33" t="s">
        <v>61</v>
      </c>
      <c r="E1997" s="91">
        <v>47229</v>
      </c>
      <c r="F1997" s="92">
        <v>33950</v>
      </c>
      <c r="G1997" s="92">
        <v>33950</v>
      </c>
    </row>
    <row r="1998" spans="1:7">
      <c r="A1998" s="33" t="s">
        <v>841</v>
      </c>
      <c r="B1998" s="33" t="s">
        <v>119</v>
      </c>
      <c r="C1998" s="48" t="s">
        <v>43</v>
      </c>
      <c r="D1998" s="33" t="s">
        <v>61</v>
      </c>
      <c r="E1998" s="91">
        <v>47412</v>
      </c>
      <c r="F1998" s="92">
        <v>33950</v>
      </c>
      <c r="G1998" s="92">
        <v>33950</v>
      </c>
    </row>
    <row r="1999" spans="1:7">
      <c r="A1999" s="33" t="s">
        <v>841</v>
      </c>
      <c r="B1999" s="33" t="s">
        <v>119</v>
      </c>
      <c r="C1999" s="48" t="s">
        <v>43</v>
      </c>
      <c r="D1999" s="33" t="s">
        <v>61</v>
      </c>
      <c r="E1999" s="91">
        <v>47594</v>
      </c>
      <c r="F1999" s="92">
        <v>33950</v>
      </c>
      <c r="G1999" s="92">
        <v>1973950</v>
      </c>
    </row>
    <row r="2000" spans="1:7">
      <c r="A2000" s="87" t="s">
        <v>412</v>
      </c>
      <c r="B2000" s="87" t="s">
        <v>54</v>
      </c>
      <c r="C2000" s="88" t="s">
        <v>43</v>
      </c>
      <c r="D2000" s="87" t="s">
        <v>61</v>
      </c>
      <c r="E2000" s="89">
        <v>45586</v>
      </c>
      <c r="F2000" s="90">
        <v>12862.500000000002</v>
      </c>
      <c r="G2000" s="90">
        <v>12862.500000000002</v>
      </c>
    </row>
    <row r="2001" spans="1:7">
      <c r="A2001" s="33" t="s">
        <v>412</v>
      </c>
      <c r="B2001" s="33" t="s">
        <v>54</v>
      </c>
      <c r="C2001" s="33" t="s">
        <v>60</v>
      </c>
      <c r="D2001" s="36" t="s">
        <v>61</v>
      </c>
      <c r="E2001" s="91">
        <v>45768</v>
      </c>
      <c r="F2001" s="92">
        <v>12862.500000000002</v>
      </c>
      <c r="G2001" s="92">
        <v>12862.500000000002</v>
      </c>
    </row>
    <row r="2002" spans="1:7">
      <c r="A2002" s="33" t="s">
        <v>841</v>
      </c>
      <c r="B2002" s="33" t="s">
        <v>54</v>
      </c>
      <c r="C2002" s="33" t="s">
        <v>60</v>
      </c>
      <c r="D2002" s="36" t="s">
        <v>61</v>
      </c>
      <c r="E2002" s="91">
        <v>45951</v>
      </c>
      <c r="F2002" s="92">
        <v>12862.500000000002</v>
      </c>
      <c r="G2002" s="92">
        <v>12862.500000000002</v>
      </c>
    </row>
    <row r="2003" spans="1:7">
      <c r="A2003" s="33" t="s">
        <v>841</v>
      </c>
      <c r="B2003" s="33" t="s">
        <v>54</v>
      </c>
      <c r="C2003" s="33" t="s">
        <v>60</v>
      </c>
      <c r="D2003" s="36" t="s">
        <v>61</v>
      </c>
      <c r="E2003" s="91">
        <v>46133</v>
      </c>
      <c r="F2003" s="92">
        <v>12862.500000000002</v>
      </c>
      <c r="G2003" s="92">
        <v>12862.500000000002</v>
      </c>
    </row>
    <row r="2004" spans="1:7">
      <c r="A2004" s="33" t="s">
        <v>841</v>
      </c>
      <c r="B2004" s="33" t="s">
        <v>54</v>
      </c>
      <c r="C2004" s="33" t="s">
        <v>60</v>
      </c>
      <c r="D2004" s="36" t="s">
        <v>61</v>
      </c>
      <c r="E2004" s="91">
        <v>46316</v>
      </c>
      <c r="F2004" s="92">
        <v>12862.500000000002</v>
      </c>
      <c r="G2004" s="92">
        <v>12862.500000000002</v>
      </c>
    </row>
    <row r="2005" spans="1:7">
      <c r="A2005" s="33" t="s">
        <v>841</v>
      </c>
      <c r="B2005" s="33" t="s">
        <v>54</v>
      </c>
      <c r="C2005" s="33" t="s">
        <v>60</v>
      </c>
      <c r="D2005" s="36" t="s">
        <v>61</v>
      </c>
      <c r="E2005" s="91">
        <v>46498</v>
      </c>
      <c r="F2005" s="92">
        <v>12862.500000000002</v>
      </c>
      <c r="G2005" s="92">
        <v>12862.500000000002</v>
      </c>
    </row>
    <row r="2006" spans="1:7">
      <c r="A2006" s="33" t="s">
        <v>841</v>
      </c>
      <c r="B2006" s="33" t="s">
        <v>54</v>
      </c>
      <c r="C2006" s="33" t="s">
        <v>60</v>
      </c>
      <c r="D2006" s="36" t="s">
        <v>61</v>
      </c>
      <c r="E2006" s="91">
        <v>46681</v>
      </c>
      <c r="F2006" s="92">
        <v>12862.500000000002</v>
      </c>
      <c r="G2006" s="92">
        <v>12862.500000000002</v>
      </c>
    </row>
    <row r="2007" spans="1:7">
      <c r="A2007" s="33" t="s">
        <v>841</v>
      </c>
      <c r="B2007" s="33" t="s">
        <v>54</v>
      </c>
      <c r="C2007" s="33" t="s">
        <v>60</v>
      </c>
      <c r="D2007" s="36" t="s">
        <v>61</v>
      </c>
      <c r="E2007" s="91">
        <v>46864</v>
      </c>
      <c r="F2007" s="92">
        <v>12862.500000000002</v>
      </c>
      <c r="G2007" s="92">
        <v>12862.500000000002</v>
      </c>
    </row>
    <row r="2008" spans="1:7">
      <c r="A2008" s="33" t="s">
        <v>841</v>
      </c>
      <c r="B2008" s="33" t="s">
        <v>54</v>
      </c>
      <c r="C2008" s="33" t="s">
        <v>60</v>
      </c>
      <c r="D2008" s="36" t="s">
        <v>61</v>
      </c>
      <c r="E2008" s="91">
        <v>47047</v>
      </c>
      <c r="F2008" s="92">
        <v>12862.500000000002</v>
      </c>
      <c r="G2008" s="92">
        <v>12862.500000000002</v>
      </c>
    </row>
    <row r="2009" spans="1:7">
      <c r="A2009" s="33" t="s">
        <v>841</v>
      </c>
      <c r="B2009" s="33" t="s">
        <v>54</v>
      </c>
      <c r="C2009" s="33" t="s">
        <v>60</v>
      </c>
      <c r="D2009" s="36" t="s">
        <v>61</v>
      </c>
      <c r="E2009" s="91">
        <v>47229</v>
      </c>
      <c r="F2009" s="92">
        <v>12862.500000000002</v>
      </c>
      <c r="G2009" s="92">
        <v>12862.500000000002</v>
      </c>
    </row>
    <row r="2010" spans="1:7">
      <c r="A2010" s="33" t="s">
        <v>841</v>
      </c>
      <c r="B2010" s="33" t="s">
        <v>54</v>
      </c>
      <c r="C2010" s="33" t="s">
        <v>60</v>
      </c>
      <c r="D2010" s="36" t="s">
        <v>61</v>
      </c>
      <c r="E2010" s="91">
        <v>47412</v>
      </c>
      <c r="F2010" s="92">
        <v>12862.500000000002</v>
      </c>
      <c r="G2010" s="92">
        <v>12862.500000000002</v>
      </c>
    </row>
    <row r="2011" spans="1:7">
      <c r="A2011" s="33" t="s">
        <v>841</v>
      </c>
      <c r="B2011" s="33" t="s">
        <v>54</v>
      </c>
      <c r="C2011" s="33" t="s">
        <v>60</v>
      </c>
      <c r="D2011" s="36" t="s">
        <v>61</v>
      </c>
      <c r="E2011" s="91">
        <v>47594</v>
      </c>
      <c r="F2011" s="92">
        <v>12862.500000000002</v>
      </c>
      <c r="G2011" s="92">
        <v>747862.5</v>
      </c>
    </row>
    <row r="2012" spans="1:7">
      <c r="A2012" s="87" t="s">
        <v>412</v>
      </c>
      <c r="B2012" s="87" t="s">
        <v>77</v>
      </c>
      <c r="C2012" s="88" t="s">
        <v>43</v>
      </c>
      <c r="D2012" s="87" t="s">
        <v>61</v>
      </c>
      <c r="E2012" s="89">
        <v>45586</v>
      </c>
      <c r="F2012" s="90">
        <v>6387.5000000000009</v>
      </c>
      <c r="G2012" s="90">
        <v>6387.5000000000009</v>
      </c>
    </row>
    <row r="2013" spans="1:7">
      <c r="A2013" s="33" t="s">
        <v>412</v>
      </c>
      <c r="B2013" s="33" t="s">
        <v>77</v>
      </c>
      <c r="C2013" s="48" t="s">
        <v>43</v>
      </c>
      <c r="D2013" s="33" t="s">
        <v>61</v>
      </c>
      <c r="E2013" s="91">
        <v>45768</v>
      </c>
      <c r="F2013" s="92">
        <v>6387.5000000000009</v>
      </c>
      <c r="G2013" s="92">
        <v>6387.5000000000009</v>
      </c>
    </row>
    <row r="2014" spans="1:7">
      <c r="A2014" s="33" t="s">
        <v>841</v>
      </c>
      <c r="B2014" s="33" t="s">
        <v>77</v>
      </c>
      <c r="C2014" s="48" t="s">
        <v>43</v>
      </c>
      <c r="D2014" s="33" t="s">
        <v>61</v>
      </c>
      <c r="E2014" s="91">
        <v>45951</v>
      </c>
      <c r="F2014" s="92">
        <v>6387.5000000000009</v>
      </c>
      <c r="G2014" s="92">
        <v>6387.5000000000009</v>
      </c>
    </row>
    <row r="2015" spans="1:7">
      <c r="A2015" s="33" t="s">
        <v>841</v>
      </c>
      <c r="B2015" s="33" t="s">
        <v>77</v>
      </c>
      <c r="C2015" s="48" t="s">
        <v>43</v>
      </c>
      <c r="D2015" s="33" t="s">
        <v>61</v>
      </c>
      <c r="E2015" s="91">
        <v>46133</v>
      </c>
      <c r="F2015" s="92">
        <v>6387.5000000000009</v>
      </c>
      <c r="G2015" s="92">
        <v>6387.5000000000009</v>
      </c>
    </row>
    <row r="2016" spans="1:7">
      <c r="A2016" s="33" t="s">
        <v>841</v>
      </c>
      <c r="B2016" s="33" t="s">
        <v>77</v>
      </c>
      <c r="C2016" s="48" t="s">
        <v>43</v>
      </c>
      <c r="D2016" s="33" t="s">
        <v>61</v>
      </c>
      <c r="E2016" s="91">
        <v>46316</v>
      </c>
      <c r="F2016" s="92">
        <v>6387.5000000000009</v>
      </c>
      <c r="G2016" s="92">
        <v>6387.5000000000009</v>
      </c>
    </row>
    <row r="2017" spans="1:7">
      <c r="A2017" s="33" t="s">
        <v>841</v>
      </c>
      <c r="B2017" s="33" t="s">
        <v>77</v>
      </c>
      <c r="C2017" s="48" t="s">
        <v>43</v>
      </c>
      <c r="D2017" s="33" t="s">
        <v>61</v>
      </c>
      <c r="E2017" s="91">
        <v>46498</v>
      </c>
      <c r="F2017" s="92">
        <v>6387.5000000000009</v>
      </c>
      <c r="G2017" s="92">
        <v>6387.5000000000009</v>
      </c>
    </row>
    <row r="2018" spans="1:7">
      <c r="A2018" s="33" t="s">
        <v>841</v>
      </c>
      <c r="B2018" s="33" t="s">
        <v>77</v>
      </c>
      <c r="C2018" s="48" t="s">
        <v>43</v>
      </c>
      <c r="D2018" s="33" t="s">
        <v>61</v>
      </c>
      <c r="E2018" s="91">
        <v>46681</v>
      </c>
      <c r="F2018" s="92">
        <v>6387.5000000000009</v>
      </c>
      <c r="G2018" s="92">
        <v>6387.5000000000009</v>
      </c>
    </row>
    <row r="2019" spans="1:7">
      <c r="A2019" s="33" t="s">
        <v>841</v>
      </c>
      <c r="B2019" s="33" t="s">
        <v>77</v>
      </c>
      <c r="C2019" s="48" t="s">
        <v>43</v>
      </c>
      <c r="D2019" s="33" t="s">
        <v>61</v>
      </c>
      <c r="E2019" s="91">
        <v>46864</v>
      </c>
      <c r="F2019" s="92">
        <v>6387.5000000000009</v>
      </c>
      <c r="G2019" s="92">
        <v>6387.5000000000009</v>
      </c>
    </row>
    <row r="2020" spans="1:7">
      <c r="A2020" s="33" t="s">
        <v>841</v>
      </c>
      <c r="B2020" s="33" t="s">
        <v>77</v>
      </c>
      <c r="C2020" s="48" t="s">
        <v>43</v>
      </c>
      <c r="D2020" s="33" t="s">
        <v>61</v>
      </c>
      <c r="E2020" s="91">
        <v>47047</v>
      </c>
      <c r="F2020" s="92">
        <v>6387.5000000000009</v>
      </c>
      <c r="G2020" s="92">
        <v>6387.5000000000009</v>
      </c>
    </row>
    <row r="2021" spans="1:7">
      <c r="A2021" s="33" t="s">
        <v>841</v>
      </c>
      <c r="B2021" s="33" t="s">
        <v>77</v>
      </c>
      <c r="C2021" s="48" t="s">
        <v>43</v>
      </c>
      <c r="D2021" s="33" t="s">
        <v>61</v>
      </c>
      <c r="E2021" s="91">
        <v>47229</v>
      </c>
      <c r="F2021" s="92">
        <v>6387.5000000000009</v>
      </c>
      <c r="G2021" s="92">
        <v>6387.5000000000009</v>
      </c>
    </row>
    <row r="2022" spans="1:7">
      <c r="A2022" s="33" t="s">
        <v>841</v>
      </c>
      <c r="B2022" s="33" t="s">
        <v>77</v>
      </c>
      <c r="C2022" s="48" t="s">
        <v>43</v>
      </c>
      <c r="D2022" s="33" t="s">
        <v>61</v>
      </c>
      <c r="E2022" s="91">
        <v>47412</v>
      </c>
      <c r="F2022" s="92">
        <v>6387.5000000000009</v>
      </c>
      <c r="G2022" s="92">
        <v>6387.5000000000009</v>
      </c>
    </row>
    <row r="2023" spans="1:7">
      <c r="A2023" s="33" t="s">
        <v>841</v>
      </c>
      <c r="B2023" s="33" t="s">
        <v>77</v>
      </c>
      <c r="C2023" s="48" t="s">
        <v>43</v>
      </c>
      <c r="D2023" s="33" t="s">
        <v>61</v>
      </c>
      <c r="E2023" s="91">
        <v>47594</v>
      </c>
      <c r="F2023" s="92">
        <v>6387.5000000000009</v>
      </c>
      <c r="G2023" s="92">
        <v>371387.5</v>
      </c>
    </row>
    <row r="2024" spans="1:7">
      <c r="A2024" s="87" t="s">
        <v>412</v>
      </c>
      <c r="B2024" s="87" t="s">
        <v>223</v>
      </c>
      <c r="C2024" s="88" t="s">
        <v>43</v>
      </c>
      <c r="D2024" s="87" t="s">
        <v>61</v>
      </c>
      <c r="E2024" s="89">
        <v>45586</v>
      </c>
      <c r="F2024" s="90">
        <v>38150</v>
      </c>
      <c r="G2024" s="90">
        <v>38150</v>
      </c>
    </row>
    <row r="2025" spans="1:7">
      <c r="A2025" s="33" t="s">
        <v>412</v>
      </c>
      <c r="B2025" s="33" t="s">
        <v>223</v>
      </c>
      <c r="C2025" s="48" t="s">
        <v>43</v>
      </c>
      <c r="D2025" s="33" t="s">
        <v>61</v>
      </c>
      <c r="E2025" s="91">
        <v>45768</v>
      </c>
      <c r="F2025" s="92">
        <v>38150</v>
      </c>
      <c r="G2025" s="92">
        <v>38150</v>
      </c>
    </row>
    <row r="2026" spans="1:7">
      <c r="A2026" s="33" t="s">
        <v>841</v>
      </c>
      <c r="B2026" s="33" t="s">
        <v>223</v>
      </c>
      <c r="C2026" s="48" t="s">
        <v>43</v>
      </c>
      <c r="D2026" s="33" t="s">
        <v>61</v>
      </c>
      <c r="E2026" s="91">
        <v>45951</v>
      </c>
      <c r="F2026" s="92">
        <v>38150</v>
      </c>
      <c r="G2026" s="92">
        <v>38150</v>
      </c>
    </row>
    <row r="2027" spans="1:7">
      <c r="A2027" s="33" t="s">
        <v>841</v>
      </c>
      <c r="B2027" s="33" t="s">
        <v>223</v>
      </c>
      <c r="C2027" s="48" t="s">
        <v>43</v>
      </c>
      <c r="D2027" s="33" t="s">
        <v>61</v>
      </c>
      <c r="E2027" s="91">
        <v>46133</v>
      </c>
      <c r="F2027" s="92">
        <v>38150</v>
      </c>
      <c r="G2027" s="92">
        <v>38150</v>
      </c>
    </row>
    <row r="2028" spans="1:7">
      <c r="A2028" s="33" t="s">
        <v>841</v>
      </c>
      <c r="B2028" s="33" t="s">
        <v>223</v>
      </c>
      <c r="C2028" s="48" t="s">
        <v>43</v>
      </c>
      <c r="D2028" s="33" t="s">
        <v>61</v>
      </c>
      <c r="E2028" s="91">
        <v>46316</v>
      </c>
      <c r="F2028" s="92">
        <v>38150</v>
      </c>
      <c r="G2028" s="92">
        <v>38150</v>
      </c>
    </row>
    <row r="2029" spans="1:7">
      <c r="A2029" s="33" t="s">
        <v>841</v>
      </c>
      <c r="B2029" s="33" t="s">
        <v>223</v>
      </c>
      <c r="C2029" s="48" t="s">
        <v>43</v>
      </c>
      <c r="D2029" s="33" t="s">
        <v>61</v>
      </c>
      <c r="E2029" s="91">
        <v>46498</v>
      </c>
      <c r="F2029" s="92">
        <v>38150</v>
      </c>
      <c r="G2029" s="92">
        <v>38150</v>
      </c>
    </row>
    <row r="2030" spans="1:7">
      <c r="A2030" s="33" t="s">
        <v>841</v>
      </c>
      <c r="B2030" s="33" t="s">
        <v>223</v>
      </c>
      <c r="C2030" s="48" t="s">
        <v>43</v>
      </c>
      <c r="D2030" s="33" t="s">
        <v>61</v>
      </c>
      <c r="E2030" s="91">
        <v>46681</v>
      </c>
      <c r="F2030" s="92">
        <v>38150</v>
      </c>
      <c r="G2030" s="92">
        <v>38150</v>
      </c>
    </row>
    <row r="2031" spans="1:7">
      <c r="A2031" s="33" t="s">
        <v>841</v>
      </c>
      <c r="B2031" s="33" t="s">
        <v>223</v>
      </c>
      <c r="C2031" s="48" t="s">
        <v>43</v>
      </c>
      <c r="D2031" s="33" t="s">
        <v>61</v>
      </c>
      <c r="E2031" s="91">
        <v>46864</v>
      </c>
      <c r="F2031" s="92">
        <v>38150</v>
      </c>
      <c r="G2031" s="92">
        <v>38150</v>
      </c>
    </row>
    <row r="2032" spans="1:7">
      <c r="A2032" s="33" t="s">
        <v>841</v>
      </c>
      <c r="B2032" s="33" t="s">
        <v>223</v>
      </c>
      <c r="C2032" s="48" t="s">
        <v>43</v>
      </c>
      <c r="D2032" s="33" t="s">
        <v>61</v>
      </c>
      <c r="E2032" s="91">
        <v>47047</v>
      </c>
      <c r="F2032" s="92">
        <v>38150</v>
      </c>
      <c r="G2032" s="92">
        <v>38150</v>
      </c>
    </row>
    <row r="2033" spans="1:7">
      <c r="A2033" s="33" t="s">
        <v>841</v>
      </c>
      <c r="B2033" s="33" t="s">
        <v>223</v>
      </c>
      <c r="C2033" s="48" t="s">
        <v>43</v>
      </c>
      <c r="D2033" s="33" t="s">
        <v>61</v>
      </c>
      <c r="E2033" s="91">
        <v>47229</v>
      </c>
      <c r="F2033" s="92">
        <v>38150</v>
      </c>
      <c r="G2033" s="92">
        <v>38150</v>
      </c>
    </row>
    <row r="2034" spans="1:7">
      <c r="A2034" s="33" t="s">
        <v>841</v>
      </c>
      <c r="B2034" s="33" t="s">
        <v>223</v>
      </c>
      <c r="C2034" s="48" t="s">
        <v>43</v>
      </c>
      <c r="D2034" s="33" t="s">
        <v>61</v>
      </c>
      <c r="E2034" s="91">
        <v>47412</v>
      </c>
      <c r="F2034" s="92">
        <v>38150</v>
      </c>
      <c r="G2034" s="92">
        <v>38150</v>
      </c>
    </row>
    <row r="2035" spans="1:7">
      <c r="A2035" s="33" t="s">
        <v>841</v>
      </c>
      <c r="B2035" s="33" t="s">
        <v>223</v>
      </c>
      <c r="C2035" s="48" t="s">
        <v>43</v>
      </c>
      <c r="D2035" s="33" t="s">
        <v>61</v>
      </c>
      <c r="E2035" s="91">
        <v>47594</v>
      </c>
      <c r="F2035" s="92">
        <v>38150</v>
      </c>
      <c r="G2035" s="92">
        <v>2218150</v>
      </c>
    </row>
    <row r="2036" spans="1:7">
      <c r="A2036" s="87" t="s">
        <v>316</v>
      </c>
      <c r="B2036" s="87" t="s">
        <v>54</v>
      </c>
      <c r="C2036" s="88" t="s">
        <v>43</v>
      </c>
      <c r="D2036" s="87" t="s">
        <v>61</v>
      </c>
      <c r="E2036" s="89">
        <v>45166</v>
      </c>
      <c r="F2036" s="90">
        <v>23750</v>
      </c>
      <c r="G2036" s="90">
        <v>23750</v>
      </c>
    </row>
    <row r="2037" spans="1:7">
      <c r="A2037" s="33" t="s">
        <v>316</v>
      </c>
      <c r="B2037" s="33" t="s">
        <v>54</v>
      </c>
      <c r="C2037" s="48" t="s">
        <v>43</v>
      </c>
      <c r="D2037" s="33" t="s">
        <v>61</v>
      </c>
      <c r="E2037" s="91">
        <v>45350</v>
      </c>
      <c r="F2037" s="92">
        <v>23750</v>
      </c>
      <c r="G2037" s="92">
        <v>23750</v>
      </c>
    </row>
    <row r="2038" spans="1:7">
      <c r="A2038" s="33" t="s">
        <v>316</v>
      </c>
      <c r="B2038" s="33" t="s">
        <v>54</v>
      </c>
      <c r="C2038" s="48" t="s">
        <v>43</v>
      </c>
      <c r="D2038" s="33" t="s">
        <v>61</v>
      </c>
      <c r="E2038" s="91">
        <v>45532</v>
      </c>
      <c r="F2038" s="92">
        <v>23750</v>
      </c>
      <c r="G2038" s="92">
        <v>23750</v>
      </c>
    </row>
    <row r="2039" spans="1:7">
      <c r="A2039" s="33" t="s">
        <v>316</v>
      </c>
      <c r="B2039" s="33" t="s">
        <v>54</v>
      </c>
      <c r="C2039" s="48" t="s">
        <v>43</v>
      </c>
      <c r="D2039" s="33" t="s">
        <v>61</v>
      </c>
      <c r="E2039" s="91">
        <v>45716</v>
      </c>
      <c r="F2039" s="92">
        <v>23750</v>
      </c>
      <c r="G2039" s="92">
        <v>23750</v>
      </c>
    </row>
    <row r="2040" spans="1:7">
      <c r="A2040" s="33" t="s">
        <v>316</v>
      </c>
      <c r="B2040" s="33" t="s">
        <v>54</v>
      </c>
      <c r="C2040" s="48" t="s">
        <v>43</v>
      </c>
      <c r="D2040" s="33" t="s">
        <v>61</v>
      </c>
      <c r="E2040" s="91">
        <v>45897</v>
      </c>
      <c r="F2040" s="92">
        <v>23750</v>
      </c>
      <c r="G2040" s="92">
        <v>23750</v>
      </c>
    </row>
    <row r="2041" spans="1:7">
      <c r="A2041" s="33" t="s">
        <v>316</v>
      </c>
      <c r="B2041" s="33" t="s">
        <v>54</v>
      </c>
      <c r="C2041" s="48" t="s">
        <v>43</v>
      </c>
      <c r="D2041" s="33" t="s">
        <v>61</v>
      </c>
      <c r="E2041" s="91">
        <v>46081</v>
      </c>
      <c r="F2041" s="92">
        <v>23750</v>
      </c>
      <c r="G2041" s="92">
        <v>23750</v>
      </c>
    </row>
    <row r="2042" spans="1:7">
      <c r="A2042" s="33" t="s">
        <v>316</v>
      </c>
      <c r="B2042" s="33" t="s">
        <v>54</v>
      </c>
      <c r="C2042" s="48" t="s">
        <v>43</v>
      </c>
      <c r="D2042" s="33" t="s">
        <v>61</v>
      </c>
      <c r="E2042" s="91">
        <v>46262</v>
      </c>
      <c r="F2042" s="92">
        <v>23750</v>
      </c>
      <c r="G2042" s="92">
        <v>23750</v>
      </c>
    </row>
    <row r="2043" spans="1:7">
      <c r="A2043" s="33" t="s">
        <v>316</v>
      </c>
      <c r="B2043" s="33" t="s">
        <v>54</v>
      </c>
      <c r="C2043" s="48" t="s">
        <v>43</v>
      </c>
      <c r="D2043" s="33" t="s">
        <v>61</v>
      </c>
      <c r="E2043" s="91">
        <v>46446</v>
      </c>
      <c r="F2043" s="92">
        <v>23750</v>
      </c>
      <c r="G2043" s="92">
        <v>23750</v>
      </c>
    </row>
    <row r="2044" spans="1:7">
      <c r="A2044" s="33" t="s">
        <v>316</v>
      </c>
      <c r="B2044" s="33" t="s">
        <v>54</v>
      </c>
      <c r="C2044" s="48" t="s">
        <v>43</v>
      </c>
      <c r="D2044" s="33" t="s">
        <v>61</v>
      </c>
      <c r="E2044" s="91">
        <v>46627</v>
      </c>
      <c r="F2044" s="92">
        <v>23750</v>
      </c>
      <c r="G2044" s="92">
        <v>23750</v>
      </c>
    </row>
    <row r="2045" spans="1:7">
      <c r="A2045" s="33" t="s">
        <v>316</v>
      </c>
      <c r="B2045" s="33" t="s">
        <v>54</v>
      </c>
      <c r="C2045" s="48" t="s">
        <v>43</v>
      </c>
      <c r="D2045" s="33" t="s">
        <v>61</v>
      </c>
      <c r="E2045" s="91">
        <v>46811</v>
      </c>
      <c r="F2045" s="92">
        <v>23750</v>
      </c>
      <c r="G2045" s="92">
        <v>23750</v>
      </c>
    </row>
    <row r="2046" spans="1:7">
      <c r="A2046" s="33" t="s">
        <v>316</v>
      </c>
      <c r="B2046" s="33" t="s">
        <v>54</v>
      </c>
      <c r="C2046" s="48" t="s">
        <v>43</v>
      </c>
      <c r="D2046" s="33" t="s">
        <v>61</v>
      </c>
      <c r="E2046" s="91">
        <v>46993</v>
      </c>
      <c r="F2046" s="92">
        <v>23750</v>
      </c>
      <c r="G2046" s="92">
        <v>23750</v>
      </c>
    </row>
    <row r="2047" spans="1:7">
      <c r="A2047" s="33" t="s">
        <v>316</v>
      </c>
      <c r="B2047" s="33" t="s">
        <v>54</v>
      </c>
      <c r="C2047" s="48" t="s">
        <v>43</v>
      </c>
      <c r="D2047" s="33" t="s">
        <v>61</v>
      </c>
      <c r="E2047" s="91">
        <v>47177</v>
      </c>
      <c r="F2047" s="92">
        <v>23750</v>
      </c>
      <c r="G2047" s="92">
        <v>23750</v>
      </c>
    </row>
    <row r="2048" spans="1:7">
      <c r="A2048" s="33" t="s">
        <v>316</v>
      </c>
      <c r="B2048" s="33" t="s">
        <v>54</v>
      </c>
      <c r="C2048" s="48" t="s">
        <v>43</v>
      </c>
      <c r="D2048" s="33" t="s">
        <v>61</v>
      </c>
      <c r="E2048" s="91">
        <v>47358</v>
      </c>
      <c r="F2048" s="92">
        <v>23750</v>
      </c>
      <c r="G2048" s="92">
        <v>2023750</v>
      </c>
    </row>
    <row r="2049" spans="1:7">
      <c r="A2049" s="87" t="s">
        <v>491</v>
      </c>
      <c r="B2049" s="87" t="s">
        <v>754</v>
      </c>
      <c r="C2049" s="88" t="s">
        <v>43</v>
      </c>
      <c r="D2049" s="87" t="s">
        <v>61</v>
      </c>
      <c r="E2049" s="89">
        <v>45070</v>
      </c>
      <c r="F2049" s="90">
        <v>22500</v>
      </c>
      <c r="G2049" s="90">
        <v>22500</v>
      </c>
    </row>
    <row r="2050" spans="1:7">
      <c r="A2050" s="33" t="s">
        <v>491</v>
      </c>
      <c r="B2050" s="33" t="s">
        <v>754</v>
      </c>
      <c r="C2050" s="33" t="s">
        <v>60</v>
      </c>
      <c r="D2050" s="36" t="s">
        <v>61</v>
      </c>
      <c r="E2050" s="91">
        <v>45254</v>
      </c>
      <c r="F2050" s="92">
        <v>22500</v>
      </c>
      <c r="G2050" s="92">
        <v>22500</v>
      </c>
    </row>
    <row r="2051" spans="1:7">
      <c r="A2051" s="33" t="s">
        <v>491</v>
      </c>
      <c r="B2051" s="33" t="s">
        <v>754</v>
      </c>
      <c r="C2051" s="33" t="s">
        <v>60</v>
      </c>
      <c r="D2051" s="36" t="s">
        <v>61</v>
      </c>
      <c r="E2051" s="91">
        <v>45436</v>
      </c>
      <c r="F2051" s="92">
        <v>22500</v>
      </c>
      <c r="G2051" s="92">
        <v>22500</v>
      </c>
    </row>
    <row r="2052" spans="1:7">
      <c r="A2052" s="33" t="s">
        <v>491</v>
      </c>
      <c r="B2052" s="33" t="s">
        <v>754</v>
      </c>
      <c r="C2052" s="33" t="s">
        <v>60</v>
      </c>
      <c r="D2052" s="36" t="s">
        <v>61</v>
      </c>
      <c r="E2052" s="91">
        <v>45620</v>
      </c>
      <c r="F2052" s="92">
        <v>22500</v>
      </c>
      <c r="G2052" s="92">
        <v>22500</v>
      </c>
    </row>
    <row r="2053" spans="1:7">
      <c r="A2053" s="33" t="s">
        <v>491</v>
      </c>
      <c r="B2053" s="33" t="s">
        <v>754</v>
      </c>
      <c r="C2053" s="33" t="s">
        <v>60</v>
      </c>
      <c r="D2053" s="36" t="s">
        <v>61</v>
      </c>
      <c r="E2053" s="91">
        <v>45801</v>
      </c>
      <c r="F2053" s="92">
        <v>22500</v>
      </c>
      <c r="G2053" s="92">
        <v>22500</v>
      </c>
    </row>
    <row r="2054" spans="1:7">
      <c r="A2054" s="33" t="s">
        <v>491</v>
      </c>
      <c r="B2054" s="33" t="s">
        <v>754</v>
      </c>
      <c r="C2054" s="33" t="s">
        <v>60</v>
      </c>
      <c r="D2054" s="36" t="s">
        <v>61</v>
      </c>
      <c r="E2054" s="91">
        <v>45985</v>
      </c>
      <c r="F2054" s="92">
        <v>22500</v>
      </c>
      <c r="G2054" s="92">
        <v>22500</v>
      </c>
    </row>
    <row r="2055" spans="1:7">
      <c r="A2055" s="33" t="s">
        <v>491</v>
      </c>
      <c r="B2055" s="33" t="s">
        <v>754</v>
      </c>
      <c r="C2055" s="33" t="s">
        <v>60</v>
      </c>
      <c r="D2055" s="36" t="s">
        <v>61</v>
      </c>
      <c r="E2055" s="91">
        <v>46166</v>
      </c>
      <c r="F2055" s="92">
        <v>22500</v>
      </c>
      <c r="G2055" s="92">
        <v>22500</v>
      </c>
    </row>
    <row r="2056" spans="1:7">
      <c r="A2056" s="33" t="s">
        <v>491</v>
      </c>
      <c r="B2056" s="33" t="s">
        <v>754</v>
      </c>
      <c r="C2056" s="33" t="s">
        <v>60</v>
      </c>
      <c r="D2056" s="36" t="s">
        <v>61</v>
      </c>
      <c r="E2056" s="91">
        <v>46350</v>
      </c>
      <c r="F2056" s="92">
        <v>22500</v>
      </c>
      <c r="G2056" s="92">
        <v>22500</v>
      </c>
    </row>
    <row r="2057" spans="1:7">
      <c r="A2057" s="33" t="s">
        <v>491</v>
      </c>
      <c r="B2057" s="33" t="s">
        <v>754</v>
      </c>
      <c r="C2057" s="33" t="s">
        <v>60</v>
      </c>
      <c r="D2057" s="36" t="s">
        <v>61</v>
      </c>
      <c r="E2057" s="91">
        <v>46531</v>
      </c>
      <c r="F2057" s="92">
        <v>22500</v>
      </c>
      <c r="G2057" s="92">
        <v>22500</v>
      </c>
    </row>
    <row r="2058" spans="1:7">
      <c r="A2058" s="33" t="s">
        <v>491</v>
      </c>
      <c r="B2058" s="33" t="s">
        <v>754</v>
      </c>
      <c r="C2058" s="33" t="s">
        <v>60</v>
      </c>
      <c r="D2058" s="36" t="s">
        <v>61</v>
      </c>
      <c r="E2058" s="91">
        <v>46715</v>
      </c>
      <c r="F2058" s="92">
        <v>22500</v>
      </c>
      <c r="G2058" s="92">
        <v>22500</v>
      </c>
    </row>
    <row r="2059" spans="1:7">
      <c r="A2059" s="33" t="s">
        <v>491</v>
      </c>
      <c r="B2059" s="33" t="s">
        <v>754</v>
      </c>
      <c r="C2059" s="33" t="s">
        <v>60</v>
      </c>
      <c r="D2059" s="36" t="s">
        <v>61</v>
      </c>
      <c r="E2059" s="91">
        <v>46897</v>
      </c>
      <c r="F2059" s="92">
        <v>22500</v>
      </c>
      <c r="G2059" s="92">
        <v>22500</v>
      </c>
    </row>
    <row r="2060" spans="1:7">
      <c r="A2060" s="33" t="s">
        <v>491</v>
      </c>
      <c r="B2060" s="33" t="s">
        <v>754</v>
      </c>
      <c r="C2060" s="33" t="s">
        <v>60</v>
      </c>
      <c r="D2060" s="36" t="s">
        <v>61</v>
      </c>
      <c r="E2060" s="91">
        <v>47081</v>
      </c>
      <c r="F2060" s="92">
        <v>22500</v>
      </c>
      <c r="G2060" s="92">
        <v>22500</v>
      </c>
    </row>
    <row r="2061" spans="1:7">
      <c r="A2061" s="33" t="s">
        <v>491</v>
      </c>
      <c r="B2061" s="33" t="s">
        <v>754</v>
      </c>
      <c r="C2061" s="33" t="s">
        <v>60</v>
      </c>
      <c r="D2061" s="36" t="s">
        <v>61</v>
      </c>
      <c r="E2061" s="91">
        <v>47262</v>
      </c>
      <c r="F2061" s="92">
        <v>22500</v>
      </c>
      <c r="G2061" s="92">
        <v>22500</v>
      </c>
    </row>
    <row r="2062" spans="1:7">
      <c r="A2062" s="33" t="s">
        <v>491</v>
      </c>
      <c r="B2062" s="33" t="s">
        <v>754</v>
      </c>
      <c r="C2062" s="33" t="s">
        <v>60</v>
      </c>
      <c r="D2062" s="36" t="s">
        <v>61</v>
      </c>
      <c r="E2062" s="91">
        <v>47446</v>
      </c>
      <c r="F2062" s="92">
        <v>22500</v>
      </c>
      <c r="G2062" s="92">
        <v>22500</v>
      </c>
    </row>
    <row r="2063" spans="1:7">
      <c r="A2063" s="33" t="s">
        <v>491</v>
      </c>
      <c r="B2063" s="33" t="s">
        <v>754</v>
      </c>
      <c r="C2063" s="33" t="s">
        <v>60</v>
      </c>
      <c r="D2063" s="36" t="s">
        <v>61</v>
      </c>
      <c r="E2063" s="91">
        <v>47627</v>
      </c>
      <c r="F2063" s="92">
        <v>22500</v>
      </c>
      <c r="G2063" s="92">
        <v>22500</v>
      </c>
    </row>
    <row r="2064" spans="1:7">
      <c r="A2064" s="33" t="s">
        <v>491</v>
      </c>
      <c r="B2064" s="33" t="s">
        <v>754</v>
      </c>
      <c r="C2064" s="33" t="s">
        <v>60</v>
      </c>
      <c r="D2064" s="36" t="s">
        <v>61</v>
      </c>
      <c r="E2064" s="91">
        <v>47811</v>
      </c>
      <c r="F2064" s="92">
        <v>22500</v>
      </c>
      <c r="G2064" s="92">
        <v>2022500</v>
      </c>
    </row>
    <row r="2065" spans="1:7">
      <c r="A2065" s="87" t="s">
        <v>491</v>
      </c>
      <c r="B2065" s="87" t="s">
        <v>223</v>
      </c>
      <c r="C2065" s="88" t="s">
        <v>43</v>
      </c>
      <c r="D2065" s="87" t="s">
        <v>61</v>
      </c>
      <c r="E2065" s="89">
        <v>45436</v>
      </c>
      <c r="F2065" s="90">
        <v>19687.5</v>
      </c>
      <c r="G2065" s="90">
        <v>19687.5</v>
      </c>
    </row>
    <row r="2066" spans="1:7">
      <c r="A2066" s="33" t="s">
        <v>491</v>
      </c>
      <c r="B2066" s="33" t="s">
        <v>223</v>
      </c>
      <c r="C2066" s="33" t="s">
        <v>60</v>
      </c>
      <c r="D2066" s="36" t="s">
        <v>61</v>
      </c>
      <c r="E2066" s="93">
        <v>45620</v>
      </c>
      <c r="F2066" s="94">
        <v>19687.5</v>
      </c>
      <c r="G2066" s="94">
        <v>19687.5</v>
      </c>
    </row>
    <row r="2067" spans="1:7">
      <c r="A2067" s="33" t="s">
        <v>842</v>
      </c>
      <c r="B2067" s="33" t="s">
        <v>223</v>
      </c>
      <c r="C2067" s="33" t="s">
        <v>60</v>
      </c>
      <c r="D2067" s="36" t="s">
        <v>61</v>
      </c>
      <c r="E2067" s="91">
        <v>45801</v>
      </c>
      <c r="F2067" s="94">
        <v>19687.5</v>
      </c>
      <c r="G2067" s="94">
        <v>19687.5</v>
      </c>
    </row>
    <row r="2068" spans="1:7">
      <c r="A2068" s="33" t="s">
        <v>842</v>
      </c>
      <c r="B2068" s="33" t="s">
        <v>223</v>
      </c>
      <c r="C2068" s="33" t="s">
        <v>60</v>
      </c>
      <c r="D2068" s="36" t="s">
        <v>61</v>
      </c>
      <c r="E2068" s="93">
        <v>45985</v>
      </c>
      <c r="F2068" s="94">
        <v>19687.5</v>
      </c>
      <c r="G2068" s="94">
        <v>19687.5</v>
      </c>
    </row>
    <row r="2069" spans="1:7">
      <c r="A2069" s="33" t="s">
        <v>842</v>
      </c>
      <c r="B2069" s="33" t="s">
        <v>223</v>
      </c>
      <c r="C2069" s="33" t="s">
        <v>60</v>
      </c>
      <c r="D2069" s="36" t="s">
        <v>61</v>
      </c>
      <c r="E2069" s="91">
        <v>46166</v>
      </c>
      <c r="F2069" s="94">
        <v>19687.5</v>
      </c>
      <c r="G2069" s="94">
        <v>19687.5</v>
      </c>
    </row>
    <row r="2070" spans="1:7">
      <c r="A2070" s="33" t="s">
        <v>842</v>
      </c>
      <c r="B2070" s="33" t="s">
        <v>223</v>
      </c>
      <c r="C2070" s="33" t="s">
        <v>60</v>
      </c>
      <c r="D2070" s="36" t="s">
        <v>61</v>
      </c>
      <c r="E2070" s="93">
        <v>46350</v>
      </c>
      <c r="F2070" s="94">
        <v>19687.5</v>
      </c>
      <c r="G2070" s="94">
        <v>19687.5</v>
      </c>
    </row>
    <row r="2071" spans="1:7">
      <c r="A2071" s="33" t="s">
        <v>842</v>
      </c>
      <c r="B2071" s="33" t="s">
        <v>223</v>
      </c>
      <c r="C2071" s="33" t="s">
        <v>60</v>
      </c>
      <c r="D2071" s="36" t="s">
        <v>61</v>
      </c>
      <c r="E2071" s="91">
        <v>46531</v>
      </c>
      <c r="F2071" s="94">
        <v>19687.5</v>
      </c>
      <c r="G2071" s="94">
        <v>19687.5</v>
      </c>
    </row>
    <row r="2072" spans="1:7">
      <c r="A2072" s="33" t="s">
        <v>842</v>
      </c>
      <c r="B2072" s="33" t="s">
        <v>223</v>
      </c>
      <c r="C2072" s="33" t="s">
        <v>60</v>
      </c>
      <c r="D2072" s="36" t="s">
        <v>61</v>
      </c>
      <c r="E2072" s="93">
        <v>46715</v>
      </c>
      <c r="F2072" s="94">
        <v>19687.5</v>
      </c>
      <c r="G2072" s="94">
        <v>19687.5</v>
      </c>
    </row>
    <row r="2073" spans="1:7">
      <c r="A2073" s="33" t="s">
        <v>842</v>
      </c>
      <c r="B2073" s="33" t="s">
        <v>223</v>
      </c>
      <c r="C2073" s="33" t="s">
        <v>60</v>
      </c>
      <c r="D2073" s="36" t="s">
        <v>61</v>
      </c>
      <c r="E2073" s="91">
        <v>46897</v>
      </c>
      <c r="F2073" s="94">
        <v>19687.5</v>
      </c>
      <c r="G2073" s="94">
        <v>19687.5</v>
      </c>
    </row>
    <row r="2074" spans="1:7">
      <c r="A2074" s="33" t="s">
        <v>842</v>
      </c>
      <c r="B2074" s="33" t="s">
        <v>223</v>
      </c>
      <c r="C2074" s="33" t="s">
        <v>60</v>
      </c>
      <c r="D2074" s="36" t="s">
        <v>61</v>
      </c>
      <c r="E2074" s="93">
        <v>47081</v>
      </c>
      <c r="F2074" s="94">
        <v>19687.5</v>
      </c>
      <c r="G2074" s="94">
        <v>19687.5</v>
      </c>
    </row>
    <row r="2075" spans="1:7">
      <c r="A2075" s="33" t="s">
        <v>842</v>
      </c>
      <c r="B2075" s="33" t="s">
        <v>223</v>
      </c>
      <c r="C2075" s="33" t="s">
        <v>60</v>
      </c>
      <c r="D2075" s="36" t="s">
        <v>61</v>
      </c>
      <c r="E2075" s="91">
        <v>47262</v>
      </c>
      <c r="F2075" s="94">
        <v>19687.5</v>
      </c>
      <c r="G2075" s="94">
        <v>19687.5</v>
      </c>
    </row>
    <row r="2076" spans="1:7">
      <c r="A2076" s="33" t="s">
        <v>842</v>
      </c>
      <c r="B2076" s="33" t="s">
        <v>223</v>
      </c>
      <c r="C2076" s="33" t="s">
        <v>60</v>
      </c>
      <c r="D2076" s="36" t="s">
        <v>61</v>
      </c>
      <c r="E2076" s="93">
        <v>47446</v>
      </c>
      <c r="F2076" s="94">
        <v>19687.5</v>
      </c>
      <c r="G2076" s="94">
        <v>19687.5</v>
      </c>
    </row>
    <row r="2077" spans="1:7">
      <c r="A2077" s="33" t="s">
        <v>842</v>
      </c>
      <c r="B2077" s="33" t="s">
        <v>223</v>
      </c>
      <c r="C2077" s="33" t="s">
        <v>60</v>
      </c>
      <c r="D2077" s="36" t="s">
        <v>61</v>
      </c>
      <c r="E2077" s="91">
        <v>47627</v>
      </c>
      <c r="F2077" s="94">
        <v>19687.5</v>
      </c>
      <c r="G2077" s="94">
        <v>19687.5</v>
      </c>
    </row>
    <row r="2078" spans="1:7">
      <c r="A2078" s="33" t="s">
        <v>842</v>
      </c>
      <c r="B2078" s="33" t="s">
        <v>223</v>
      </c>
      <c r="C2078" s="33" t="s">
        <v>60</v>
      </c>
      <c r="D2078" s="36" t="s">
        <v>61</v>
      </c>
      <c r="E2078" s="93">
        <v>47811</v>
      </c>
      <c r="F2078" s="94">
        <v>19687.5</v>
      </c>
      <c r="G2078" s="94">
        <v>1769687.5</v>
      </c>
    </row>
    <row r="2079" spans="1:7">
      <c r="A2079" s="87" t="s">
        <v>843</v>
      </c>
      <c r="B2079" s="87" t="s">
        <v>54</v>
      </c>
      <c r="C2079" s="88" t="s">
        <v>72</v>
      </c>
      <c r="D2079" s="87" t="s">
        <v>61</v>
      </c>
      <c r="E2079" s="89">
        <v>45673</v>
      </c>
      <c r="F2079" s="90">
        <v>118750</v>
      </c>
      <c r="G2079" s="90">
        <v>118750</v>
      </c>
    </row>
    <row r="2080" spans="1:7">
      <c r="A2080" s="56" t="s">
        <v>332</v>
      </c>
      <c r="B2080" s="56" t="s">
        <v>233</v>
      </c>
      <c r="C2080" s="57" t="s">
        <v>210</v>
      </c>
      <c r="D2080" s="36" t="s">
        <v>61</v>
      </c>
      <c r="E2080" s="93">
        <v>45854</v>
      </c>
      <c r="F2080" s="46">
        <v>118750</v>
      </c>
      <c r="G2080" s="95">
        <v>118750</v>
      </c>
    </row>
    <row r="2081" spans="1:7">
      <c r="A2081" s="56" t="s">
        <v>844</v>
      </c>
      <c r="B2081" s="56" t="s">
        <v>233</v>
      </c>
      <c r="C2081" s="57" t="s">
        <v>210</v>
      </c>
      <c r="D2081" s="36" t="s">
        <v>61</v>
      </c>
      <c r="E2081" s="93">
        <v>46038</v>
      </c>
      <c r="F2081" s="46">
        <v>118750</v>
      </c>
      <c r="G2081" s="95">
        <v>118750</v>
      </c>
    </row>
    <row r="2082" spans="1:7">
      <c r="A2082" s="56" t="s">
        <v>844</v>
      </c>
      <c r="B2082" s="56" t="s">
        <v>233</v>
      </c>
      <c r="C2082" s="57" t="s">
        <v>210</v>
      </c>
      <c r="D2082" s="36" t="s">
        <v>61</v>
      </c>
      <c r="E2082" s="93">
        <v>46219</v>
      </c>
      <c r="F2082" s="46">
        <v>118750</v>
      </c>
      <c r="G2082" s="95">
        <v>118750</v>
      </c>
    </row>
    <row r="2083" spans="1:7">
      <c r="A2083" s="56" t="s">
        <v>844</v>
      </c>
      <c r="B2083" s="56" t="s">
        <v>233</v>
      </c>
      <c r="C2083" s="57" t="s">
        <v>210</v>
      </c>
      <c r="D2083" s="36" t="s">
        <v>61</v>
      </c>
      <c r="E2083" s="93">
        <v>46403</v>
      </c>
      <c r="F2083" s="46">
        <v>118750</v>
      </c>
      <c r="G2083" s="95">
        <v>118750</v>
      </c>
    </row>
    <row r="2084" spans="1:7">
      <c r="A2084" s="56" t="s">
        <v>844</v>
      </c>
      <c r="B2084" s="56" t="s">
        <v>233</v>
      </c>
      <c r="C2084" s="57" t="s">
        <v>210</v>
      </c>
      <c r="D2084" s="36" t="s">
        <v>61</v>
      </c>
      <c r="E2084" s="93">
        <v>46584</v>
      </c>
      <c r="F2084" s="46">
        <v>118750</v>
      </c>
      <c r="G2084" s="95">
        <v>118750</v>
      </c>
    </row>
    <row r="2085" spans="1:7">
      <c r="A2085" s="56" t="s">
        <v>844</v>
      </c>
      <c r="B2085" s="56" t="s">
        <v>233</v>
      </c>
      <c r="C2085" s="57" t="s">
        <v>210</v>
      </c>
      <c r="D2085" s="36" t="s">
        <v>61</v>
      </c>
      <c r="E2085" s="93">
        <v>46768</v>
      </c>
      <c r="F2085" s="46">
        <v>118750</v>
      </c>
      <c r="G2085" s="95">
        <v>118750</v>
      </c>
    </row>
    <row r="2086" spans="1:7">
      <c r="A2086" s="56" t="s">
        <v>844</v>
      </c>
      <c r="B2086" s="56" t="s">
        <v>233</v>
      </c>
      <c r="C2086" s="57" t="s">
        <v>210</v>
      </c>
      <c r="D2086" s="36" t="s">
        <v>61</v>
      </c>
      <c r="E2086" s="93">
        <v>46950</v>
      </c>
      <c r="F2086" s="46">
        <v>118750</v>
      </c>
      <c r="G2086" s="95">
        <v>118750</v>
      </c>
    </row>
    <row r="2087" spans="1:7">
      <c r="A2087" s="56" t="s">
        <v>844</v>
      </c>
      <c r="B2087" s="56" t="s">
        <v>233</v>
      </c>
      <c r="C2087" s="57" t="s">
        <v>210</v>
      </c>
      <c r="D2087" s="36" t="s">
        <v>61</v>
      </c>
      <c r="E2087" s="93">
        <v>47134</v>
      </c>
      <c r="F2087" s="46">
        <v>118750</v>
      </c>
      <c r="G2087" s="95">
        <v>118750</v>
      </c>
    </row>
    <row r="2088" spans="1:7">
      <c r="A2088" s="56" t="s">
        <v>844</v>
      </c>
      <c r="B2088" s="56" t="s">
        <v>233</v>
      </c>
      <c r="C2088" s="57" t="s">
        <v>210</v>
      </c>
      <c r="D2088" s="36" t="s">
        <v>61</v>
      </c>
      <c r="E2088" s="93">
        <v>47315</v>
      </c>
      <c r="F2088" s="46">
        <v>118750</v>
      </c>
      <c r="G2088" s="95">
        <v>118750</v>
      </c>
    </row>
    <row r="2089" spans="1:7">
      <c r="A2089" s="56" t="s">
        <v>844</v>
      </c>
      <c r="B2089" s="56" t="s">
        <v>233</v>
      </c>
      <c r="C2089" s="57" t="s">
        <v>210</v>
      </c>
      <c r="D2089" s="36" t="s">
        <v>61</v>
      </c>
      <c r="E2089" s="93">
        <v>47499</v>
      </c>
      <c r="F2089" s="46">
        <v>118750</v>
      </c>
      <c r="G2089" s="46">
        <v>5118750</v>
      </c>
    </row>
    <row r="2090" spans="1:7">
      <c r="A2090" s="87" t="s">
        <v>845</v>
      </c>
      <c r="B2090" s="87" t="s">
        <v>54</v>
      </c>
      <c r="C2090" s="88" t="s">
        <v>67</v>
      </c>
      <c r="D2090" s="36" t="s">
        <v>61</v>
      </c>
      <c r="E2090" s="89">
        <v>45687</v>
      </c>
      <c r="F2090" s="90">
        <v>48750</v>
      </c>
      <c r="G2090" s="90">
        <v>48750</v>
      </c>
    </row>
    <row r="2091" spans="1:7">
      <c r="A2091" s="56" t="s">
        <v>232</v>
      </c>
      <c r="B2091" s="56" t="s">
        <v>233</v>
      </c>
      <c r="C2091" s="57" t="s">
        <v>35</v>
      </c>
      <c r="D2091" s="36" t="s">
        <v>61</v>
      </c>
      <c r="E2091" s="93">
        <v>45868</v>
      </c>
      <c r="F2091" s="100">
        <v>48750</v>
      </c>
      <c r="G2091" s="106">
        <v>48750</v>
      </c>
    </row>
    <row r="2092" spans="1:7">
      <c r="A2092" s="56" t="s">
        <v>846</v>
      </c>
      <c r="B2092" s="56" t="s">
        <v>233</v>
      </c>
      <c r="C2092" s="57" t="s">
        <v>35</v>
      </c>
      <c r="D2092" s="36" t="s">
        <v>61</v>
      </c>
      <c r="E2092" s="93">
        <v>46052</v>
      </c>
      <c r="F2092" s="100">
        <v>48750</v>
      </c>
      <c r="G2092" s="106">
        <v>48750</v>
      </c>
    </row>
    <row r="2093" spans="1:7">
      <c r="A2093" s="56" t="s">
        <v>846</v>
      </c>
      <c r="B2093" s="56" t="s">
        <v>233</v>
      </c>
      <c r="C2093" s="57" t="s">
        <v>35</v>
      </c>
      <c r="D2093" s="36" t="s">
        <v>61</v>
      </c>
      <c r="E2093" s="93">
        <v>46233</v>
      </c>
      <c r="F2093" s="100">
        <v>48750</v>
      </c>
      <c r="G2093" s="106">
        <v>48750</v>
      </c>
    </row>
    <row r="2094" spans="1:7">
      <c r="A2094" s="56" t="s">
        <v>846</v>
      </c>
      <c r="B2094" s="56" t="s">
        <v>233</v>
      </c>
      <c r="C2094" s="57" t="s">
        <v>35</v>
      </c>
      <c r="D2094" s="36" t="s">
        <v>61</v>
      </c>
      <c r="E2094" s="93">
        <v>46417</v>
      </c>
      <c r="F2094" s="100">
        <v>48750</v>
      </c>
      <c r="G2094" s="106">
        <v>48750</v>
      </c>
    </row>
    <row r="2095" spans="1:7">
      <c r="A2095" s="56" t="s">
        <v>846</v>
      </c>
      <c r="B2095" s="56" t="s">
        <v>233</v>
      </c>
      <c r="C2095" s="57" t="s">
        <v>35</v>
      </c>
      <c r="D2095" s="36" t="s">
        <v>61</v>
      </c>
      <c r="E2095" s="93">
        <v>46598</v>
      </c>
      <c r="F2095" s="100">
        <v>48750</v>
      </c>
      <c r="G2095" s="106">
        <v>48750</v>
      </c>
    </row>
    <row r="2096" spans="1:7">
      <c r="A2096" s="56" t="s">
        <v>846</v>
      </c>
      <c r="B2096" s="56" t="s">
        <v>233</v>
      </c>
      <c r="C2096" s="57" t="s">
        <v>35</v>
      </c>
      <c r="D2096" s="36" t="s">
        <v>61</v>
      </c>
      <c r="E2096" s="93">
        <v>46782</v>
      </c>
      <c r="F2096" s="100">
        <v>48750</v>
      </c>
      <c r="G2096" s="106">
        <v>48750</v>
      </c>
    </row>
    <row r="2097" spans="1:7">
      <c r="A2097" s="56" t="s">
        <v>846</v>
      </c>
      <c r="B2097" s="56" t="s">
        <v>233</v>
      </c>
      <c r="C2097" s="57" t="s">
        <v>35</v>
      </c>
      <c r="D2097" s="36" t="s">
        <v>61</v>
      </c>
      <c r="E2097" s="93">
        <v>46964</v>
      </c>
      <c r="F2097" s="100">
        <v>48750</v>
      </c>
      <c r="G2097" s="106">
        <v>48750</v>
      </c>
    </row>
    <row r="2098" spans="1:7">
      <c r="A2098" s="56" t="s">
        <v>846</v>
      </c>
      <c r="B2098" s="56" t="s">
        <v>233</v>
      </c>
      <c r="C2098" s="57" t="s">
        <v>35</v>
      </c>
      <c r="D2098" s="36" t="s">
        <v>61</v>
      </c>
      <c r="E2098" s="93">
        <v>47148</v>
      </c>
      <c r="F2098" s="100">
        <v>48750</v>
      </c>
      <c r="G2098" s="106">
        <v>2048750</v>
      </c>
    </row>
    <row r="2099" spans="1:7">
      <c r="A2099" s="87" t="s">
        <v>248</v>
      </c>
      <c r="B2099" s="87" t="s">
        <v>223</v>
      </c>
      <c r="C2099" s="88" t="s">
        <v>67</v>
      </c>
      <c r="D2099" s="87" t="s">
        <v>61</v>
      </c>
      <c r="E2099" s="89">
        <v>45532</v>
      </c>
      <c r="F2099" s="90">
        <v>75000</v>
      </c>
      <c r="G2099" s="90">
        <v>75000</v>
      </c>
    </row>
    <row r="2100" spans="1:7">
      <c r="A2100" s="33" t="s">
        <v>248</v>
      </c>
      <c r="B2100" s="33" t="s">
        <v>223</v>
      </c>
      <c r="C2100" s="33" t="s">
        <v>35</v>
      </c>
      <c r="D2100" s="36" t="s">
        <v>61</v>
      </c>
      <c r="E2100" s="93">
        <v>45716</v>
      </c>
      <c r="F2100" s="92">
        <v>75000</v>
      </c>
      <c r="G2100" s="92">
        <v>75000</v>
      </c>
    </row>
    <row r="2101" spans="1:7">
      <c r="A2101" s="33" t="s">
        <v>847</v>
      </c>
      <c r="B2101" s="33" t="s">
        <v>223</v>
      </c>
      <c r="C2101" s="33" t="s">
        <v>35</v>
      </c>
      <c r="D2101" s="36" t="s">
        <v>61</v>
      </c>
      <c r="E2101" s="93">
        <v>45897</v>
      </c>
      <c r="F2101" s="92">
        <v>75000</v>
      </c>
      <c r="G2101" s="92">
        <v>75000</v>
      </c>
    </row>
    <row r="2102" spans="1:7">
      <c r="A2102" s="33" t="s">
        <v>847</v>
      </c>
      <c r="B2102" s="33" t="s">
        <v>223</v>
      </c>
      <c r="C2102" s="33" t="s">
        <v>35</v>
      </c>
      <c r="D2102" s="36" t="s">
        <v>61</v>
      </c>
      <c r="E2102" s="93">
        <v>46081</v>
      </c>
      <c r="F2102" s="92">
        <v>75000</v>
      </c>
      <c r="G2102" s="92">
        <v>75000</v>
      </c>
    </row>
    <row r="2103" spans="1:7">
      <c r="A2103" s="33" t="s">
        <v>847</v>
      </c>
      <c r="B2103" s="33" t="s">
        <v>223</v>
      </c>
      <c r="C2103" s="33" t="s">
        <v>35</v>
      </c>
      <c r="D2103" s="36" t="s">
        <v>61</v>
      </c>
      <c r="E2103" s="93">
        <v>46262</v>
      </c>
      <c r="F2103" s="92">
        <v>75000</v>
      </c>
      <c r="G2103" s="92">
        <v>75000</v>
      </c>
    </row>
    <row r="2104" spans="1:7">
      <c r="A2104" s="33" t="s">
        <v>847</v>
      </c>
      <c r="B2104" s="33" t="s">
        <v>223</v>
      </c>
      <c r="C2104" s="33" t="s">
        <v>35</v>
      </c>
      <c r="D2104" s="36" t="s">
        <v>61</v>
      </c>
      <c r="E2104" s="93">
        <v>46446</v>
      </c>
      <c r="F2104" s="92">
        <v>75000</v>
      </c>
      <c r="G2104" s="92">
        <v>75000</v>
      </c>
    </row>
    <row r="2105" spans="1:7">
      <c r="A2105" s="33" t="s">
        <v>847</v>
      </c>
      <c r="B2105" s="33" t="s">
        <v>223</v>
      </c>
      <c r="C2105" s="33" t="s">
        <v>35</v>
      </c>
      <c r="D2105" s="36" t="s">
        <v>61</v>
      </c>
      <c r="E2105" s="93">
        <v>46627</v>
      </c>
      <c r="F2105" s="92">
        <v>75000</v>
      </c>
      <c r="G2105" s="92">
        <v>75000</v>
      </c>
    </row>
    <row r="2106" spans="1:7">
      <c r="A2106" s="33" t="s">
        <v>847</v>
      </c>
      <c r="B2106" s="33" t="s">
        <v>223</v>
      </c>
      <c r="C2106" s="33" t="s">
        <v>35</v>
      </c>
      <c r="D2106" s="36" t="s">
        <v>61</v>
      </c>
      <c r="E2106" s="93">
        <v>46811</v>
      </c>
      <c r="F2106" s="92">
        <v>75000</v>
      </c>
      <c r="G2106" s="92">
        <v>75000</v>
      </c>
    </row>
    <row r="2107" spans="1:7">
      <c r="A2107" s="33" t="s">
        <v>847</v>
      </c>
      <c r="B2107" s="33" t="s">
        <v>223</v>
      </c>
      <c r="C2107" s="33" t="s">
        <v>35</v>
      </c>
      <c r="D2107" s="36" t="s">
        <v>61</v>
      </c>
      <c r="E2107" s="93">
        <v>46993</v>
      </c>
      <c r="F2107" s="92">
        <v>75000</v>
      </c>
      <c r="G2107" s="92">
        <v>75000</v>
      </c>
    </row>
    <row r="2108" spans="1:7">
      <c r="A2108" s="33" t="s">
        <v>847</v>
      </c>
      <c r="B2108" s="33" t="s">
        <v>223</v>
      </c>
      <c r="C2108" s="33" t="s">
        <v>35</v>
      </c>
      <c r="D2108" s="36" t="s">
        <v>61</v>
      </c>
      <c r="E2108" s="93">
        <v>47177</v>
      </c>
      <c r="F2108" s="92">
        <v>75000</v>
      </c>
      <c r="G2108" s="92">
        <v>3075000</v>
      </c>
    </row>
    <row r="2109" spans="1:7">
      <c r="A2109" s="87" t="s">
        <v>575</v>
      </c>
      <c r="B2109" s="87" t="s">
        <v>101</v>
      </c>
      <c r="C2109" s="88" t="s">
        <v>67</v>
      </c>
      <c r="D2109" s="87" t="s">
        <v>61</v>
      </c>
      <c r="E2109" s="89">
        <v>45672</v>
      </c>
      <c r="F2109" s="90">
        <v>135975</v>
      </c>
      <c r="G2109" s="90">
        <v>135975</v>
      </c>
    </row>
    <row r="2110" spans="1:7">
      <c r="A2110" s="33" t="s">
        <v>575</v>
      </c>
      <c r="B2110" s="33" t="s">
        <v>101</v>
      </c>
      <c r="C2110" s="48" t="s">
        <v>67</v>
      </c>
      <c r="D2110" s="33" t="s">
        <v>61</v>
      </c>
      <c r="E2110" s="93">
        <v>45853</v>
      </c>
      <c r="F2110" s="98">
        <v>135975</v>
      </c>
      <c r="G2110" s="98">
        <v>135975</v>
      </c>
    </row>
    <row r="2111" spans="1:7">
      <c r="A2111" s="33" t="s">
        <v>758</v>
      </c>
      <c r="B2111" s="33" t="s">
        <v>101</v>
      </c>
      <c r="C2111" s="48" t="s">
        <v>67</v>
      </c>
      <c r="D2111" s="33" t="s">
        <v>61</v>
      </c>
      <c r="E2111" s="91">
        <v>46037</v>
      </c>
      <c r="F2111" s="98">
        <v>135975</v>
      </c>
      <c r="G2111" s="98">
        <v>135975</v>
      </c>
    </row>
    <row r="2112" spans="1:7">
      <c r="A2112" s="33" t="s">
        <v>758</v>
      </c>
      <c r="B2112" s="33" t="s">
        <v>101</v>
      </c>
      <c r="C2112" s="48" t="s">
        <v>67</v>
      </c>
      <c r="D2112" s="33" t="s">
        <v>61</v>
      </c>
      <c r="E2112" s="93">
        <v>46218</v>
      </c>
      <c r="F2112" s="98">
        <v>135975</v>
      </c>
      <c r="G2112" s="98">
        <v>135975</v>
      </c>
    </row>
    <row r="2113" spans="1:7">
      <c r="A2113" s="33" t="s">
        <v>758</v>
      </c>
      <c r="B2113" s="33" t="s">
        <v>101</v>
      </c>
      <c r="C2113" s="48" t="s">
        <v>67</v>
      </c>
      <c r="D2113" s="33" t="s">
        <v>61</v>
      </c>
      <c r="E2113" s="91">
        <v>46402</v>
      </c>
      <c r="F2113" s="98">
        <v>135975</v>
      </c>
      <c r="G2113" s="98">
        <v>135975</v>
      </c>
    </row>
    <row r="2114" spans="1:7">
      <c r="A2114" s="33" t="s">
        <v>758</v>
      </c>
      <c r="B2114" s="33" t="s">
        <v>101</v>
      </c>
      <c r="C2114" s="48" t="s">
        <v>67</v>
      </c>
      <c r="D2114" s="33" t="s">
        <v>61</v>
      </c>
      <c r="E2114" s="93">
        <v>46583</v>
      </c>
      <c r="F2114" s="98">
        <v>135975</v>
      </c>
      <c r="G2114" s="98">
        <v>135975</v>
      </c>
    </row>
    <row r="2115" spans="1:7">
      <c r="A2115" s="33" t="s">
        <v>758</v>
      </c>
      <c r="B2115" s="33" t="s">
        <v>101</v>
      </c>
      <c r="C2115" s="48" t="s">
        <v>67</v>
      </c>
      <c r="D2115" s="33" t="s">
        <v>61</v>
      </c>
      <c r="E2115" s="91">
        <v>46767</v>
      </c>
      <c r="F2115" s="98">
        <v>135975</v>
      </c>
      <c r="G2115" s="98">
        <v>135975</v>
      </c>
    </row>
    <row r="2116" spans="1:7">
      <c r="A2116" s="33" t="s">
        <v>758</v>
      </c>
      <c r="B2116" s="33" t="s">
        <v>101</v>
      </c>
      <c r="C2116" s="48" t="s">
        <v>67</v>
      </c>
      <c r="D2116" s="33" t="s">
        <v>61</v>
      </c>
      <c r="E2116" s="93">
        <v>46949</v>
      </c>
      <c r="F2116" s="98">
        <v>135975</v>
      </c>
      <c r="G2116" s="98">
        <v>135975</v>
      </c>
    </row>
    <row r="2117" spans="1:7">
      <c r="A2117" s="33" t="s">
        <v>758</v>
      </c>
      <c r="B2117" s="33" t="s">
        <v>101</v>
      </c>
      <c r="C2117" s="48" t="s">
        <v>67</v>
      </c>
      <c r="D2117" s="33" t="s">
        <v>61</v>
      </c>
      <c r="E2117" s="91">
        <v>47133</v>
      </c>
      <c r="F2117" s="98">
        <v>135975</v>
      </c>
      <c r="G2117" s="98">
        <v>135975</v>
      </c>
    </row>
    <row r="2118" spans="1:7">
      <c r="A2118" s="33" t="s">
        <v>758</v>
      </c>
      <c r="B2118" s="33" t="s">
        <v>101</v>
      </c>
      <c r="C2118" s="48" t="s">
        <v>67</v>
      </c>
      <c r="D2118" s="33" t="s">
        <v>61</v>
      </c>
      <c r="E2118" s="93">
        <v>47314</v>
      </c>
      <c r="F2118" s="98">
        <v>135975</v>
      </c>
      <c r="G2118" s="98">
        <v>135975</v>
      </c>
    </row>
    <row r="2119" spans="1:7">
      <c r="A2119" s="33" t="s">
        <v>758</v>
      </c>
      <c r="B2119" s="33" t="s">
        <v>101</v>
      </c>
      <c r="C2119" s="48" t="s">
        <v>67</v>
      </c>
      <c r="D2119" s="33" t="s">
        <v>61</v>
      </c>
      <c r="E2119" s="91">
        <v>47498</v>
      </c>
      <c r="F2119" s="98">
        <v>135975</v>
      </c>
      <c r="G2119" s="98">
        <v>135975</v>
      </c>
    </row>
    <row r="2120" spans="1:7">
      <c r="A2120" s="33" t="s">
        <v>758</v>
      </c>
      <c r="B2120" s="33" t="s">
        <v>101</v>
      </c>
      <c r="C2120" s="48" t="s">
        <v>67</v>
      </c>
      <c r="D2120" s="33" t="s">
        <v>61</v>
      </c>
      <c r="E2120" s="93">
        <v>47679</v>
      </c>
      <c r="F2120" s="98">
        <v>135975</v>
      </c>
      <c r="G2120" s="98">
        <v>135975</v>
      </c>
    </row>
    <row r="2121" spans="1:7">
      <c r="A2121" s="33" t="s">
        <v>758</v>
      </c>
      <c r="B2121" s="33" t="s">
        <v>101</v>
      </c>
      <c r="C2121" s="48" t="s">
        <v>67</v>
      </c>
      <c r="D2121" s="33" t="s">
        <v>61</v>
      </c>
      <c r="E2121" s="91">
        <v>47863</v>
      </c>
      <c r="F2121" s="98">
        <v>135975</v>
      </c>
      <c r="G2121" s="98">
        <v>135975</v>
      </c>
    </row>
    <row r="2122" spans="1:7">
      <c r="A2122" s="33" t="s">
        <v>758</v>
      </c>
      <c r="B2122" s="33" t="s">
        <v>101</v>
      </c>
      <c r="C2122" s="48" t="s">
        <v>67</v>
      </c>
      <c r="D2122" s="33" t="s">
        <v>61</v>
      </c>
      <c r="E2122" s="93">
        <v>48044</v>
      </c>
      <c r="F2122" s="98">
        <v>135975</v>
      </c>
      <c r="G2122" s="98">
        <v>5135975</v>
      </c>
    </row>
    <row r="2123" spans="1:7">
      <c r="A2123" s="87" t="s">
        <v>828</v>
      </c>
      <c r="B2123" s="87" t="s">
        <v>101</v>
      </c>
      <c r="C2123" s="88" t="s">
        <v>67</v>
      </c>
      <c r="D2123" s="87" t="s">
        <v>61</v>
      </c>
      <c r="E2123" s="89">
        <v>45659</v>
      </c>
      <c r="F2123" s="90">
        <v>115560</v>
      </c>
      <c r="G2123" s="90">
        <v>115560</v>
      </c>
    </row>
    <row r="2124" spans="1:7">
      <c r="A2124" s="56" t="s">
        <v>568</v>
      </c>
      <c r="B2124" s="56" t="s">
        <v>325</v>
      </c>
      <c r="C2124" s="57" t="s">
        <v>35</v>
      </c>
      <c r="D2124" s="36" t="s">
        <v>61</v>
      </c>
      <c r="E2124" s="93">
        <v>45840</v>
      </c>
      <c r="F2124" s="98">
        <v>115560</v>
      </c>
      <c r="G2124" s="98">
        <v>115560</v>
      </c>
    </row>
    <row r="2125" spans="1:7">
      <c r="A2125" s="56" t="s">
        <v>829</v>
      </c>
      <c r="B2125" s="56" t="s">
        <v>325</v>
      </c>
      <c r="C2125" s="57" t="s">
        <v>35</v>
      </c>
      <c r="D2125" s="36" t="s">
        <v>61</v>
      </c>
      <c r="E2125" s="91">
        <v>46024</v>
      </c>
      <c r="F2125" s="98">
        <v>115560</v>
      </c>
      <c r="G2125" s="98">
        <v>115560</v>
      </c>
    </row>
    <row r="2126" spans="1:7">
      <c r="A2126" s="56" t="s">
        <v>829</v>
      </c>
      <c r="B2126" s="56" t="s">
        <v>325</v>
      </c>
      <c r="C2126" s="57" t="s">
        <v>35</v>
      </c>
      <c r="D2126" s="36" t="s">
        <v>61</v>
      </c>
      <c r="E2126" s="93">
        <v>46205</v>
      </c>
      <c r="F2126" s="98">
        <v>115560</v>
      </c>
      <c r="G2126" s="98">
        <v>115560</v>
      </c>
    </row>
    <row r="2127" spans="1:7">
      <c r="A2127" s="56" t="s">
        <v>829</v>
      </c>
      <c r="B2127" s="56" t="s">
        <v>325</v>
      </c>
      <c r="C2127" s="57" t="s">
        <v>35</v>
      </c>
      <c r="D2127" s="36" t="s">
        <v>61</v>
      </c>
      <c r="E2127" s="91">
        <v>46389</v>
      </c>
      <c r="F2127" s="98">
        <v>115560</v>
      </c>
      <c r="G2127" s="98">
        <v>115560</v>
      </c>
    </row>
    <row r="2128" spans="1:7">
      <c r="A2128" s="56" t="s">
        <v>829</v>
      </c>
      <c r="B2128" s="56" t="s">
        <v>325</v>
      </c>
      <c r="C2128" s="57" t="s">
        <v>35</v>
      </c>
      <c r="D2128" s="36" t="s">
        <v>61</v>
      </c>
      <c r="E2128" s="93">
        <v>46570</v>
      </c>
      <c r="F2128" s="98">
        <v>115560</v>
      </c>
      <c r="G2128" s="98">
        <v>115560</v>
      </c>
    </row>
    <row r="2129" spans="1:7">
      <c r="A2129" s="56" t="s">
        <v>829</v>
      </c>
      <c r="B2129" s="56" t="s">
        <v>325</v>
      </c>
      <c r="C2129" s="57" t="s">
        <v>35</v>
      </c>
      <c r="D2129" s="36" t="s">
        <v>61</v>
      </c>
      <c r="E2129" s="91">
        <v>46754</v>
      </c>
      <c r="F2129" s="98">
        <v>115560</v>
      </c>
      <c r="G2129" s="98">
        <v>115560</v>
      </c>
    </row>
    <row r="2130" spans="1:7">
      <c r="A2130" s="56" t="s">
        <v>829</v>
      </c>
      <c r="B2130" s="56" t="s">
        <v>325</v>
      </c>
      <c r="C2130" s="57" t="s">
        <v>35</v>
      </c>
      <c r="D2130" s="36" t="s">
        <v>61</v>
      </c>
      <c r="E2130" s="93">
        <v>46936</v>
      </c>
      <c r="F2130" s="98">
        <v>115560</v>
      </c>
      <c r="G2130" s="98">
        <v>115560</v>
      </c>
    </row>
    <row r="2131" spans="1:7">
      <c r="A2131" s="56" t="s">
        <v>829</v>
      </c>
      <c r="B2131" s="56" t="s">
        <v>325</v>
      </c>
      <c r="C2131" s="57" t="s">
        <v>35</v>
      </c>
      <c r="D2131" s="36" t="s">
        <v>61</v>
      </c>
      <c r="E2131" s="91">
        <v>47120</v>
      </c>
      <c r="F2131" s="98">
        <v>115560</v>
      </c>
      <c r="G2131" s="98">
        <v>115560</v>
      </c>
    </row>
    <row r="2132" spans="1:7">
      <c r="A2132" s="56" t="s">
        <v>829</v>
      </c>
      <c r="B2132" s="56" t="s">
        <v>325</v>
      </c>
      <c r="C2132" s="57" t="s">
        <v>35</v>
      </c>
      <c r="D2132" s="36" t="s">
        <v>61</v>
      </c>
      <c r="E2132" s="93">
        <v>47301</v>
      </c>
      <c r="F2132" s="98">
        <v>115560</v>
      </c>
      <c r="G2132" s="98">
        <v>115560</v>
      </c>
    </row>
    <row r="2133" spans="1:7">
      <c r="A2133" s="56" t="s">
        <v>829</v>
      </c>
      <c r="B2133" s="56" t="s">
        <v>325</v>
      </c>
      <c r="C2133" s="57" t="s">
        <v>35</v>
      </c>
      <c r="D2133" s="36" t="s">
        <v>61</v>
      </c>
      <c r="E2133" s="91">
        <v>47485</v>
      </c>
      <c r="F2133" s="98">
        <v>115560</v>
      </c>
      <c r="G2133" s="98">
        <v>115560</v>
      </c>
    </row>
    <row r="2134" spans="1:7">
      <c r="A2134" s="56" t="s">
        <v>829</v>
      </c>
      <c r="B2134" s="56" t="s">
        <v>325</v>
      </c>
      <c r="C2134" s="57" t="s">
        <v>35</v>
      </c>
      <c r="D2134" s="36" t="s">
        <v>61</v>
      </c>
      <c r="E2134" s="93">
        <v>47666</v>
      </c>
      <c r="F2134" s="98">
        <v>115560</v>
      </c>
      <c r="G2134" s="98">
        <v>115560</v>
      </c>
    </row>
    <row r="2135" spans="1:7">
      <c r="A2135" s="56" t="s">
        <v>829</v>
      </c>
      <c r="B2135" s="56" t="s">
        <v>325</v>
      </c>
      <c r="C2135" s="57" t="s">
        <v>35</v>
      </c>
      <c r="D2135" s="36" t="s">
        <v>61</v>
      </c>
      <c r="E2135" s="91">
        <v>47850</v>
      </c>
      <c r="F2135" s="98">
        <v>115560</v>
      </c>
      <c r="G2135" s="98">
        <v>115560</v>
      </c>
    </row>
    <row r="2136" spans="1:7">
      <c r="A2136" s="56" t="s">
        <v>829</v>
      </c>
      <c r="B2136" s="56" t="s">
        <v>325</v>
      </c>
      <c r="C2136" s="57" t="s">
        <v>35</v>
      </c>
      <c r="D2136" s="36" t="s">
        <v>61</v>
      </c>
      <c r="E2136" s="91">
        <v>48031</v>
      </c>
      <c r="F2136" s="98">
        <v>115560</v>
      </c>
      <c r="G2136" s="98">
        <v>4615560</v>
      </c>
    </row>
    <row r="2137" spans="1:7">
      <c r="A2137" s="87" t="s">
        <v>848</v>
      </c>
      <c r="B2137" s="87" t="s">
        <v>101</v>
      </c>
      <c r="C2137" s="88" t="s">
        <v>43</v>
      </c>
      <c r="D2137" s="87" t="s">
        <v>61</v>
      </c>
      <c r="E2137" s="89">
        <v>45643</v>
      </c>
      <c r="F2137" s="90">
        <v>74085</v>
      </c>
      <c r="G2137" s="90">
        <v>74085</v>
      </c>
    </row>
    <row r="2138" spans="1:7">
      <c r="A2138" s="56" t="s">
        <v>561</v>
      </c>
      <c r="B2138" s="56" t="s">
        <v>325</v>
      </c>
      <c r="C2138" s="57" t="s">
        <v>60</v>
      </c>
      <c r="D2138" s="36" t="s">
        <v>61</v>
      </c>
      <c r="E2138" s="91">
        <v>45825</v>
      </c>
      <c r="F2138" s="98">
        <v>74085</v>
      </c>
      <c r="G2138" s="98">
        <v>74085</v>
      </c>
    </row>
    <row r="2139" spans="1:7">
      <c r="A2139" s="56" t="s">
        <v>849</v>
      </c>
      <c r="B2139" s="56" t="s">
        <v>325</v>
      </c>
      <c r="C2139" s="57" t="s">
        <v>60</v>
      </c>
      <c r="D2139" s="36" t="s">
        <v>61</v>
      </c>
      <c r="E2139" s="91">
        <v>46008</v>
      </c>
      <c r="F2139" s="98">
        <v>74085</v>
      </c>
      <c r="G2139" s="98">
        <v>74085</v>
      </c>
    </row>
    <row r="2140" spans="1:7">
      <c r="A2140" s="56" t="s">
        <v>849</v>
      </c>
      <c r="B2140" s="56" t="s">
        <v>325</v>
      </c>
      <c r="C2140" s="57" t="s">
        <v>60</v>
      </c>
      <c r="D2140" s="36" t="s">
        <v>61</v>
      </c>
      <c r="E2140" s="91">
        <v>46190</v>
      </c>
      <c r="F2140" s="98">
        <v>74085</v>
      </c>
      <c r="G2140" s="98">
        <v>74085</v>
      </c>
    </row>
    <row r="2141" spans="1:7">
      <c r="A2141" s="56" t="s">
        <v>849</v>
      </c>
      <c r="B2141" s="56" t="s">
        <v>325</v>
      </c>
      <c r="C2141" s="57" t="s">
        <v>60</v>
      </c>
      <c r="D2141" s="36" t="s">
        <v>61</v>
      </c>
      <c r="E2141" s="91">
        <v>46373</v>
      </c>
      <c r="F2141" s="98">
        <v>74085</v>
      </c>
      <c r="G2141" s="98">
        <v>74085</v>
      </c>
    </row>
    <row r="2142" spans="1:7">
      <c r="A2142" s="56" t="s">
        <v>849</v>
      </c>
      <c r="B2142" s="56" t="s">
        <v>325</v>
      </c>
      <c r="C2142" s="57" t="s">
        <v>60</v>
      </c>
      <c r="D2142" s="36" t="s">
        <v>61</v>
      </c>
      <c r="E2142" s="91">
        <v>46555</v>
      </c>
      <c r="F2142" s="98">
        <v>74085</v>
      </c>
      <c r="G2142" s="98">
        <v>74085</v>
      </c>
    </row>
    <row r="2143" spans="1:7">
      <c r="A2143" s="56" t="s">
        <v>849</v>
      </c>
      <c r="B2143" s="56" t="s">
        <v>325</v>
      </c>
      <c r="C2143" s="57" t="s">
        <v>60</v>
      </c>
      <c r="D2143" s="36" t="s">
        <v>61</v>
      </c>
      <c r="E2143" s="91">
        <v>46738</v>
      </c>
      <c r="F2143" s="98">
        <v>74085</v>
      </c>
      <c r="G2143" s="98">
        <v>74085</v>
      </c>
    </row>
    <row r="2144" spans="1:7">
      <c r="A2144" s="56" t="s">
        <v>849</v>
      </c>
      <c r="B2144" s="56" t="s">
        <v>325</v>
      </c>
      <c r="C2144" s="57" t="s">
        <v>60</v>
      </c>
      <c r="D2144" s="36" t="s">
        <v>61</v>
      </c>
      <c r="E2144" s="91">
        <v>46921</v>
      </c>
      <c r="F2144" s="98">
        <v>74085</v>
      </c>
      <c r="G2144" s="98">
        <v>74085</v>
      </c>
    </row>
    <row r="2145" spans="1:7">
      <c r="A2145" s="56" t="s">
        <v>849</v>
      </c>
      <c r="B2145" s="56" t="s">
        <v>325</v>
      </c>
      <c r="C2145" s="57" t="s">
        <v>60</v>
      </c>
      <c r="D2145" s="36" t="s">
        <v>61</v>
      </c>
      <c r="E2145" s="91">
        <v>47104</v>
      </c>
      <c r="F2145" s="98">
        <v>74085</v>
      </c>
      <c r="G2145" s="98">
        <v>74085</v>
      </c>
    </row>
    <row r="2146" spans="1:7">
      <c r="A2146" s="56" t="s">
        <v>849</v>
      </c>
      <c r="B2146" s="56" t="s">
        <v>325</v>
      </c>
      <c r="C2146" s="57" t="s">
        <v>60</v>
      </c>
      <c r="D2146" s="36" t="s">
        <v>61</v>
      </c>
      <c r="E2146" s="91">
        <v>47286</v>
      </c>
      <c r="F2146" s="98">
        <v>74085</v>
      </c>
      <c r="G2146" s="98">
        <v>74085</v>
      </c>
    </row>
    <row r="2147" spans="1:7">
      <c r="A2147" s="56" t="s">
        <v>849</v>
      </c>
      <c r="B2147" s="56" t="s">
        <v>325</v>
      </c>
      <c r="C2147" s="57" t="s">
        <v>60</v>
      </c>
      <c r="D2147" s="36" t="s">
        <v>61</v>
      </c>
      <c r="E2147" s="91">
        <v>47469</v>
      </c>
      <c r="F2147" s="98">
        <v>74085</v>
      </c>
      <c r="G2147" s="98">
        <v>74085</v>
      </c>
    </row>
    <row r="2148" spans="1:7">
      <c r="A2148" s="56" t="s">
        <v>849</v>
      </c>
      <c r="B2148" s="56" t="s">
        <v>325</v>
      </c>
      <c r="C2148" s="57" t="s">
        <v>60</v>
      </c>
      <c r="D2148" s="36" t="s">
        <v>61</v>
      </c>
      <c r="E2148" s="91">
        <v>47651</v>
      </c>
      <c r="F2148" s="98">
        <v>74085</v>
      </c>
      <c r="G2148" s="98">
        <v>74085</v>
      </c>
    </row>
    <row r="2149" spans="1:7">
      <c r="A2149" s="56" t="s">
        <v>849</v>
      </c>
      <c r="B2149" s="56" t="s">
        <v>325</v>
      </c>
      <c r="C2149" s="57" t="s">
        <v>60</v>
      </c>
      <c r="D2149" s="36" t="s">
        <v>61</v>
      </c>
      <c r="E2149" s="91">
        <v>47834</v>
      </c>
      <c r="F2149" s="98">
        <v>74085</v>
      </c>
      <c r="G2149" s="98">
        <v>74085</v>
      </c>
    </row>
    <row r="2150" spans="1:7">
      <c r="A2150" s="56" t="s">
        <v>849</v>
      </c>
      <c r="B2150" s="56" t="s">
        <v>325</v>
      </c>
      <c r="C2150" s="57" t="s">
        <v>60</v>
      </c>
      <c r="D2150" s="36" t="s">
        <v>61</v>
      </c>
      <c r="E2150" s="91">
        <v>48016</v>
      </c>
      <c r="F2150" s="98">
        <v>74085</v>
      </c>
      <c r="G2150" s="98">
        <v>5574085</v>
      </c>
    </row>
    <row r="2151" spans="1:7">
      <c r="A2151" s="87" t="s">
        <v>850</v>
      </c>
      <c r="B2151" s="87" t="s">
        <v>101</v>
      </c>
      <c r="C2151" s="88" t="s">
        <v>43</v>
      </c>
      <c r="D2151" s="87" t="s">
        <v>61</v>
      </c>
      <c r="E2151" s="89">
        <v>45627</v>
      </c>
      <c r="F2151" s="90">
        <v>184375</v>
      </c>
      <c r="G2151" s="90">
        <v>184375</v>
      </c>
    </row>
    <row r="2152" spans="1:7">
      <c r="A2152" s="56" t="s">
        <v>610</v>
      </c>
      <c r="B2152" s="56" t="s">
        <v>325</v>
      </c>
      <c r="C2152" s="57" t="s">
        <v>60</v>
      </c>
      <c r="D2152" s="36" t="s">
        <v>61</v>
      </c>
      <c r="E2152" s="91">
        <v>45809</v>
      </c>
      <c r="F2152" s="98">
        <v>184375</v>
      </c>
      <c r="G2152" s="98">
        <v>184375</v>
      </c>
    </row>
    <row r="2153" spans="1:7">
      <c r="A2153" s="56" t="s">
        <v>851</v>
      </c>
      <c r="B2153" s="56" t="s">
        <v>325</v>
      </c>
      <c r="C2153" s="57" t="s">
        <v>60</v>
      </c>
      <c r="D2153" s="36" t="s">
        <v>61</v>
      </c>
      <c r="E2153" s="91">
        <v>45992</v>
      </c>
      <c r="F2153" s="98">
        <v>184375</v>
      </c>
      <c r="G2153" s="98">
        <v>184375</v>
      </c>
    </row>
    <row r="2154" spans="1:7">
      <c r="A2154" s="56" t="s">
        <v>851</v>
      </c>
      <c r="B2154" s="56" t="s">
        <v>325</v>
      </c>
      <c r="C2154" s="57" t="s">
        <v>60</v>
      </c>
      <c r="D2154" s="36" t="s">
        <v>61</v>
      </c>
      <c r="E2154" s="91">
        <v>46174</v>
      </c>
      <c r="F2154" s="98">
        <v>184375</v>
      </c>
      <c r="G2154" s="98">
        <v>184375</v>
      </c>
    </row>
    <row r="2155" spans="1:7">
      <c r="A2155" s="56" t="s">
        <v>851</v>
      </c>
      <c r="B2155" s="56" t="s">
        <v>325</v>
      </c>
      <c r="C2155" s="57" t="s">
        <v>60</v>
      </c>
      <c r="D2155" s="36" t="s">
        <v>61</v>
      </c>
      <c r="E2155" s="91">
        <v>46357</v>
      </c>
      <c r="F2155" s="98">
        <v>184375</v>
      </c>
      <c r="G2155" s="98">
        <v>184375</v>
      </c>
    </row>
    <row r="2156" spans="1:7">
      <c r="A2156" s="56" t="s">
        <v>851</v>
      </c>
      <c r="B2156" s="56" t="s">
        <v>325</v>
      </c>
      <c r="C2156" s="57" t="s">
        <v>60</v>
      </c>
      <c r="D2156" s="36" t="s">
        <v>61</v>
      </c>
      <c r="E2156" s="91">
        <v>46539</v>
      </c>
      <c r="F2156" s="98">
        <v>184375</v>
      </c>
      <c r="G2156" s="98">
        <v>184375</v>
      </c>
    </row>
    <row r="2157" spans="1:7">
      <c r="A2157" s="56" t="s">
        <v>851</v>
      </c>
      <c r="B2157" s="56" t="s">
        <v>325</v>
      </c>
      <c r="C2157" s="57" t="s">
        <v>60</v>
      </c>
      <c r="D2157" s="36" t="s">
        <v>61</v>
      </c>
      <c r="E2157" s="91">
        <v>46722</v>
      </c>
      <c r="F2157" s="98">
        <v>184375</v>
      </c>
      <c r="G2157" s="98">
        <v>184375</v>
      </c>
    </row>
    <row r="2158" spans="1:7">
      <c r="A2158" s="56" t="s">
        <v>851</v>
      </c>
      <c r="B2158" s="56" t="s">
        <v>325</v>
      </c>
      <c r="C2158" s="57" t="s">
        <v>60</v>
      </c>
      <c r="D2158" s="36" t="s">
        <v>61</v>
      </c>
      <c r="E2158" s="91">
        <v>46905</v>
      </c>
      <c r="F2158" s="98">
        <v>184375</v>
      </c>
      <c r="G2158" s="98">
        <v>184375</v>
      </c>
    </row>
    <row r="2159" spans="1:7">
      <c r="A2159" s="56" t="s">
        <v>851</v>
      </c>
      <c r="B2159" s="56" t="s">
        <v>325</v>
      </c>
      <c r="C2159" s="57" t="s">
        <v>60</v>
      </c>
      <c r="D2159" s="36" t="s">
        <v>61</v>
      </c>
      <c r="E2159" s="91">
        <v>47088</v>
      </c>
      <c r="F2159" s="98">
        <v>184375</v>
      </c>
      <c r="G2159" s="98">
        <v>184375</v>
      </c>
    </row>
    <row r="2160" spans="1:7">
      <c r="A2160" s="56" t="s">
        <v>851</v>
      </c>
      <c r="B2160" s="56" t="s">
        <v>325</v>
      </c>
      <c r="C2160" s="57" t="s">
        <v>60</v>
      </c>
      <c r="D2160" s="36" t="s">
        <v>61</v>
      </c>
      <c r="E2160" s="91">
        <v>47270</v>
      </c>
      <c r="F2160" s="98">
        <v>184375</v>
      </c>
      <c r="G2160" s="98">
        <v>184375</v>
      </c>
    </row>
    <row r="2161" spans="1:7">
      <c r="A2161" s="56" t="s">
        <v>851</v>
      </c>
      <c r="B2161" s="56" t="s">
        <v>325</v>
      </c>
      <c r="C2161" s="57" t="s">
        <v>60</v>
      </c>
      <c r="D2161" s="36" t="s">
        <v>61</v>
      </c>
      <c r="E2161" s="91">
        <v>47453</v>
      </c>
      <c r="F2161" s="98">
        <v>184375</v>
      </c>
      <c r="G2161" s="98">
        <v>184375</v>
      </c>
    </row>
    <row r="2162" spans="1:7">
      <c r="A2162" s="56" t="s">
        <v>851</v>
      </c>
      <c r="B2162" s="56" t="s">
        <v>325</v>
      </c>
      <c r="C2162" s="57" t="s">
        <v>60</v>
      </c>
      <c r="D2162" s="36" t="s">
        <v>61</v>
      </c>
      <c r="E2162" s="91">
        <v>47635</v>
      </c>
      <c r="F2162" s="98">
        <v>184375</v>
      </c>
      <c r="G2162" s="98">
        <v>184375</v>
      </c>
    </row>
    <row r="2163" spans="1:7">
      <c r="A2163" s="56" t="s">
        <v>851</v>
      </c>
      <c r="B2163" s="56" t="s">
        <v>325</v>
      </c>
      <c r="C2163" s="57" t="s">
        <v>60</v>
      </c>
      <c r="D2163" s="36" t="s">
        <v>61</v>
      </c>
      <c r="E2163" s="91">
        <v>47818</v>
      </c>
      <c r="F2163" s="98">
        <v>184375</v>
      </c>
      <c r="G2163" s="98">
        <v>184375</v>
      </c>
    </row>
    <row r="2164" spans="1:7">
      <c r="A2164" s="56" t="s">
        <v>851</v>
      </c>
      <c r="B2164" s="56" t="s">
        <v>325</v>
      </c>
      <c r="C2164" s="57" t="s">
        <v>60</v>
      </c>
      <c r="D2164" s="36" t="s">
        <v>61</v>
      </c>
      <c r="E2164" s="91">
        <v>48000</v>
      </c>
      <c r="F2164" s="98">
        <v>184375</v>
      </c>
      <c r="G2164" s="98">
        <v>184375</v>
      </c>
    </row>
    <row r="2165" spans="1:7">
      <c r="A2165" s="56" t="s">
        <v>851</v>
      </c>
      <c r="B2165" s="56" t="s">
        <v>325</v>
      </c>
      <c r="C2165" s="57" t="s">
        <v>60</v>
      </c>
      <c r="D2165" s="36" t="s">
        <v>61</v>
      </c>
      <c r="E2165" s="91">
        <v>48183</v>
      </c>
      <c r="F2165" s="98">
        <v>184375</v>
      </c>
      <c r="G2165" s="98">
        <v>5184375</v>
      </c>
    </row>
    <row r="2166" spans="1:7">
      <c r="A2166" s="87" t="s">
        <v>852</v>
      </c>
      <c r="B2166" s="87" t="s">
        <v>101</v>
      </c>
      <c r="C2166" s="88" t="s">
        <v>67</v>
      </c>
      <c r="D2166" s="87" t="s">
        <v>61</v>
      </c>
      <c r="E2166" s="89">
        <v>45589</v>
      </c>
      <c r="F2166" s="90">
        <v>77250</v>
      </c>
      <c r="G2166" s="90">
        <v>77250</v>
      </c>
    </row>
    <row r="2167" spans="1:7">
      <c r="A2167" s="56" t="s">
        <v>320</v>
      </c>
      <c r="B2167" s="56" t="s">
        <v>325</v>
      </c>
      <c r="C2167" s="57" t="s">
        <v>35</v>
      </c>
      <c r="D2167" s="36" t="s">
        <v>61</v>
      </c>
      <c r="E2167" s="91">
        <v>45771</v>
      </c>
      <c r="F2167" s="98">
        <v>77250</v>
      </c>
      <c r="G2167" s="98">
        <v>77250</v>
      </c>
    </row>
    <row r="2168" spans="1:7">
      <c r="A2168" s="56" t="s">
        <v>320</v>
      </c>
      <c r="B2168" s="56" t="s">
        <v>325</v>
      </c>
      <c r="C2168" s="57" t="s">
        <v>35</v>
      </c>
      <c r="D2168" s="36" t="s">
        <v>61</v>
      </c>
      <c r="E2168" s="91">
        <v>45954</v>
      </c>
      <c r="F2168" s="98">
        <v>77250</v>
      </c>
      <c r="G2168" s="98">
        <v>77250</v>
      </c>
    </row>
    <row r="2169" spans="1:7">
      <c r="A2169" s="56" t="s">
        <v>320</v>
      </c>
      <c r="B2169" s="56" t="s">
        <v>325</v>
      </c>
      <c r="C2169" s="57" t="s">
        <v>35</v>
      </c>
      <c r="D2169" s="36" t="s">
        <v>61</v>
      </c>
      <c r="E2169" s="91">
        <v>46136</v>
      </c>
      <c r="F2169" s="98">
        <v>77250</v>
      </c>
      <c r="G2169" s="98">
        <v>77250</v>
      </c>
    </row>
    <row r="2170" spans="1:7">
      <c r="A2170" s="56" t="s">
        <v>853</v>
      </c>
      <c r="B2170" s="56" t="s">
        <v>325</v>
      </c>
      <c r="C2170" s="57" t="s">
        <v>35</v>
      </c>
      <c r="D2170" s="36" t="s">
        <v>61</v>
      </c>
      <c r="E2170" s="91">
        <v>46319</v>
      </c>
      <c r="F2170" s="98">
        <v>77250</v>
      </c>
      <c r="G2170" s="98">
        <v>77250</v>
      </c>
    </row>
    <row r="2171" spans="1:7">
      <c r="A2171" s="56" t="s">
        <v>853</v>
      </c>
      <c r="B2171" s="56" t="s">
        <v>325</v>
      </c>
      <c r="C2171" s="57" t="s">
        <v>35</v>
      </c>
      <c r="D2171" s="36" t="s">
        <v>61</v>
      </c>
      <c r="E2171" s="91">
        <v>46501</v>
      </c>
      <c r="F2171" s="98">
        <v>77250</v>
      </c>
      <c r="G2171" s="98">
        <v>77250</v>
      </c>
    </row>
    <row r="2172" spans="1:7">
      <c r="A2172" s="56" t="s">
        <v>853</v>
      </c>
      <c r="B2172" s="56" t="s">
        <v>325</v>
      </c>
      <c r="C2172" s="57" t="s">
        <v>35</v>
      </c>
      <c r="D2172" s="36" t="s">
        <v>61</v>
      </c>
      <c r="E2172" s="91">
        <v>46684</v>
      </c>
      <c r="F2172" s="98">
        <v>77250</v>
      </c>
      <c r="G2172" s="98">
        <v>77250</v>
      </c>
    </row>
    <row r="2173" spans="1:7">
      <c r="A2173" s="56" t="s">
        <v>853</v>
      </c>
      <c r="B2173" s="56" t="s">
        <v>325</v>
      </c>
      <c r="C2173" s="57" t="s">
        <v>35</v>
      </c>
      <c r="D2173" s="36" t="s">
        <v>61</v>
      </c>
      <c r="E2173" s="91">
        <v>46867</v>
      </c>
      <c r="F2173" s="98">
        <v>77250</v>
      </c>
      <c r="G2173" s="98">
        <v>77250</v>
      </c>
    </row>
    <row r="2174" spans="1:7">
      <c r="A2174" s="56" t="s">
        <v>853</v>
      </c>
      <c r="B2174" s="56" t="s">
        <v>325</v>
      </c>
      <c r="C2174" s="57" t="s">
        <v>35</v>
      </c>
      <c r="D2174" s="36" t="s">
        <v>61</v>
      </c>
      <c r="E2174" s="91">
        <v>47050</v>
      </c>
      <c r="F2174" s="98">
        <v>77250</v>
      </c>
      <c r="G2174" s="98">
        <v>77250</v>
      </c>
    </row>
    <row r="2175" spans="1:7">
      <c r="A2175" s="56" t="s">
        <v>853</v>
      </c>
      <c r="B2175" s="56" t="s">
        <v>325</v>
      </c>
      <c r="C2175" s="57" t="s">
        <v>35</v>
      </c>
      <c r="D2175" s="36" t="s">
        <v>61</v>
      </c>
      <c r="E2175" s="91">
        <v>47232</v>
      </c>
      <c r="F2175" s="98">
        <v>77250</v>
      </c>
      <c r="G2175" s="98">
        <v>77250</v>
      </c>
    </row>
    <row r="2176" spans="1:7">
      <c r="A2176" s="56" t="s">
        <v>853</v>
      </c>
      <c r="B2176" s="56" t="s">
        <v>325</v>
      </c>
      <c r="C2176" s="57" t="s">
        <v>35</v>
      </c>
      <c r="D2176" s="36" t="s">
        <v>61</v>
      </c>
      <c r="E2176" s="91">
        <v>47415</v>
      </c>
      <c r="F2176" s="98">
        <v>77250</v>
      </c>
      <c r="G2176" s="98">
        <v>3077250</v>
      </c>
    </row>
    <row r="2177" spans="1:7">
      <c r="A2177" s="87" t="s">
        <v>825</v>
      </c>
      <c r="B2177" s="87" t="s">
        <v>101</v>
      </c>
      <c r="C2177" s="88" t="s">
        <v>67</v>
      </c>
      <c r="D2177" s="87" t="s">
        <v>61</v>
      </c>
      <c r="E2177" s="89">
        <v>45578</v>
      </c>
      <c r="F2177" s="90">
        <v>19835</v>
      </c>
      <c r="G2177" s="90">
        <v>19835</v>
      </c>
    </row>
    <row r="2178" spans="1:7">
      <c r="A2178" s="56" t="s">
        <v>384</v>
      </c>
      <c r="B2178" s="56" t="s">
        <v>325</v>
      </c>
      <c r="C2178" s="57" t="s">
        <v>35</v>
      </c>
      <c r="D2178" s="36" t="s">
        <v>61</v>
      </c>
      <c r="E2178" s="91">
        <v>45760</v>
      </c>
      <c r="F2178" s="98">
        <v>19835</v>
      </c>
      <c r="G2178" s="98">
        <v>19835</v>
      </c>
    </row>
    <row r="2179" spans="1:7">
      <c r="A2179" s="56" t="s">
        <v>826</v>
      </c>
      <c r="B2179" s="56" t="s">
        <v>325</v>
      </c>
      <c r="C2179" s="57" t="s">
        <v>35</v>
      </c>
      <c r="D2179" s="36" t="s">
        <v>61</v>
      </c>
      <c r="E2179" s="91">
        <v>45943</v>
      </c>
      <c r="F2179" s="98">
        <v>19835</v>
      </c>
      <c r="G2179" s="98">
        <v>19835</v>
      </c>
    </row>
    <row r="2180" spans="1:7">
      <c r="A2180" s="56" t="s">
        <v>826</v>
      </c>
      <c r="B2180" s="56" t="s">
        <v>325</v>
      </c>
      <c r="C2180" s="57" t="s">
        <v>35</v>
      </c>
      <c r="D2180" s="36" t="s">
        <v>61</v>
      </c>
      <c r="E2180" s="91">
        <v>46125</v>
      </c>
      <c r="F2180" s="98">
        <v>19835</v>
      </c>
      <c r="G2180" s="98">
        <v>19835</v>
      </c>
    </row>
    <row r="2181" spans="1:7">
      <c r="A2181" s="56" t="s">
        <v>826</v>
      </c>
      <c r="B2181" s="56" t="s">
        <v>325</v>
      </c>
      <c r="C2181" s="57" t="s">
        <v>35</v>
      </c>
      <c r="D2181" s="36" t="s">
        <v>61</v>
      </c>
      <c r="E2181" s="91">
        <v>46308</v>
      </c>
      <c r="F2181" s="98">
        <v>19835</v>
      </c>
      <c r="G2181" s="98">
        <v>19835</v>
      </c>
    </row>
    <row r="2182" spans="1:7">
      <c r="A2182" s="56" t="s">
        <v>826</v>
      </c>
      <c r="B2182" s="56" t="s">
        <v>325</v>
      </c>
      <c r="C2182" s="57" t="s">
        <v>35</v>
      </c>
      <c r="D2182" s="36" t="s">
        <v>61</v>
      </c>
      <c r="E2182" s="91">
        <v>46490</v>
      </c>
      <c r="F2182" s="98">
        <v>19835</v>
      </c>
      <c r="G2182" s="98">
        <v>19835</v>
      </c>
    </row>
    <row r="2183" spans="1:7">
      <c r="A2183" s="56" t="s">
        <v>826</v>
      </c>
      <c r="B2183" s="56" t="s">
        <v>325</v>
      </c>
      <c r="C2183" s="57" t="s">
        <v>35</v>
      </c>
      <c r="D2183" s="36" t="s">
        <v>61</v>
      </c>
      <c r="E2183" s="91">
        <v>46673</v>
      </c>
      <c r="F2183" s="98">
        <v>19835</v>
      </c>
      <c r="G2183" s="98">
        <v>19835</v>
      </c>
    </row>
    <row r="2184" spans="1:7">
      <c r="A2184" s="56" t="s">
        <v>826</v>
      </c>
      <c r="B2184" s="56" t="s">
        <v>325</v>
      </c>
      <c r="C2184" s="57" t="s">
        <v>35</v>
      </c>
      <c r="D2184" s="36" t="s">
        <v>61</v>
      </c>
      <c r="E2184" s="91">
        <v>46856</v>
      </c>
      <c r="F2184" s="98">
        <v>19835</v>
      </c>
      <c r="G2184" s="98">
        <v>19835</v>
      </c>
    </row>
    <row r="2185" spans="1:7">
      <c r="A2185" s="56" t="s">
        <v>826</v>
      </c>
      <c r="B2185" s="56" t="s">
        <v>325</v>
      </c>
      <c r="C2185" s="57" t="s">
        <v>35</v>
      </c>
      <c r="D2185" s="36" t="s">
        <v>61</v>
      </c>
      <c r="E2185" s="91">
        <v>47039</v>
      </c>
      <c r="F2185" s="98">
        <v>19835</v>
      </c>
      <c r="G2185" s="98">
        <v>19835</v>
      </c>
    </row>
    <row r="2186" spans="1:7">
      <c r="A2186" s="56" t="s">
        <v>826</v>
      </c>
      <c r="B2186" s="56" t="s">
        <v>325</v>
      </c>
      <c r="C2186" s="57" t="s">
        <v>35</v>
      </c>
      <c r="D2186" s="36" t="s">
        <v>61</v>
      </c>
      <c r="E2186" s="91">
        <v>47221</v>
      </c>
      <c r="F2186" s="98">
        <v>19835</v>
      </c>
      <c r="G2186" s="98">
        <v>19835</v>
      </c>
    </row>
    <row r="2187" spans="1:7">
      <c r="A2187" s="56" t="s">
        <v>826</v>
      </c>
      <c r="B2187" s="56" t="s">
        <v>325</v>
      </c>
      <c r="C2187" s="57" t="s">
        <v>35</v>
      </c>
      <c r="D2187" s="36" t="s">
        <v>61</v>
      </c>
      <c r="E2187" s="91">
        <v>47404</v>
      </c>
      <c r="F2187" s="98">
        <v>19835</v>
      </c>
      <c r="G2187" s="98">
        <v>19835</v>
      </c>
    </row>
    <row r="2188" spans="1:7">
      <c r="A2188" s="56" t="s">
        <v>826</v>
      </c>
      <c r="B2188" s="56" t="s">
        <v>325</v>
      </c>
      <c r="C2188" s="57" t="s">
        <v>35</v>
      </c>
      <c r="D2188" s="36" t="s">
        <v>61</v>
      </c>
      <c r="E2188" s="91">
        <v>47586</v>
      </c>
      <c r="F2188" s="98">
        <v>19835</v>
      </c>
      <c r="G2188" s="98">
        <v>1019835</v>
      </c>
    </row>
    <row r="2189" spans="1:7">
      <c r="A2189" s="87" t="s">
        <v>527</v>
      </c>
      <c r="B2189" s="87" t="s">
        <v>101</v>
      </c>
      <c r="C2189" s="88" t="s">
        <v>43</v>
      </c>
      <c r="D2189" s="87" t="s">
        <v>61</v>
      </c>
      <c r="E2189" s="89">
        <v>45556</v>
      </c>
      <c r="F2189" s="90">
        <v>25500</v>
      </c>
      <c r="G2189" s="90">
        <v>25500</v>
      </c>
    </row>
    <row r="2190" spans="1:7">
      <c r="A2190" s="56" t="s">
        <v>530</v>
      </c>
      <c r="B2190" s="56" t="s">
        <v>325</v>
      </c>
      <c r="C2190" s="57" t="s">
        <v>60</v>
      </c>
      <c r="D2190" s="36" t="s">
        <v>61</v>
      </c>
      <c r="E2190" s="93">
        <v>45737</v>
      </c>
      <c r="F2190" s="98">
        <v>25500</v>
      </c>
      <c r="G2190" s="98">
        <v>25500</v>
      </c>
    </row>
    <row r="2191" spans="1:7">
      <c r="A2191" s="56" t="s">
        <v>817</v>
      </c>
      <c r="B2191" s="56" t="s">
        <v>325</v>
      </c>
      <c r="C2191" s="57" t="s">
        <v>60</v>
      </c>
      <c r="D2191" s="36" t="s">
        <v>61</v>
      </c>
      <c r="E2191" s="93">
        <v>45921</v>
      </c>
      <c r="F2191" s="98">
        <v>25500</v>
      </c>
      <c r="G2191" s="98">
        <v>25500</v>
      </c>
    </row>
    <row r="2192" spans="1:7">
      <c r="A2192" s="56" t="s">
        <v>817</v>
      </c>
      <c r="B2192" s="56" t="s">
        <v>325</v>
      </c>
      <c r="C2192" s="57" t="s">
        <v>60</v>
      </c>
      <c r="D2192" s="36" t="s">
        <v>61</v>
      </c>
      <c r="E2192" s="93">
        <v>46102</v>
      </c>
      <c r="F2192" s="98">
        <v>25500</v>
      </c>
      <c r="G2192" s="98">
        <v>25500</v>
      </c>
    </row>
    <row r="2193" spans="1:7">
      <c r="A2193" s="56" t="s">
        <v>817</v>
      </c>
      <c r="B2193" s="56" t="s">
        <v>325</v>
      </c>
      <c r="C2193" s="57" t="s">
        <v>60</v>
      </c>
      <c r="D2193" s="36" t="s">
        <v>61</v>
      </c>
      <c r="E2193" s="93">
        <v>46286</v>
      </c>
      <c r="F2193" s="98">
        <v>25500</v>
      </c>
      <c r="G2193" s="98">
        <v>25500</v>
      </c>
    </row>
    <row r="2194" spans="1:7">
      <c r="A2194" s="56" t="s">
        <v>817</v>
      </c>
      <c r="B2194" s="56" t="s">
        <v>325</v>
      </c>
      <c r="C2194" s="57" t="s">
        <v>60</v>
      </c>
      <c r="D2194" s="36" t="s">
        <v>61</v>
      </c>
      <c r="E2194" s="93">
        <v>46467</v>
      </c>
      <c r="F2194" s="98">
        <v>25500</v>
      </c>
      <c r="G2194" s="98">
        <v>25500</v>
      </c>
    </row>
    <row r="2195" spans="1:7">
      <c r="A2195" s="56" t="s">
        <v>817</v>
      </c>
      <c r="B2195" s="56" t="s">
        <v>325</v>
      </c>
      <c r="C2195" s="57" t="s">
        <v>60</v>
      </c>
      <c r="D2195" s="36" t="s">
        <v>61</v>
      </c>
      <c r="E2195" s="93">
        <v>46651</v>
      </c>
      <c r="F2195" s="98">
        <v>25500</v>
      </c>
      <c r="G2195" s="98">
        <v>25500</v>
      </c>
    </row>
    <row r="2196" spans="1:7">
      <c r="A2196" s="56" t="s">
        <v>817</v>
      </c>
      <c r="B2196" s="56" t="s">
        <v>325</v>
      </c>
      <c r="C2196" s="57" t="s">
        <v>60</v>
      </c>
      <c r="D2196" s="36" t="s">
        <v>61</v>
      </c>
      <c r="E2196" s="93">
        <v>46833</v>
      </c>
      <c r="F2196" s="98">
        <v>25500</v>
      </c>
      <c r="G2196" s="98">
        <v>25500</v>
      </c>
    </row>
    <row r="2197" spans="1:7">
      <c r="A2197" s="56" t="s">
        <v>817</v>
      </c>
      <c r="B2197" s="56" t="s">
        <v>325</v>
      </c>
      <c r="C2197" s="57" t="s">
        <v>60</v>
      </c>
      <c r="D2197" s="36" t="s">
        <v>61</v>
      </c>
      <c r="E2197" s="93">
        <v>47017</v>
      </c>
      <c r="F2197" s="98">
        <v>25500</v>
      </c>
      <c r="G2197" s="98">
        <v>25500</v>
      </c>
    </row>
    <row r="2198" spans="1:7">
      <c r="A2198" s="56" t="s">
        <v>817</v>
      </c>
      <c r="B2198" s="56" t="s">
        <v>325</v>
      </c>
      <c r="C2198" s="57" t="s">
        <v>60</v>
      </c>
      <c r="D2198" s="36" t="s">
        <v>61</v>
      </c>
      <c r="E2198" s="93">
        <v>47198</v>
      </c>
      <c r="F2198" s="98">
        <v>25500</v>
      </c>
      <c r="G2198" s="98">
        <v>25500</v>
      </c>
    </row>
    <row r="2199" spans="1:7">
      <c r="A2199" s="56" t="s">
        <v>817</v>
      </c>
      <c r="B2199" s="56" t="s">
        <v>325</v>
      </c>
      <c r="C2199" s="57" t="s">
        <v>60</v>
      </c>
      <c r="D2199" s="36" t="s">
        <v>61</v>
      </c>
      <c r="E2199" s="93">
        <v>47382</v>
      </c>
      <c r="F2199" s="98">
        <v>25500</v>
      </c>
      <c r="G2199" s="98">
        <v>25500</v>
      </c>
    </row>
    <row r="2200" spans="1:7">
      <c r="A2200" s="56" t="s">
        <v>817</v>
      </c>
      <c r="B2200" s="56" t="s">
        <v>325</v>
      </c>
      <c r="C2200" s="57" t="s">
        <v>60</v>
      </c>
      <c r="D2200" s="36" t="s">
        <v>61</v>
      </c>
      <c r="E2200" s="93">
        <v>47563</v>
      </c>
      <c r="F2200" s="98">
        <v>25500</v>
      </c>
      <c r="G2200" s="98">
        <v>25500</v>
      </c>
    </row>
    <row r="2201" spans="1:7">
      <c r="A2201" s="56" t="s">
        <v>817</v>
      </c>
      <c r="B2201" s="56" t="s">
        <v>325</v>
      </c>
      <c r="C2201" s="57" t="s">
        <v>60</v>
      </c>
      <c r="D2201" s="36" t="s">
        <v>61</v>
      </c>
      <c r="E2201" s="93">
        <v>47747</v>
      </c>
      <c r="F2201" s="98">
        <v>25500</v>
      </c>
      <c r="G2201" s="98">
        <v>25500</v>
      </c>
    </row>
    <row r="2202" spans="1:7">
      <c r="A2202" s="56" t="s">
        <v>817</v>
      </c>
      <c r="B2202" s="56" t="s">
        <v>325</v>
      </c>
      <c r="C2202" s="57" t="s">
        <v>60</v>
      </c>
      <c r="D2202" s="36" t="s">
        <v>61</v>
      </c>
      <c r="E2202" s="93">
        <v>47928</v>
      </c>
      <c r="F2202" s="98">
        <v>25500</v>
      </c>
      <c r="G2202" s="98">
        <v>2025500</v>
      </c>
    </row>
    <row r="2203" spans="1:7">
      <c r="A2203" s="87" t="s">
        <v>828</v>
      </c>
      <c r="B2203" s="87" t="s">
        <v>223</v>
      </c>
      <c r="C2203" s="88" t="s">
        <v>67</v>
      </c>
      <c r="D2203" s="87" t="s">
        <v>61</v>
      </c>
      <c r="E2203" s="89">
        <v>45659</v>
      </c>
      <c r="F2203" s="90">
        <v>128400</v>
      </c>
      <c r="G2203" s="90">
        <v>128400</v>
      </c>
    </row>
    <row r="2204" spans="1:7">
      <c r="A2204" s="56" t="s">
        <v>854</v>
      </c>
      <c r="B2204" s="56" t="s">
        <v>321</v>
      </c>
      <c r="C2204" s="57" t="s">
        <v>35</v>
      </c>
      <c r="D2204" s="36" t="s">
        <v>61</v>
      </c>
      <c r="E2204" s="93">
        <v>45840</v>
      </c>
      <c r="F2204" s="98">
        <v>128400</v>
      </c>
      <c r="G2204" s="98">
        <v>128400</v>
      </c>
    </row>
    <row r="2205" spans="1:7">
      <c r="A2205" s="56" t="s">
        <v>855</v>
      </c>
      <c r="B2205" s="56" t="s">
        <v>321</v>
      </c>
      <c r="C2205" s="57" t="s">
        <v>35</v>
      </c>
      <c r="D2205" s="36" t="s">
        <v>61</v>
      </c>
      <c r="E2205" s="91">
        <v>46024</v>
      </c>
      <c r="F2205" s="98">
        <v>128400</v>
      </c>
      <c r="G2205" s="98">
        <v>128400</v>
      </c>
    </row>
    <row r="2206" spans="1:7">
      <c r="A2206" s="56" t="s">
        <v>856</v>
      </c>
      <c r="B2206" s="56" t="s">
        <v>321</v>
      </c>
      <c r="C2206" s="57" t="s">
        <v>35</v>
      </c>
      <c r="D2206" s="36" t="s">
        <v>61</v>
      </c>
      <c r="E2206" s="93">
        <v>46205</v>
      </c>
      <c r="F2206" s="98">
        <v>128400</v>
      </c>
      <c r="G2206" s="98">
        <v>128400</v>
      </c>
    </row>
    <row r="2207" spans="1:7">
      <c r="A2207" s="56" t="s">
        <v>857</v>
      </c>
      <c r="B2207" s="56" t="s">
        <v>321</v>
      </c>
      <c r="C2207" s="57" t="s">
        <v>35</v>
      </c>
      <c r="D2207" s="36" t="s">
        <v>61</v>
      </c>
      <c r="E2207" s="91">
        <v>46389</v>
      </c>
      <c r="F2207" s="98">
        <v>128400</v>
      </c>
      <c r="G2207" s="98">
        <v>128400</v>
      </c>
    </row>
    <row r="2208" spans="1:7">
      <c r="A2208" s="56" t="s">
        <v>858</v>
      </c>
      <c r="B2208" s="56" t="s">
        <v>321</v>
      </c>
      <c r="C2208" s="57" t="s">
        <v>35</v>
      </c>
      <c r="D2208" s="36" t="s">
        <v>61</v>
      </c>
      <c r="E2208" s="93">
        <v>46570</v>
      </c>
      <c r="F2208" s="98">
        <v>128400</v>
      </c>
      <c r="G2208" s="98">
        <v>128400</v>
      </c>
    </row>
    <row r="2209" spans="1:7">
      <c r="A2209" s="56" t="s">
        <v>859</v>
      </c>
      <c r="B2209" s="56" t="s">
        <v>321</v>
      </c>
      <c r="C2209" s="57" t="s">
        <v>35</v>
      </c>
      <c r="D2209" s="36" t="s">
        <v>61</v>
      </c>
      <c r="E2209" s="91">
        <v>46754</v>
      </c>
      <c r="F2209" s="98">
        <v>128400</v>
      </c>
      <c r="G2209" s="98">
        <v>128400</v>
      </c>
    </row>
    <row r="2210" spans="1:7">
      <c r="A2210" s="56" t="s">
        <v>860</v>
      </c>
      <c r="B2210" s="56" t="s">
        <v>321</v>
      </c>
      <c r="C2210" s="57" t="s">
        <v>35</v>
      </c>
      <c r="D2210" s="36" t="s">
        <v>61</v>
      </c>
      <c r="E2210" s="93">
        <v>46936</v>
      </c>
      <c r="F2210" s="98">
        <v>128400</v>
      </c>
      <c r="G2210" s="98">
        <v>128400</v>
      </c>
    </row>
    <row r="2211" spans="1:7">
      <c r="A2211" s="56" t="s">
        <v>861</v>
      </c>
      <c r="B2211" s="56" t="s">
        <v>321</v>
      </c>
      <c r="C2211" s="57" t="s">
        <v>35</v>
      </c>
      <c r="D2211" s="36" t="s">
        <v>61</v>
      </c>
      <c r="E2211" s="91">
        <v>47120</v>
      </c>
      <c r="F2211" s="98">
        <v>128400</v>
      </c>
      <c r="G2211" s="98">
        <v>128400</v>
      </c>
    </row>
    <row r="2212" spans="1:7">
      <c r="A2212" s="56" t="s">
        <v>862</v>
      </c>
      <c r="B2212" s="56" t="s">
        <v>321</v>
      </c>
      <c r="C2212" s="57" t="s">
        <v>35</v>
      </c>
      <c r="D2212" s="36" t="s">
        <v>61</v>
      </c>
      <c r="E2212" s="93">
        <v>47301</v>
      </c>
      <c r="F2212" s="98">
        <v>128400</v>
      </c>
      <c r="G2212" s="98">
        <v>128400</v>
      </c>
    </row>
    <row r="2213" spans="1:7">
      <c r="A2213" s="56" t="s">
        <v>863</v>
      </c>
      <c r="B2213" s="56" t="s">
        <v>321</v>
      </c>
      <c r="C2213" s="57" t="s">
        <v>35</v>
      </c>
      <c r="D2213" s="36" t="s">
        <v>61</v>
      </c>
      <c r="E2213" s="91">
        <v>47485</v>
      </c>
      <c r="F2213" s="98">
        <v>128400</v>
      </c>
      <c r="G2213" s="98">
        <v>128400</v>
      </c>
    </row>
    <row r="2214" spans="1:7">
      <c r="A2214" s="56" t="s">
        <v>864</v>
      </c>
      <c r="B2214" s="56" t="s">
        <v>321</v>
      </c>
      <c r="C2214" s="57" t="s">
        <v>35</v>
      </c>
      <c r="D2214" s="36" t="s">
        <v>61</v>
      </c>
      <c r="E2214" s="93">
        <v>47666</v>
      </c>
      <c r="F2214" s="98">
        <v>128400</v>
      </c>
      <c r="G2214" s="98">
        <v>128400</v>
      </c>
    </row>
    <row r="2215" spans="1:7">
      <c r="A2215" s="56" t="s">
        <v>865</v>
      </c>
      <c r="B2215" s="56" t="s">
        <v>321</v>
      </c>
      <c r="C2215" s="57" t="s">
        <v>35</v>
      </c>
      <c r="D2215" s="36" t="s">
        <v>61</v>
      </c>
      <c r="E2215" s="91">
        <v>47850</v>
      </c>
      <c r="F2215" s="98">
        <v>128400</v>
      </c>
      <c r="G2215" s="98">
        <v>128400</v>
      </c>
    </row>
    <row r="2216" spans="1:7">
      <c r="A2216" s="56" t="s">
        <v>866</v>
      </c>
      <c r="B2216" s="56" t="s">
        <v>321</v>
      </c>
      <c r="C2216" s="57" t="s">
        <v>35</v>
      </c>
      <c r="D2216" s="36" t="s">
        <v>61</v>
      </c>
      <c r="E2216" s="91">
        <v>48031</v>
      </c>
      <c r="F2216" s="98">
        <v>128400</v>
      </c>
      <c r="G2216" s="98">
        <v>5128400</v>
      </c>
    </row>
    <row r="2217" spans="1:7">
      <c r="A2217" s="87" t="s">
        <v>527</v>
      </c>
      <c r="B2217" s="87" t="s">
        <v>223</v>
      </c>
      <c r="C2217" s="88" t="s">
        <v>43</v>
      </c>
      <c r="D2217" s="87" t="s">
        <v>61</v>
      </c>
      <c r="E2217" s="89">
        <v>45556</v>
      </c>
      <c r="F2217" s="90">
        <v>38250</v>
      </c>
      <c r="G2217" s="90">
        <v>38250</v>
      </c>
    </row>
    <row r="2218" spans="1:7">
      <c r="A2218" s="56" t="s">
        <v>530</v>
      </c>
      <c r="B2218" s="56" t="s">
        <v>321</v>
      </c>
      <c r="C2218" s="57" t="s">
        <v>60</v>
      </c>
      <c r="D2218" s="36" t="s">
        <v>61</v>
      </c>
      <c r="E2218" s="93">
        <v>45737</v>
      </c>
      <c r="F2218" s="98">
        <v>38250</v>
      </c>
      <c r="G2218" s="98">
        <v>38250</v>
      </c>
    </row>
    <row r="2219" spans="1:7">
      <c r="A2219" s="56" t="s">
        <v>530</v>
      </c>
      <c r="B2219" s="56" t="s">
        <v>321</v>
      </c>
      <c r="C2219" s="57" t="s">
        <v>60</v>
      </c>
      <c r="D2219" s="36" t="s">
        <v>61</v>
      </c>
      <c r="E2219" s="93">
        <v>45921</v>
      </c>
      <c r="F2219" s="98">
        <v>38250</v>
      </c>
      <c r="G2219" s="98">
        <v>38250</v>
      </c>
    </row>
    <row r="2220" spans="1:7">
      <c r="A2220" s="56" t="s">
        <v>817</v>
      </c>
      <c r="B2220" s="56" t="s">
        <v>321</v>
      </c>
      <c r="C2220" s="57" t="s">
        <v>60</v>
      </c>
      <c r="D2220" s="36" t="s">
        <v>61</v>
      </c>
      <c r="E2220" s="93">
        <v>46102</v>
      </c>
      <c r="F2220" s="98">
        <v>38250</v>
      </c>
      <c r="G2220" s="98">
        <v>38250</v>
      </c>
    </row>
    <row r="2221" spans="1:7">
      <c r="A2221" s="56" t="s">
        <v>817</v>
      </c>
      <c r="B2221" s="56" t="s">
        <v>321</v>
      </c>
      <c r="C2221" s="57" t="s">
        <v>60</v>
      </c>
      <c r="D2221" s="36" t="s">
        <v>61</v>
      </c>
      <c r="E2221" s="93">
        <v>46286</v>
      </c>
      <c r="F2221" s="98">
        <v>38250</v>
      </c>
      <c r="G2221" s="98">
        <v>38250</v>
      </c>
    </row>
    <row r="2222" spans="1:7">
      <c r="A2222" s="56" t="s">
        <v>817</v>
      </c>
      <c r="B2222" s="56" t="s">
        <v>321</v>
      </c>
      <c r="C2222" s="57" t="s">
        <v>60</v>
      </c>
      <c r="D2222" s="36" t="s">
        <v>61</v>
      </c>
      <c r="E2222" s="93">
        <v>46467</v>
      </c>
      <c r="F2222" s="98">
        <v>38250</v>
      </c>
      <c r="G2222" s="98">
        <v>38250</v>
      </c>
    </row>
    <row r="2223" spans="1:7">
      <c r="A2223" s="56" t="s">
        <v>817</v>
      </c>
      <c r="B2223" s="56" t="s">
        <v>321</v>
      </c>
      <c r="C2223" s="57" t="s">
        <v>60</v>
      </c>
      <c r="D2223" s="36" t="s">
        <v>61</v>
      </c>
      <c r="E2223" s="93">
        <v>46651</v>
      </c>
      <c r="F2223" s="98">
        <v>38250</v>
      </c>
      <c r="G2223" s="98">
        <v>38250</v>
      </c>
    </row>
    <row r="2224" spans="1:7">
      <c r="A2224" s="56" t="s">
        <v>817</v>
      </c>
      <c r="B2224" s="56" t="s">
        <v>321</v>
      </c>
      <c r="C2224" s="57" t="s">
        <v>60</v>
      </c>
      <c r="D2224" s="36" t="s">
        <v>61</v>
      </c>
      <c r="E2224" s="93">
        <v>46833</v>
      </c>
      <c r="F2224" s="98">
        <v>38250</v>
      </c>
      <c r="G2224" s="98">
        <v>38250</v>
      </c>
    </row>
    <row r="2225" spans="1:7">
      <c r="A2225" s="56" t="s">
        <v>817</v>
      </c>
      <c r="B2225" s="56" t="s">
        <v>321</v>
      </c>
      <c r="C2225" s="57" t="s">
        <v>60</v>
      </c>
      <c r="D2225" s="36" t="s">
        <v>61</v>
      </c>
      <c r="E2225" s="93">
        <v>47017</v>
      </c>
      <c r="F2225" s="98">
        <v>38250</v>
      </c>
      <c r="G2225" s="98">
        <v>38250</v>
      </c>
    </row>
    <row r="2226" spans="1:7">
      <c r="A2226" s="56" t="s">
        <v>817</v>
      </c>
      <c r="B2226" s="56" t="s">
        <v>321</v>
      </c>
      <c r="C2226" s="57" t="s">
        <v>60</v>
      </c>
      <c r="D2226" s="36" t="s">
        <v>61</v>
      </c>
      <c r="E2226" s="93">
        <v>47198</v>
      </c>
      <c r="F2226" s="98">
        <v>38250</v>
      </c>
      <c r="G2226" s="98">
        <v>38250</v>
      </c>
    </row>
    <row r="2227" spans="1:7">
      <c r="A2227" s="56" t="s">
        <v>817</v>
      </c>
      <c r="B2227" s="56" t="s">
        <v>321</v>
      </c>
      <c r="C2227" s="57" t="s">
        <v>60</v>
      </c>
      <c r="D2227" s="36" t="s">
        <v>61</v>
      </c>
      <c r="E2227" s="93">
        <v>47382</v>
      </c>
      <c r="F2227" s="98">
        <v>38250</v>
      </c>
      <c r="G2227" s="98">
        <v>38250</v>
      </c>
    </row>
    <row r="2228" spans="1:7">
      <c r="A2228" s="56" t="s">
        <v>817</v>
      </c>
      <c r="B2228" s="56" t="s">
        <v>321</v>
      </c>
      <c r="C2228" s="57" t="s">
        <v>60</v>
      </c>
      <c r="D2228" s="36" t="s">
        <v>61</v>
      </c>
      <c r="E2228" s="93">
        <v>47563</v>
      </c>
      <c r="F2228" s="98">
        <v>38250</v>
      </c>
      <c r="G2228" s="98">
        <v>38250</v>
      </c>
    </row>
    <row r="2229" spans="1:7">
      <c r="A2229" s="56" t="s">
        <v>817</v>
      </c>
      <c r="B2229" s="56" t="s">
        <v>321</v>
      </c>
      <c r="C2229" s="57" t="s">
        <v>60</v>
      </c>
      <c r="D2229" s="36" t="s">
        <v>61</v>
      </c>
      <c r="E2229" s="93">
        <v>47747</v>
      </c>
      <c r="F2229" s="98">
        <v>38250</v>
      </c>
      <c r="G2229" s="98">
        <v>38250</v>
      </c>
    </row>
    <row r="2230" spans="1:7">
      <c r="A2230" s="56" t="s">
        <v>527</v>
      </c>
      <c r="B2230" s="56" t="s">
        <v>223</v>
      </c>
      <c r="C2230" s="57" t="s">
        <v>43</v>
      </c>
      <c r="D2230" s="36" t="s">
        <v>61</v>
      </c>
      <c r="E2230" s="93">
        <v>47928</v>
      </c>
      <c r="F2230" s="98">
        <v>38250</v>
      </c>
      <c r="G2230" s="98">
        <v>3038250</v>
      </c>
    </row>
    <row r="2231" spans="1:7">
      <c r="A2231" s="87" t="s">
        <v>852</v>
      </c>
      <c r="B2231" s="87" t="s">
        <v>223</v>
      </c>
      <c r="C2231" s="88" t="s">
        <v>67</v>
      </c>
      <c r="D2231" s="87" t="s">
        <v>61</v>
      </c>
      <c r="E2231" s="89">
        <v>45589</v>
      </c>
      <c r="F2231" s="90">
        <v>90125</v>
      </c>
      <c r="G2231" s="90">
        <v>90125</v>
      </c>
    </row>
    <row r="2232" spans="1:7">
      <c r="A2232" s="56" t="s">
        <v>320</v>
      </c>
      <c r="B2232" s="56" t="s">
        <v>321</v>
      </c>
      <c r="C2232" s="57" t="s">
        <v>35</v>
      </c>
      <c r="D2232" s="36" t="s">
        <v>61</v>
      </c>
      <c r="E2232" s="93">
        <v>45771</v>
      </c>
      <c r="F2232" s="98">
        <v>90125</v>
      </c>
      <c r="G2232" s="98">
        <v>90125</v>
      </c>
    </row>
    <row r="2233" spans="1:7">
      <c r="A2233" s="56" t="s">
        <v>853</v>
      </c>
      <c r="B2233" s="56" t="s">
        <v>321</v>
      </c>
      <c r="C2233" s="57" t="s">
        <v>35</v>
      </c>
      <c r="D2233" s="36" t="s">
        <v>61</v>
      </c>
      <c r="E2233" s="93">
        <v>45954</v>
      </c>
      <c r="F2233" s="98">
        <v>90125</v>
      </c>
      <c r="G2233" s="98">
        <v>90125</v>
      </c>
    </row>
    <row r="2234" spans="1:7">
      <c r="A2234" s="56" t="s">
        <v>853</v>
      </c>
      <c r="B2234" s="56" t="s">
        <v>321</v>
      </c>
      <c r="C2234" s="57" t="s">
        <v>35</v>
      </c>
      <c r="D2234" s="36" t="s">
        <v>61</v>
      </c>
      <c r="E2234" s="93">
        <v>46136</v>
      </c>
      <c r="F2234" s="98">
        <v>90125</v>
      </c>
      <c r="G2234" s="98">
        <v>90125</v>
      </c>
    </row>
    <row r="2235" spans="1:7">
      <c r="A2235" s="56" t="s">
        <v>853</v>
      </c>
      <c r="B2235" s="56" t="s">
        <v>321</v>
      </c>
      <c r="C2235" s="57" t="s">
        <v>35</v>
      </c>
      <c r="D2235" s="36" t="s">
        <v>61</v>
      </c>
      <c r="E2235" s="93">
        <v>46319</v>
      </c>
      <c r="F2235" s="98">
        <v>90125</v>
      </c>
      <c r="G2235" s="98">
        <v>90125</v>
      </c>
    </row>
    <row r="2236" spans="1:7">
      <c r="A2236" s="56" t="s">
        <v>853</v>
      </c>
      <c r="B2236" s="56" t="s">
        <v>321</v>
      </c>
      <c r="C2236" s="57" t="s">
        <v>35</v>
      </c>
      <c r="D2236" s="36" t="s">
        <v>61</v>
      </c>
      <c r="E2236" s="93">
        <v>46501</v>
      </c>
      <c r="F2236" s="98">
        <v>90125</v>
      </c>
      <c r="G2236" s="98">
        <v>90125</v>
      </c>
    </row>
    <row r="2237" spans="1:7">
      <c r="A2237" s="56" t="s">
        <v>853</v>
      </c>
      <c r="B2237" s="56" t="s">
        <v>321</v>
      </c>
      <c r="C2237" s="57" t="s">
        <v>35</v>
      </c>
      <c r="D2237" s="36" t="s">
        <v>61</v>
      </c>
      <c r="E2237" s="93">
        <v>46684</v>
      </c>
      <c r="F2237" s="98">
        <v>90125</v>
      </c>
      <c r="G2237" s="98">
        <v>90125</v>
      </c>
    </row>
    <row r="2238" spans="1:7">
      <c r="A2238" s="56" t="s">
        <v>853</v>
      </c>
      <c r="B2238" s="56" t="s">
        <v>321</v>
      </c>
      <c r="C2238" s="57" t="s">
        <v>35</v>
      </c>
      <c r="D2238" s="36" t="s">
        <v>61</v>
      </c>
      <c r="E2238" s="93">
        <v>46867</v>
      </c>
      <c r="F2238" s="98">
        <v>90125</v>
      </c>
      <c r="G2238" s="98">
        <v>90125</v>
      </c>
    </row>
    <row r="2239" spans="1:7">
      <c r="A2239" s="56" t="s">
        <v>853</v>
      </c>
      <c r="B2239" s="56" t="s">
        <v>321</v>
      </c>
      <c r="C2239" s="57" t="s">
        <v>35</v>
      </c>
      <c r="D2239" s="36" t="s">
        <v>61</v>
      </c>
      <c r="E2239" s="93">
        <v>47050</v>
      </c>
      <c r="F2239" s="98">
        <v>90125</v>
      </c>
      <c r="G2239" s="98">
        <v>90125</v>
      </c>
    </row>
    <row r="2240" spans="1:7">
      <c r="A2240" s="56" t="s">
        <v>853</v>
      </c>
      <c r="B2240" s="56" t="s">
        <v>321</v>
      </c>
      <c r="C2240" s="57" t="s">
        <v>35</v>
      </c>
      <c r="D2240" s="36" t="s">
        <v>61</v>
      </c>
      <c r="E2240" s="93">
        <v>47232</v>
      </c>
      <c r="F2240" s="98">
        <v>90125</v>
      </c>
      <c r="G2240" s="98">
        <v>90125</v>
      </c>
    </row>
    <row r="2241" spans="1:7">
      <c r="A2241" s="56" t="s">
        <v>853</v>
      </c>
      <c r="B2241" s="56" t="s">
        <v>321</v>
      </c>
      <c r="C2241" s="57" t="s">
        <v>35</v>
      </c>
      <c r="D2241" s="36" t="s">
        <v>61</v>
      </c>
      <c r="E2241" s="93">
        <v>47415</v>
      </c>
      <c r="F2241" s="98">
        <v>90125</v>
      </c>
      <c r="G2241" s="98">
        <v>3590125</v>
      </c>
    </row>
    <row r="2242" spans="1:7">
      <c r="A2242" s="87" t="s">
        <v>852</v>
      </c>
      <c r="B2242" s="87" t="s">
        <v>223</v>
      </c>
      <c r="C2242" s="88" t="s">
        <v>67</v>
      </c>
      <c r="D2242" s="87" t="s">
        <v>61</v>
      </c>
      <c r="E2242" s="89">
        <v>45589</v>
      </c>
      <c r="F2242" s="90">
        <v>12875</v>
      </c>
      <c r="G2242" s="90">
        <v>12875</v>
      </c>
    </row>
    <row r="2243" spans="1:7">
      <c r="A2243" s="56" t="s">
        <v>320</v>
      </c>
      <c r="B2243" s="56" t="s">
        <v>321</v>
      </c>
      <c r="C2243" s="57" t="s">
        <v>35</v>
      </c>
      <c r="D2243" s="36" t="s">
        <v>61</v>
      </c>
      <c r="E2243" s="93">
        <v>45771</v>
      </c>
      <c r="F2243" s="98">
        <v>12875</v>
      </c>
      <c r="G2243" s="98">
        <v>12875</v>
      </c>
    </row>
    <row r="2244" spans="1:7">
      <c r="A2244" s="56" t="s">
        <v>853</v>
      </c>
      <c r="B2244" s="56" t="s">
        <v>321</v>
      </c>
      <c r="C2244" s="57" t="s">
        <v>35</v>
      </c>
      <c r="D2244" s="36" t="s">
        <v>61</v>
      </c>
      <c r="E2244" s="93">
        <v>45954</v>
      </c>
      <c r="F2244" s="98">
        <v>12875</v>
      </c>
      <c r="G2244" s="98">
        <v>12875</v>
      </c>
    </row>
    <row r="2245" spans="1:7">
      <c r="A2245" s="56" t="s">
        <v>853</v>
      </c>
      <c r="B2245" s="56" t="s">
        <v>321</v>
      </c>
      <c r="C2245" s="57" t="s">
        <v>35</v>
      </c>
      <c r="D2245" s="36" t="s">
        <v>61</v>
      </c>
      <c r="E2245" s="93">
        <v>46136</v>
      </c>
      <c r="F2245" s="98">
        <v>12875</v>
      </c>
      <c r="G2245" s="98">
        <v>12875</v>
      </c>
    </row>
    <row r="2246" spans="1:7">
      <c r="A2246" s="56" t="s">
        <v>853</v>
      </c>
      <c r="B2246" s="56" t="s">
        <v>321</v>
      </c>
      <c r="C2246" s="57" t="s">
        <v>35</v>
      </c>
      <c r="D2246" s="36" t="s">
        <v>61</v>
      </c>
      <c r="E2246" s="93">
        <v>46319</v>
      </c>
      <c r="F2246" s="98">
        <v>12875</v>
      </c>
      <c r="G2246" s="98">
        <v>12875</v>
      </c>
    </row>
    <row r="2247" spans="1:7">
      <c r="A2247" s="56" t="s">
        <v>853</v>
      </c>
      <c r="B2247" s="56" t="s">
        <v>321</v>
      </c>
      <c r="C2247" s="57" t="s">
        <v>35</v>
      </c>
      <c r="D2247" s="36" t="s">
        <v>61</v>
      </c>
      <c r="E2247" s="93">
        <v>46501</v>
      </c>
      <c r="F2247" s="98">
        <v>12875</v>
      </c>
      <c r="G2247" s="98">
        <v>12875</v>
      </c>
    </row>
    <row r="2248" spans="1:7">
      <c r="A2248" s="56" t="s">
        <v>853</v>
      </c>
      <c r="B2248" s="56" t="s">
        <v>321</v>
      </c>
      <c r="C2248" s="57" t="s">
        <v>35</v>
      </c>
      <c r="D2248" s="36" t="s">
        <v>61</v>
      </c>
      <c r="E2248" s="93">
        <v>46684</v>
      </c>
      <c r="F2248" s="98">
        <v>12875</v>
      </c>
      <c r="G2248" s="98">
        <v>12875</v>
      </c>
    </row>
    <row r="2249" spans="1:7">
      <c r="A2249" s="56" t="s">
        <v>853</v>
      </c>
      <c r="B2249" s="56" t="s">
        <v>321</v>
      </c>
      <c r="C2249" s="57" t="s">
        <v>35</v>
      </c>
      <c r="D2249" s="36" t="s">
        <v>61</v>
      </c>
      <c r="E2249" s="93">
        <v>46867</v>
      </c>
      <c r="F2249" s="98">
        <v>12875</v>
      </c>
      <c r="G2249" s="98">
        <v>12875</v>
      </c>
    </row>
    <row r="2250" spans="1:7">
      <c r="A2250" s="56" t="s">
        <v>853</v>
      </c>
      <c r="B2250" s="56" t="s">
        <v>321</v>
      </c>
      <c r="C2250" s="57" t="s">
        <v>35</v>
      </c>
      <c r="D2250" s="36" t="s">
        <v>61</v>
      </c>
      <c r="E2250" s="93">
        <v>47050</v>
      </c>
      <c r="F2250" s="98">
        <v>12875</v>
      </c>
      <c r="G2250" s="98">
        <v>12875</v>
      </c>
    </row>
    <row r="2251" spans="1:7">
      <c r="A2251" s="56" t="s">
        <v>853</v>
      </c>
      <c r="B2251" s="56" t="s">
        <v>321</v>
      </c>
      <c r="C2251" s="57" t="s">
        <v>35</v>
      </c>
      <c r="D2251" s="36" t="s">
        <v>61</v>
      </c>
      <c r="E2251" s="93">
        <v>47232</v>
      </c>
      <c r="F2251" s="98">
        <v>12875</v>
      </c>
      <c r="G2251" s="98">
        <v>12875</v>
      </c>
    </row>
    <row r="2252" spans="1:7">
      <c r="A2252" s="56" t="s">
        <v>853</v>
      </c>
      <c r="B2252" s="56" t="s">
        <v>321</v>
      </c>
      <c r="C2252" s="57" t="s">
        <v>35</v>
      </c>
      <c r="D2252" s="36" t="s">
        <v>61</v>
      </c>
      <c r="E2252" s="93">
        <v>47415</v>
      </c>
      <c r="F2252" s="98">
        <v>12875</v>
      </c>
      <c r="G2252" s="98">
        <v>512875</v>
      </c>
    </row>
    <row r="2253" spans="1:7">
      <c r="A2253" s="87" t="s">
        <v>491</v>
      </c>
      <c r="B2253" s="87" t="s">
        <v>223</v>
      </c>
      <c r="C2253" s="88" t="s">
        <v>43</v>
      </c>
      <c r="D2253" s="87" t="s">
        <v>61</v>
      </c>
      <c r="E2253" s="89">
        <v>45620</v>
      </c>
      <c r="F2253" s="90">
        <v>30937.5</v>
      </c>
      <c r="G2253" s="90">
        <v>30937.5</v>
      </c>
    </row>
    <row r="2254" spans="1:7">
      <c r="A2254" s="56" t="s">
        <v>484</v>
      </c>
      <c r="B2254" s="56" t="s">
        <v>321</v>
      </c>
      <c r="C2254" s="57" t="s">
        <v>60</v>
      </c>
      <c r="D2254" s="36" t="s">
        <v>61</v>
      </c>
      <c r="E2254" s="93">
        <v>45801</v>
      </c>
      <c r="F2254" s="98">
        <v>30937.5</v>
      </c>
      <c r="G2254" s="98">
        <v>30937.5</v>
      </c>
    </row>
    <row r="2255" spans="1:7">
      <c r="A2255" s="56" t="s">
        <v>842</v>
      </c>
      <c r="B2255" s="56" t="s">
        <v>321</v>
      </c>
      <c r="C2255" s="57" t="s">
        <v>60</v>
      </c>
      <c r="D2255" s="36" t="s">
        <v>61</v>
      </c>
      <c r="E2255" s="93">
        <v>45985</v>
      </c>
      <c r="F2255" s="98">
        <v>30937.5</v>
      </c>
      <c r="G2255" s="98">
        <v>30937.5</v>
      </c>
    </row>
    <row r="2256" spans="1:7">
      <c r="A2256" s="56" t="s">
        <v>842</v>
      </c>
      <c r="B2256" s="56" t="s">
        <v>321</v>
      </c>
      <c r="C2256" s="57" t="s">
        <v>60</v>
      </c>
      <c r="D2256" s="36" t="s">
        <v>61</v>
      </c>
      <c r="E2256" s="93">
        <v>46166</v>
      </c>
      <c r="F2256" s="98">
        <v>30937.5</v>
      </c>
      <c r="G2256" s="98">
        <v>30937.5</v>
      </c>
    </row>
    <row r="2257" spans="1:7">
      <c r="A2257" s="56" t="s">
        <v>842</v>
      </c>
      <c r="B2257" s="56" t="s">
        <v>321</v>
      </c>
      <c r="C2257" s="57" t="s">
        <v>60</v>
      </c>
      <c r="D2257" s="36" t="s">
        <v>61</v>
      </c>
      <c r="E2257" s="93">
        <v>46350</v>
      </c>
      <c r="F2257" s="98">
        <v>30937.5</v>
      </c>
      <c r="G2257" s="98">
        <v>30937.5</v>
      </c>
    </row>
    <row r="2258" spans="1:7">
      <c r="A2258" s="56" t="s">
        <v>842</v>
      </c>
      <c r="B2258" s="56" t="s">
        <v>321</v>
      </c>
      <c r="C2258" s="57" t="s">
        <v>60</v>
      </c>
      <c r="D2258" s="36" t="s">
        <v>61</v>
      </c>
      <c r="E2258" s="93">
        <v>46531</v>
      </c>
      <c r="F2258" s="98">
        <v>30937.5</v>
      </c>
      <c r="G2258" s="98">
        <v>30937.5</v>
      </c>
    </row>
    <row r="2259" spans="1:7">
      <c r="A2259" s="56" t="s">
        <v>842</v>
      </c>
      <c r="B2259" s="56" t="s">
        <v>321</v>
      </c>
      <c r="C2259" s="57" t="s">
        <v>60</v>
      </c>
      <c r="D2259" s="36" t="s">
        <v>61</v>
      </c>
      <c r="E2259" s="93">
        <v>46715</v>
      </c>
      <c r="F2259" s="98">
        <v>30937.5</v>
      </c>
      <c r="G2259" s="98">
        <v>30937.5</v>
      </c>
    </row>
    <row r="2260" spans="1:7">
      <c r="A2260" s="56" t="s">
        <v>842</v>
      </c>
      <c r="B2260" s="56" t="s">
        <v>321</v>
      </c>
      <c r="C2260" s="57" t="s">
        <v>60</v>
      </c>
      <c r="D2260" s="36" t="s">
        <v>61</v>
      </c>
      <c r="E2260" s="93">
        <v>46897</v>
      </c>
      <c r="F2260" s="98">
        <v>30937.5</v>
      </c>
      <c r="G2260" s="98">
        <v>30937.5</v>
      </c>
    </row>
    <row r="2261" spans="1:7">
      <c r="A2261" s="56" t="s">
        <v>842</v>
      </c>
      <c r="B2261" s="56" t="s">
        <v>321</v>
      </c>
      <c r="C2261" s="57" t="s">
        <v>60</v>
      </c>
      <c r="D2261" s="36" t="s">
        <v>61</v>
      </c>
      <c r="E2261" s="93">
        <v>47081</v>
      </c>
      <c r="F2261" s="98">
        <v>30937.5</v>
      </c>
      <c r="G2261" s="98">
        <v>30937.5</v>
      </c>
    </row>
    <row r="2262" spans="1:7">
      <c r="A2262" s="56" t="s">
        <v>842</v>
      </c>
      <c r="B2262" s="56" t="s">
        <v>321</v>
      </c>
      <c r="C2262" s="57" t="s">
        <v>60</v>
      </c>
      <c r="D2262" s="36" t="s">
        <v>61</v>
      </c>
      <c r="E2262" s="93">
        <v>47262</v>
      </c>
      <c r="F2262" s="98">
        <v>30937.5</v>
      </c>
      <c r="G2262" s="98">
        <v>30937.5</v>
      </c>
    </row>
    <row r="2263" spans="1:7">
      <c r="A2263" s="56" t="s">
        <v>842</v>
      </c>
      <c r="B2263" s="56" t="s">
        <v>321</v>
      </c>
      <c r="C2263" s="57" t="s">
        <v>60</v>
      </c>
      <c r="D2263" s="36" t="s">
        <v>61</v>
      </c>
      <c r="E2263" s="93">
        <v>47446</v>
      </c>
      <c r="F2263" s="98">
        <v>30937.5</v>
      </c>
      <c r="G2263" s="98">
        <v>30937.5</v>
      </c>
    </row>
    <row r="2264" spans="1:7">
      <c r="A2264" s="56" t="s">
        <v>842</v>
      </c>
      <c r="B2264" s="56" t="s">
        <v>321</v>
      </c>
      <c r="C2264" s="57" t="s">
        <v>60</v>
      </c>
      <c r="D2264" s="36" t="s">
        <v>61</v>
      </c>
      <c r="E2264" s="93">
        <v>47627</v>
      </c>
      <c r="F2264" s="98">
        <v>30937.5</v>
      </c>
      <c r="G2264" s="98">
        <v>30937.5</v>
      </c>
    </row>
    <row r="2265" spans="1:7">
      <c r="A2265" s="56" t="s">
        <v>842</v>
      </c>
      <c r="B2265" s="56" t="s">
        <v>321</v>
      </c>
      <c r="C2265" s="57" t="s">
        <v>60</v>
      </c>
      <c r="D2265" s="36" t="s">
        <v>61</v>
      </c>
      <c r="E2265" s="93">
        <v>47811</v>
      </c>
      <c r="F2265" s="98">
        <v>30937.5</v>
      </c>
      <c r="G2265" s="98">
        <v>2780937.5</v>
      </c>
    </row>
    <row r="2266" spans="1:7">
      <c r="A2266" s="87" t="s">
        <v>575</v>
      </c>
      <c r="B2266" s="87" t="s">
        <v>223</v>
      </c>
      <c r="C2266" s="88" t="s">
        <v>67</v>
      </c>
      <c r="D2266" s="87" t="s">
        <v>61</v>
      </c>
      <c r="E2266" s="89">
        <v>45672</v>
      </c>
      <c r="F2266" s="90">
        <v>135975</v>
      </c>
      <c r="G2266" s="90">
        <v>135975</v>
      </c>
    </row>
    <row r="2267" spans="1:7">
      <c r="A2267" s="56" t="s">
        <v>579</v>
      </c>
      <c r="B2267" s="56" t="s">
        <v>321</v>
      </c>
      <c r="C2267" s="57" t="s">
        <v>35</v>
      </c>
      <c r="D2267" s="36" t="s">
        <v>61</v>
      </c>
      <c r="E2267" s="93">
        <v>45853</v>
      </c>
      <c r="F2267" s="98">
        <v>135975</v>
      </c>
      <c r="G2267" s="98">
        <v>135975</v>
      </c>
    </row>
    <row r="2268" spans="1:7">
      <c r="A2268" s="56" t="s">
        <v>758</v>
      </c>
      <c r="B2268" s="56" t="s">
        <v>321</v>
      </c>
      <c r="C2268" s="57" t="s">
        <v>35</v>
      </c>
      <c r="D2268" s="36" t="s">
        <v>61</v>
      </c>
      <c r="E2268" s="93">
        <v>46037</v>
      </c>
      <c r="F2268" s="98">
        <v>135975</v>
      </c>
      <c r="G2268" s="98">
        <v>135975</v>
      </c>
    </row>
    <row r="2269" spans="1:7">
      <c r="A2269" s="56" t="s">
        <v>758</v>
      </c>
      <c r="B2269" s="56" t="s">
        <v>321</v>
      </c>
      <c r="C2269" s="57" t="s">
        <v>35</v>
      </c>
      <c r="D2269" s="36" t="s">
        <v>61</v>
      </c>
      <c r="E2269" s="93">
        <v>46218</v>
      </c>
      <c r="F2269" s="98">
        <v>135975</v>
      </c>
      <c r="G2269" s="98">
        <v>135975</v>
      </c>
    </row>
    <row r="2270" spans="1:7">
      <c r="A2270" s="56" t="s">
        <v>758</v>
      </c>
      <c r="B2270" s="56" t="s">
        <v>321</v>
      </c>
      <c r="C2270" s="57" t="s">
        <v>35</v>
      </c>
      <c r="D2270" s="36" t="s">
        <v>61</v>
      </c>
      <c r="E2270" s="93">
        <v>46402</v>
      </c>
      <c r="F2270" s="98">
        <v>135975</v>
      </c>
      <c r="G2270" s="98">
        <v>135975</v>
      </c>
    </row>
    <row r="2271" spans="1:7">
      <c r="A2271" s="56" t="s">
        <v>758</v>
      </c>
      <c r="B2271" s="56" t="s">
        <v>321</v>
      </c>
      <c r="C2271" s="57" t="s">
        <v>35</v>
      </c>
      <c r="D2271" s="36" t="s">
        <v>61</v>
      </c>
      <c r="E2271" s="93">
        <v>46583</v>
      </c>
      <c r="F2271" s="98">
        <v>135975</v>
      </c>
      <c r="G2271" s="98">
        <v>135975</v>
      </c>
    </row>
    <row r="2272" spans="1:7">
      <c r="A2272" s="56" t="s">
        <v>758</v>
      </c>
      <c r="B2272" s="56" t="s">
        <v>321</v>
      </c>
      <c r="C2272" s="57" t="s">
        <v>35</v>
      </c>
      <c r="D2272" s="36" t="s">
        <v>61</v>
      </c>
      <c r="E2272" s="93">
        <v>46767</v>
      </c>
      <c r="F2272" s="98">
        <v>135975</v>
      </c>
      <c r="G2272" s="98">
        <v>135975</v>
      </c>
    </row>
    <row r="2273" spans="1:7">
      <c r="A2273" s="56" t="s">
        <v>758</v>
      </c>
      <c r="B2273" s="56" t="s">
        <v>321</v>
      </c>
      <c r="C2273" s="57" t="s">
        <v>35</v>
      </c>
      <c r="D2273" s="36" t="s">
        <v>61</v>
      </c>
      <c r="E2273" s="93">
        <v>46949</v>
      </c>
      <c r="F2273" s="98">
        <v>135975</v>
      </c>
      <c r="G2273" s="98">
        <v>135975</v>
      </c>
    </row>
    <row r="2274" spans="1:7">
      <c r="A2274" s="56" t="s">
        <v>758</v>
      </c>
      <c r="B2274" s="56" t="s">
        <v>321</v>
      </c>
      <c r="C2274" s="57" t="s">
        <v>35</v>
      </c>
      <c r="D2274" s="36" t="s">
        <v>61</v>
      </c>
      <c r="E2274" s="93">
        <v>47133</v>
      </c>
      <c r="F2274" s="98">
        <v>135975</v>
      </c>
      <c r="G2274" s="98">
        <v>135975</v>
      </c>
    </row>
    <row r="2275" spans="1:7">
      <c r="A2275" s="56" t="s">
        <v>758</v>
      </c>
      <c r="B2275" s="56" t="s">
        <v>321</v>
      </c>
      <c r="C2275" s="57" t="s">
        <v>35</v>
      </c>
      <c r="D2275" s="36" t="s">
        <v>61</v>
      </c>
      <c r="E2275" s="93">
        <v>47314</v>
      </c>
      <c r="F2275" s="98">
        <v>135975</v>
      </c>
      <c r="G2275" s="98">
        <v>135975</v>
      </c>
    </row>
    <row r="2276" spans="1:7">
      <c r="A2276" s="56" t="s">
        <v>758</v>
      </c>
      <c r="B2276" s="56" t="s">
        <v>321</v>
      </c>
      <c r="C2276" s="57" t="s">
        <v>35</v>
      </c>
      <c r="D2276" s="36" t="s">
        <v>61</v>
      </c>
      <c r="E2276" s="93">
        <v>47498</v>
      </c>
      <c r="F2276" s="98">
        <v>135975</v>
      </c>
      <c r="G2276" s="98">
        <v>135975</v>
      </c>
    </row>
    <row r="2277" spans="1:7">
      <c r="A2277" s="56" t="s">
        <v>758</v>
      </c>
      <c r="B2277" s="56" t="s">
        <v>321</v>
      </c>
      <c r="C2277" s="57" t="s">
        <v>35</v>
      </c>
      <c r="D2277" s="36" t="s">
        <v>61</v>
      </c>
      <c r="E2277" s="93">
        <v>47679</v>
      </c>
      <c r="F2277" s="98">
        <v>135975</v>
      </c>
      <c r="G2277" s="98">
        <v>135975</v>
      </c>
    </row>
    <row r="2278" spans="1:7">
      <c r="A2278" s="56" t="s">
        <v>758</v>
      </c>
      <c r="B2278" s="56" t="s">
        <v>321</v>
      </c>
      <c r="C2278" s="57" t="s">
        <v>35</v>
      </c>
      <c r="D2278" s="36" t="s">
        <v>61</v>
      </c>
      <c r="E2278" s="93">
        <v>47863</v>
      </c>
      <c r="F2278" s="98">
        <v>135975</v>
      </c>
      <c r="G2278" s="98">
        <v>135975</v>
      </c>
    </row>
    <row r="2279" spans="1:7">
      <c r="A2279" s="56" t="s">
        <v>758</v>
      </c>
      <c r="B2279" s="56" t="s">
        <v>321</v>
      </c>
      <c r="C2279" s="57" t="s">
        <v>35</v>
      </c>
      <c r="D2279" s="36" t="s">
        <v>61</v>
      </c>
      <c r="E2279" s="93">
        <v>48044</v>
      </c>
      <c r="F2279" s="98">
        <v>135975</v>
      </c>
      <c r="G2279" s="98">
        <v>5135975</v>
      </c>
    </row>
    <row r="2280" spans="1:7">
      <c r="A2280" s="87" t="s">
        <v>575</v>
      </c>
      <c r="B2280" s="87" t="s">
        <v>223</v>
      </c>
      <c r="C2280" s="88" t="s">
        <v>67</v>
      </c>
      <c r="D2280" s="87" t="s">
        <v>61</v>
      </c>
      <c r="E2280" s="89">
        <v>45672</v>
      </c>
      <c r="F2280" s="90">
        <v>54390</v>
      </c>
      <c r="G2280" s="90">
        <v>54390</v>
      </c>
    </row>
    <row r="2281" spans="1:7">
      <c r="A2281" s="56" t="s">
        <v>579</v>
      </c>
      <c r="B2281" s="56" t="s">
        <v>321</v>
      </c>
      <c r="C2281" s="57" t="s">
        <v>35</v>
      </c>
      <c r="D2281" s="36" t="s">
        <v>61</v>
      </c>
      <c r="E2281" s="93">
        <v>45853</v>
      </c>
      <c r="F2281" s="98">
        <v>54390</v>
      </c>
      <c r="G2281" s="98">
        <v>54390</v>
      </c>
    </row>
    <row r="2282" spans="1:7">
      <c r="A2282" s="56" t="s">
        <v>758</v>
      </c>
      <c r="B2282" s="56" t="s">
        <v>321</v>
      </c>
      <c r="C2282" s="57" t="s">
        <v>35</v>
      </c>
      <c r="D2282" s="36" t="s">
        <v>61</v>
      </c>
      <c r="E2282" s="93">
        <v>46037</v>
      </c>
      <c r="F2282" s="98">
        <v>54390</v>
      </c>
      <c r="G2282" s="98">
        <v>54390</v>
      </c>
    </row>
    <row r="2283" spans="1:7">
      <c r="A2283" s="56" t="s">
        <v>758</v>
      </c>
      <c r="B2283" s="56" t="s">
        <v>321</v>
      </c>
      <c r="C2283" s="57" t="s">
        <v>35</v>
      </c>
      <c r="D2283" s="36" t="s">
        <v>61</v>
      </c>
      <c r="E2283" s="93">
        <v>46218</v>
      </c>
      <c r="F2283" s="98">
        <v>54390</v>
      </c>
      <c r="G2283" s="98">
        <v>54390</v>
      </c>
    </row>
    <row r="2284" spans="1:7">
      <c r="A2284" s="56" t="s">
        <v>758</v>
      </c>
      <c r="B2284" s="56" t="s">
        <v>321</v>
      </c>
      <c r="C2284" s="57" t="s">
        <v>35</v>
      </c>
      <c r="D2284" s="36" t="s">
        <v>61</v>
      </c>
      <c r="E2284" s="93">
        <v>46402</v>
      </c>
      <c r="F2284" s="98">
        <v>54390</v>
      </c>
      <c r="G2284" s="98">
        <v>54390</v>
      </c>
    </row>
    <row r="2285" spans="1:7">
      <c r="A2285" s="56" t="s">
        <v>758</v>
      </c>
      <c r="B2285" s="56" t="s">
        <v>321</v>
      </c>
      <c r="C2285" s="57" t="s">
        <v>35</v>
      </c>
      <c r="D2285" s="36" t="s">
        <v>61</v>
      </c>
      <c r="E2285" s="93">
        <v>46583</v>
      </c>
      <c r="F2285" s="98">
        <v>54390</v>
      </c>
      <c r="G2285" s="98">
        <v>54390</v>
      </c>
    </row>
    <row r="2286" spans="1:7">
      <c r="A2286" s="56" t="s">
        <v>758</v>
      </c>
      <c r="B2286" s="56" t="s">
        <v>321</v>
      </c>
      <c r="C2286" s="57" t="s">
        <v>35</v>
      </c>
      <c r="D2286" s="36" t="s">
        <v>61</v>
      </c>
      <c r="E2286" s="93">
        <v>46767</v>
      </c>
      <c r="F2286" s="98">
        <v>54390</v>
      </c>
      <c r="G2286" s="98">
        <v>54390</v>
      </c>
    </row>
    <row r="2287" spans="1:7">
      <c r="A2287" s="56" t="s">
        <v>758</v>
      </c>
      <c r="B2287" s="56" t="s">
        <v>321</v>
      </c>
      <c r="C2287" s="57" t="s">
        <v>35</v>
      </c>
      <c r="D2287" s="36" t="s">
        <v>61</v>
      </c>
      <c r="E2287" s="93">
        <v>46949</v>
      </c>
      <c r="F2287" s="98">
        <v>54390</v>
      </c>
      <c r="G2287" s="98">
        <v>54390</v>
      </c>
    </row>
    <row r="2288" spans="1:7">
      <c r="A2288" s="56" t="s">
        <v>758</v>
      </c>
      <c r="B2288" s="56" t="s">
        <v>321</v>
      </c>
      <c r="C2288" s="57" t="s">
        <v>35</v>
      </c>
      <c r="D2288" s="36" t="s">
        <v>61</v>
      </c>
      <c r="E2288" s="93">
        <v>47133</v>
      </c>
      <c r="F2288" s="98">
        <v>54390</v>
      </c>
      <c r="G2288" s="98">
        <v>54390</v>
      </c>
    </row>
    <row r="2289" spans="1:7">
      <c r="A2289" s="56" t="s">
        <v>758</v>
      </c>
      <c r="B2289" s="56" t="s">
        <v>321</v>
      </c>
      <c r="C2289" s="57" t="s">
        <v>35</v>
      </c>
      <c r="D2289" s="36" t="s">
        <v>61</v>
      </c>
      <c r="E2289" s="93">
        <v>47314</v>
      </c>
      <c r="F2289" s="98">
        <v>54390</v>
      </c>
      <c r="G2289" s="98">
        <v>54390</v>
      </c>
    </row>
    <row r="2290" spans="1:7">
      <c r="A2290" s="56" t="s">
        <v>758</v>
      </c>
      <c r="B2290" s="56" t="s">
        <v>321</v>
      </c>
      <c r="C2290" s="57" t="s">
        <v>35</v>
      </c>
      <c r="D2290" s="36" t="s">
        <v>61</v>
      </c>
      <c r="E2290" s="93">
        <v>47498</v>
      </c>
      <c r="F2290" s="98">
        <v>54390</v>
      </c>
      <c r="G2290" s="98">
        <v>54390</v>
      </c>
    </row>
    <row r="2291" spans="1:7">
      <c r="A2291" s="56" t="s">
        <v>758</v>
      </c>
      <c r="B2291" s="56" t="s">
        <v>321</v>
      </c>
      <c r="C2291" s="57" t="s">
        <v>35</v>
      </c>
      <c r="D2291" s="36" t="s">
        <v>61</v>
      </c>
      <c r="E2291" s="93">
        <v>47679</v>
      </c>
      <c r="F2291" s="98">
        <v>54390</v>
      </c>
      <c r="G2291" s="98">
        <v>54390</v>
      </c>
    </row>
    <row r="2292" spans="1:7">
      <c r="A2292" s="56" t="s">
        <v>758</v>
      </c>
      <c r="B2292" s="56" t="s">
        <v>321</v>
      </c>
      <c r="C2292" s="57" t="s">
        <v>35</v>
      </c>
      <c r="D2292" s="36" t="s">
        <v>61</v>
      </c>
      <c r="E2292" s="93">
        <v>47863</v>
      </c>
      <c r="F2292" s="98">
        <v>54390</v>
      </c>
      <c r="G2292" s="98">
        <v>54390</v>
      </c>
    </row>
    <row r="2293" spans="1:7">
      <c r="A2293" s="56" t="s">
        <v>758</v>
      </c>
      <c r="B2293" s="56" t="s">
        <v>321</v>
      </c>
      <c r="C2293" s="57" t="s">
        <v>35</v>
      </c>
      <c r="D2293" s="36" t="s">
        <v>61</v>
      </c>
      <c r="E2293" s="93">
        <v>48044</v>
      </c>
      <c r="F2293" s="98">
        <v>54390</v>
      </c>
      <c r="G2293" s="98">
        <v>2054390</v>
      </c>
    </row>
    <row r="2294" spans="1:7">
      <c r="A2294" s="87" t="s">
        <v>852</v>
      </c>
      <c r="B2294" s="87" t="s">
        <v>223</v>
      </c>
      <c r="C2294" s="88" t="s">
        <v>67</v>
      </c>
      <c r="D2294" s="87" t="s">
        <v>61</v>
      </c>
      <c r="E2294" s="89">
        <v>45589</v>
      </c>
      <c r="F2294" s="90">
        <v>72100</v>
      </c>
      <c r="G2294" s="90">
        <v>72100</v>
      </c>
    </row>
    <row r="2295" spans="1:7">
      <c r="A2295" s="56" t="s">
        <v>320</v>
      </c>
      <c r="B2295" s="56" t="s">
        <v>321</v>
      </c>
      <c r="C2295" s="57" t="s">
        <v>35</v>
      </c>
      <c r="D2295" s="36" t="s">
        <v>61</v>
      </c>
      <c r="E2295" s="93">
        <v>45771</v>
      </c>
      <c r="F2295" s="98">
        <v>72100</v>
      </c>
      <c r="G2295" s="98">
        <v>72100</v>
      </c>
    </row>
    <row r="2296" spans="1:7">
      <c r="A2296" s="56" t="s">
        <v>853</v>
      </c>
      <c r="B2296" s="56" t="s">
        <v>321</v>
      </c>
      <c r="C2296" s="57" t="s">
        <v>35</v>
      </c>
      <c r="D2296" s="36" t="s">
        <v>61</v>
      </c>
      <c r="E2296" s="93">
        <v>45954</v>
      </c>
      <c r="F2296" s="98">
        <v>72100</v>
      </c>
      <c r="G2296" s="98">
        <v>72100</v>
      </c>
    </row>
    <row r="2297" spans="1:7">
      <c r="A2297" s="56" t="s">
        <v>853</v>
      </c>
      <c r="B2297" s="56" t="s">
        <v>321</v>
      </c>
      <c r="C2297" s="57" t="s">
        <v>35</v>
      </c>
      <c r="D2297" s="36" t="s">
        <v>61</v>
      </c>
      <c r="E2297" s="93">
        <v>46136</v>
      </c>
      <c r="F2297" s="98">
        <v>72100</v>
      </c>
      <c r="G2297" s="98">
        <v>72100</v>
      </c>
    </row>
    <row r="2298" spans="1:7">
      <c r="A2298" s="56" t="s">
        <v>853</v>
      </c>
      <c r="B2298" s="56" t="s">
        <v>321</v>
      </c>
      <c r="C2298" s="57" t="s">
        <v>35</v>
      </c>
      <c r="D2298" s="36" t="s">
        <v>61</v>
      </c>
      <c r="E2298" s="93">
        <v>46319</v>
      </c>
      <c r="F2298" s="98">
        <v>72100</v>
      </c>
      <c r="G2298" s="98">
        <v>72100</v>
      </c>
    </row>
    <row r="2299" spans="1:7">
      <c r="A2299" s="56" t="s">
        <v>853</v>
      </c>
      <c r="B2299" s="56" t="s">
        <v>321</v>
      </c>
      <c r="C2299" s="57" t="s">
        <v>35</v>
      </c>
      <c r="D2299" s="36" t="s">
        <v>61</v>
      </c>
      <c r="E2299" s="93">
        <v>46501</v>
      </c>
      <c r="F2299" s="98">
        <v>72100</v>
      </c>
      <c r="G2299" s="98">
        <v>72100</v>
      </c>
    </row>
    <row r="2300" spans="1:7">
      <c r="A2300" s="56" t="s">
        <v>853</v>
      </c>
      <c r="B2300" s="56" t="s">
        <v>321</v>
      </c>
      <c r="C2300" s="57" t="s">
        <v>35</v>
      </c>
      <c r="D2300" s="36" t="s">
        <v>61</v>
      </c>
      <c r="E2300" s="93">
        <v>46684</v>
      </c>
      <c r="F2300" s="98">
        <v>72100</v>
      </c>
      <c r="G2300" s="98">
        <v>72100</v>
      </c>
    </row>
    <row r="2301" spans="1:7">
      <c r="A2301" s="56" t="s">
        <v>853</v>
      </c>
      <c r="B2301" s="56" t="s">
        <v>321</v>
      </c>
      <c r="C2301" s="57" t="s">
        <v>35</v>
      </c>
      <c r="D2301" s="36" t="s">
        <v>61</v>
      </c>
      <c r="E2301" s="93">
        <v>46867</v>
      </c>
      <c r="F2301" s="98">
        <v>72100</v>
      </c>
      <c r="G2301" s="98">
        <v>72100</v>
      </c>
    </row>
    <row r="2302" spans="1:7">
      <c r="A2302" s="56" t="s">
        <v>853</v>
      </c>
      <c r="B2302" s="56" t="s">
        <v>321</v>
      </c>
      <c r="C2302" s="57" t="s">
        <v>35</v>
      </c>
      <c r="D2302" s="36" t="s">
        <v>61</v>
      </c>
      <c r="E2302" s="93">
        <v>47050</v>
      </c>
      <c r="F2302" s="98">
        <v>72100</v>
      </c>
      <c r="G2302" s="98">
        <v>72100</v>
      </c>
    </row>
    <row r="2303" spans="1:7">
      <c r="A2303" s="56" t="s">
        <v>853</v>
      </c>
      <c r="B2303" s="56" t="s">
        <v>321</v>
      </c>
      <c r="C2303" s="57" t="s">
        <v>35</v>
      </c>
      <c r="D2303" s="36" t="s">
        <v>61</v>
      </c>
      <c r="E2303" s="93">
        <v>47232</v>
      </c>
      <c r="F2303" s="98">
        <v>72100</v>
      </c>
      <c r="G2303" s="98">
        <v>72100</v>
      </c>
    </row>
    <row r="2304" spans="1:7">
      <c r="A2304" s="56" t="s">
        <v>853</v>
      </c>
      <c r="B2304" s="56" t="s">
        <v>321</v>
      </c>
      <c r="C2304" s="57" t="s">
        <v>35</v>
      </c>
      <c r="D2304" s="36" t="s">
        <v>61</v>
      </c>
      <c r="E2304" s="93">
        <v>47415</v>
      </c>
      <c r="F2304" s="98">
        <v>72100</v>
      </c>
      <c r="G2304" s="98">
        <v>2872100</v>
      </c>
    </row>
    <row r="2305" spans="1:7">
      <c r="A2305" s="87" t="s">
        <v>867</v>
      </c>
      <c r="B2305" s="87" t="s">
        <v>54</v>
      </c>
      <c r="C2305" s="88" t="s">
        <v>67</v>
      </c>
      <c r="D2305" s="87" t="s">
        <v>61</v>
      </c>
      <c r="E2305" s="89">
        <v>45573</v>
      </c>
      <c r="F2305" s="90">
        <v>9498.75</v>
      </c>
      <c r="G2305" s="90">
        <v>9498.75</v>
      </c>
    </row>
    <row r="2306" spans="1:7">
      <c r="A2306" s="56" t="s">
        <v>377</v>
      </c>
      <c r="B2306" s="56" t="s">
        <v>233</v>
      </c>
      <c r="C2306" s="57" t="s">
        <v>35</v>
      </c>
      <c r="D2306" s="36" t="s">
        <v>61</v>
      </c>
      <c r="E2306" s="93">
        <v>45755</v>
      </c>
      <c r="F2306" s="98">
        <v>9498.75</v>
      </c>
      <c r="G2306" s="98">
        <v>9498.75</v>
      </c>
    </row>
    <row r="2307" spans="1:7">
      <c r="A2307" s="56" t="s">
        <v>868</v>
      </c>
      <c r="B2307" s="56" t="s">
        <v>233</v>
      </c>
      <c r="C2307" s="57" t="s">
        <v>35</v>
      </c>
      <c r="D2307" s="36" t="s">
        <v>61</v>
      </c>
      <c r="E2307" s="93">
        <v>45938</v>
      </c>
      <c r="F2307" s="98">
        <v>9498.75</v>
      </c>
      <c r="G2307" s="98">
        <v>9498.75</v>
      </c>
    </row>
    <row r="2308" spans="1:7">
      <c r="A2308" s="56" t="s">
        <v>868</v>
      </c>
      <c r="B2308" s="56" t="s">
        <v>233</v>
      </c>
      <c r="C2308" s="57" t="s">
        <v>35</v>
      </c>
      <c r="D2308" s="36" t="s">
        <v>61</v>
      </c>
      <c r="E2308" s="93">
        <v>46120</v>
      </c>
      <c r="F2308" s="98">
        <v>9498.75</v>
      </c>
      <c r="G2308" s="98">
        <v>9498.75</v>
      </c>
    </row>
    <row r="2309" spans="1:7">
      <c r="A2309" s="56" t="s">
        <v>868</v>
      </c>
      <c r="B2309" s="56" t="s">
        <v>233</v>
      </c>
      <c r="C2309" s="57" t="s">
        <v>35</v>
      </c>
      <c r="D2309" s="36" t="s">
        <v>61</v>
      </c>
      <c r="E2309" s="93">
        <v>46303</v>
      </c>
      <c r="F2309" s="98">
        <v>9498.75</v>
      </c>
      <c r="G2309" s="98">
        <v>9498.75</v>
      </c>
    </row>
    <row r="2310" spans="1:7">
      <c r="A2310" s="56" t="s">
        <v>868</v>
      </c>
      <c r="B2310" s="56" t="s">
        <v>233</v>
      </c>
      <c r="C2310" s="57" t="s">
        <v>35</v>
      </c>
      <c r="D2310" s="36" t="s">
        <v>61</v>
      </c>
      <c r="E2310" s="93">
        <v>46485</v>
      </c>
      <c r="F2310" s="98">
        <v>9498.75</v>
      </c>
      <c r="G2310" s="98">
        <v>9498.75</v>
      </c>
    </row>
    <row r="2311" spans="1:7">
      <c r="A2311" s="56" t="s">
        <v>868</v>
      </c>
      <c r="B2311" s="56" t="s">
        <v>233</v>
      </c>
      <c r="C2311" s="57" t="s">
        <v>35</v>
      </c>
      <c r="D2311" s="36" t="s">
        <v>61</v>
      </c>
      <c r="E2311" s="93">
        <v>46668</v>
      </c>
      <c r="F2311" s="98">
        <v>9498.75</v>
      </c>
      <c r="G2311" s="98">
        <v>9498.75</v>
      </c>
    </row>
    <row r="2312" spans="1:7">
      <c r="A2312" s="56" t="s">
        <v>868</v>
      </c>
      <c r="B2312" s="56" t="s">
        <v>233</v>
      </c>
      <c r="C2312" s="57" t="s">
        <v>35</v>
      </c>
      <c r="D2312" s="36" t="s">
        <v>61</v>
      </c>
      <c r="E2312" s="93">
        <v>46851</v>
      </c>
      <c r="F2312" s="98">
        <v>9498.75</v>
      </c>
      <c r="G2312" s="98">
        <v>9498.75</v>
      </c>
    </row>
    <row r="2313" spans="1:7">
      <c r="A2313" s="56" t="s">
        <v>868</v>
      </c>
      <c r="B2313" s="56" t="s">
        <v>233</v>
      </c>
      <c r="C2313" s="57" t="s">
        <v>35</v>
      </c>
      <c r="D2313" s="36" t="s">
        <v>61</v>
      </c>
      <c r="E2313" s="93">
        <v>47034</v>
      </c>
      <c r="F2313" s="98">
        <v>9498.75</v>
      </c>
      <c r="G2313" s="98">
        <v>9498.75</v>
      </c>
    </row>
    <row r="2314" spans="1:7">
      <c r="A2314" s="56" t="s">
        <v>868</v>
      </c>
      <c r="B2314" s="56" t="s">
        <v>233</v>
      </c>
      <c r="C2314" s="57" t="s">
        <v>35</v>
      </c>
      <c r="D2314" s="36" t="s">
        <v>61</v>
      </c>
      <c r="E2314" s="93">
        <v>47216</v>
      </c>
      <c r="F2314" s="98">
        <v>9498.75</v>
      </c>
      <c r="G2314" s="98">
        <v>9498.75</v>
      </c>
    </row>
    <row r="2315" spans="1:7">
      <c r="A2315" s="56" t="s">
        <v>868</v>
      </c>
      <c r="B2315" s="56" t="s">
        <v>233</v>
      </c>
      <c r="C2315" s="57" t="s">
        <v>35</v>
      </c>
      <c r="D2315" s="36" t="s">
        <v>61</v>
      </c>
      <c r="E2315" s="93">
        <v>47399</v>
      </c>
      <c r="F2315" s="98">
        <v>9498.75</v>
      </c>
      <c r="G2315" s="98">
        <v>9498.75</v>
      </c>
    </row>
    <row r="2316" spans="1:7">
      <c r="A2316" s="56" t="s">
        <v>868</v>
      </c>
      <c r="B2316" s="56" t="s">
        <v>233</v>
      </c>
      <c r="C2316" s="57" t="s">
        <v>35</v>
      </c>
      <c r="D2316" s="36" t="s">
        <v>61</v>
      </c>
      <c r="E2316" s="93">
        <v>47581</v>
      </c>
      <c r="F2316" s="98">
        <v>9498.75</v>
      </c>
      <c r="G2316" s="98">
        <v>307498.75</v>
      </c>
    </row>
    <row r="2317" spans="1:7">
      <c r="A2317" s="87" t="s">
        <v>867</v>
      </c>
      <c r="B2317" s="87" t="s">
        <v>54</v>
      </c>
      <c r="C2317" s="88" t="s">
        <v>67</v>
      </c>
      <c r="D2317" s="87" t="s">
        <v>61</v>
      </c>
      <c r="E2317" s="89">
        <v>45573</v>
      </c>
      <c r="F2317" s="90">
        <v>127500</v>
      </c>
      <c r="G2317" s="90">
        <v>127500</v>
      </c>
    </row>
    <row r="2318" spans="1:7">
      <c r="A2318" s="56" t="s">
        <v>868</v>
      </c>
      <c r="B2318" s="56" t="s">
        <v>233</v>
      </c>
      <c r="C2318" s="57" t="s">
        <v>35</v>
      </c>
      <c r="D2318" s="36" t="s">
        <v>61</v>
      </c>
      <c r="E2318" s="93">
        <v>45755</v>
      </c>
      <c r="F2318" s="98">
        <v>127500</v>
      </c>
      <c r="G2318" s="98">
        <v>127500</v>
      </c>
    </row>
    <row r="2319" spans="1:7">
      <c r="A2319" s="56" t="s">
        <v>868</v>
      </c>
      <c r="B2319" s="56" t="s">
        <v>233</v>
      </c>
      <c r="C2319" s="57" t="s">
        <v>35</v>
      </c>
      <c r="D2319" s="36" t="s">
        <v>61</v>
      </c>
      <c r="E2319" s="93">
        <v>45938</v>
      </c>
      <c r="F2319" s="98">
        <v>127500</v>
      </c>
      <c r="G2319" s="98">
        <v>127500</v>
      </c>
    </row>
    <row r="2320" spans="1:7">
      <c r="A2320" s="56" t="s">
        <v>868</v>
      </c>
      <c r="B2320" s="56" t="s">
        <v>233</v>
      </c>
      <c r="C2320" s="57" t="s">
        <v>35</v>
      </c>
      <c r="D2320" s="36" t="s">
        <v>61</v>
      </c>
      <c r="E2320" s="93">
        <v>46120</v>
      </c>
      <c r="F2320" s="98">
        <v>127500</v>
      </c>
      <c r="G2320" s="98">
        <v>127500</v>
      </c>
    </row>
    <row r="2321" spans="1:7">
      <c r="A2321" s="56" t="s">
        <v>868</v>
      </c>
      <c r="B2321" s="56" t="s">
        <v>233</v>
      </c>
      <c r="C2321" s="57" t="s">
        <v>35</v>
      </c>
      <c r="D2321" s="36" t="s">
        <v>61</v>
      </c>
      <c r="E2321" s="93">
        <v>46303</v>
      </c>
      <c r="F2321" s="98">
        <v>127500</v>
      </c>
      <c r="G2321" s="98">
        <v>127500</v>
      </c>
    </row>
    <row r="2322" spans="1:7">
      <c r="A2322" s="56" t="s">
        <v>868</v>
      </c>
      <c r="B2322" s="56" t="s">
        <v>233</v>
      </c>
      <c r="C2322" s="57" t="s">
        <v>35</v>
      </c>
      <c r="D2322" s="36" t="s">
        <v>61</v>
      </c>
      <c r="E2322" s="93">
        <v>46485</v>
      </c>
      <c r="F2322" s="98">
        <v>127500</v>
      </c>
      <c r="G2322" s="98">
        <v>127500</v>
      </c>
    </row>
    <row r="2323" spans="1:7">
      <c r="A2323" s="56" t="s">
        <v>868</v>
      </c>
      <c r="B2323" s="56" t="s">
        <v>233</v>
      </c>
      <c r="C2323" s="57" t="s">
        <v>35</v>
      </c>
      <c r="D2323" s="36" t="s">
        <v>61</v>
      </c>
      <c r="E2323" s="93">
        <v>46668</v>
      </c>
      <c r="F2323" s="98">
        <v>127500</v>
      </c>
      <c r="G2323" s="98">
        <v>127500</v>
      </c>
    </row>
    <row r="2324" spans="1:7">
      <c r="A2324" s="56" t="s">
        <v>868</v>
      </c>
      <c r="B2324" s="56" t="s">
        <v>233</v>
      </c>
      <c r="C2324" s="57" t="s">
        <v>35</v>
      </c>
      <c r="D2324" s="36" t="s">
        <v>61</v>
      </c>
      <c r="E2324" s="93">
        <v>46851</v>
      </c>
      <c r="F2324" s="98">
        <v>127500</v>
      </c>
      <c r="G2324" s="98">
        <v>127500</v>
      </c>
    </row>
    <row r="2325" spans="1:7">
      <c r="A2325" s="56" t="s">
        <v>868</v>
      </c>
      <c r="B2325" s="56" t="s">
        <v>233</v>
      </c>
      <c r="C2325" s="57" t="s">
        <v>35</v>
      </c>
      <c r="D2325" s="36" t="s">
        <v>61</v>
      </c>
      <c r="E2325" s="93">
        <v>47034</v>
      </c>
      <c r="F2325" s="98">
        <v>127500</v>
      </c>
      <c r="G2325" s="98">
        <v>127500</v>
      </c>
    </row>
    <row r="2326" spans="1:7">
      <c r="A2326" s="56" t="s">
        <v>868</v>
      </c>
      <c r="B2326" s="56" t="s">
        <v>233</v>
      </c>
      <c r="C2326" s="57" t="s">
        <v>35</v>
      </c>
      <c r="D2326" s="36" t="s">
        <v>61</v>
      </c>
      <c r="E2326" s="93">
        <v>47216</v>
      </c>
      <c r="F2326" s="98">
        <v>127500</v>
      </c>
      <c r="G2326" s="98">
        <v>127500</v>
      </c>
    </row>
    <row r="2327" spans="1:7">
      <c r="A2327" s="56" t="s">
        <v>868</v>
      </c>
      <c r="B2327" s="56" t="s">
        <v>233</v>
      </c>
      <c r="C2327" s="57" t="s">
        <v>35</v>
      </c>
      <c r="D2327" s="36" t="s">
        <v>61</v>
      </c>
      <c r="E2327" s="93">
        <v>47399</v>
      </c>
      <c r="F2327" s="98">
        <v>127500</v>
      </c>
      <c r="G2327" s="98">
        <v>127500</v>
      </c>
    </row>
    <row r="2328" spans="1:7">
      <c r="A2328" s="56" t="s">
        <v>868</v>
      </c>
      <c r="B2328" s="56" t="s">
        <v>233</v>
      </c>
      <c r="C2328" s="57" t="s">
        <v>35</v>
      </c>
      <c r="D2328" s="36" t="s">
        <v>61</v>
      </c>
      <c r="E2328" s="93">
        <v>47581</v>
      </c>
      <c r="F2328" s="98">
        <v>127500</v>
      </c>
      <c r="G2328" s="98">
        <v>4127500</v>
      </c>
    </row>
    <row r="2329" spans="1:7">
      <c r="A2329" s="87" t="s">
        <v>791</v>
      </c>
      <c r="B2329" s="87" t="s">
        <v>77</v>
      </c>
      <c r="C2329" s="88" t="s">
        <v>43</v>
      </c>
      <c r="D2329" s="87" t="s">
        <v>61</v>
      </c>
      <c r="E2329" s="89">
        <v>45703</v>
      </c>
      <c r="F2329" s="90">
        <v>140450</v>
      </c>
      <c r="G2329" s="90">
        <v>140450</v>
      </c>
    </row>
    <row r="2330" spans="1:7">
      <c r="A2330" s="56" t="s">
        <v>515</v>
      </c>
      <c r="B2330" s="56" t="s">
        <v>364</v>
      </c>
      <c r="C2330" s="57" t="s">
        <v>60</v>
      </c>
      <c r="D2330" s="36" t="s">
        <v>61</v>
      </c>
      <c r="E2330" s="93">
        <v>45884</v>
      </c>
      <c r="F2330" s="98">
        <v>140450</v>
      </c>
      <c r="G2330" s="98">
        <v>140450</v>
      </c>
    </row>
    <row r="2331" spans="1:7">
      <c r="A2331" s="56" t="s">
        <v>792</v>
      </c>
      <c r="B2331" s="56" t="s">
        <v>364</v>
      </c>
      <c r="C2331" s="57" t="s">
        <v>60</v>
      </c>
      <c r="D2331" s="36" t="s">
        <v>61</v>
      </c>
      <c r="E2331" s="93">
        <v>46068</v>
      </c>
      <c r="F2331" s="98">
        <v>140450</v>
      </c>
      <c r="G2331" s="98">
        <v>140450</v>
      </c>
    </row>
    <row r="2332" spans="1:7">
      <c r="A2332" s="56" t="s">
        <v>792</v>
      </c>
      <c r="B2332" s="56" t="s">
        <v>364</v>
      </c>
      <c r="C2332" s="57" t="s">
        <v>60</v>
      </c>
      <c r="D2332" s="36" t="s">
        <v>61</v>
      </c>
      <c r="E2332" s="93">
        <v>46249</v>
      </c>
      <c r="F2332" s="98">
        <v>140450</v>
      </c>
      <c r="G2332" s="98">
        <v>140450</v>
      </c>
    </row>
    <row r="2333" spans="1:7">
      <c r="A2333" s="56" t="s">
        <v>792</v>
      </c>
      <c r="B2333" s="56" t="s">
        <v>364</v>
      </c>
      <c r="C2333" s="57" t="s">
        <v>60</v>
      </c>
      <c r="D2333" s="36" t="s">
        <v>61</v>
      </c>
      <c r="E2333" s="93">
        <v>46433</v>
      </c>
      <c r="F2333" s="98">
        <v>140450</v>
      </c>
      <c r="G2333" s="98">
        <v>140450</v>
      </c>
    </row>
    <row r="2334" spans="1:7">
      <c r="A2334" s="56" t="s">
        <v>792</v>
      </c>
      <c r="B2334" s="56" t="s">
        <v>364</v>
      </c>
      <c r="C2334" s="57" t="s">
        <v>60</v>
      </c>
      <c r="D2334" s="36" t="s">
        <v>61</v>
      </c>
      <c r="E2334" s="93">
        <v>46614</v>
      </c>
      <c r="F2334" s="98">
        <v>140450</v>
      </c>
      <c r="G2334" s="98">
        <v>140450</v>
      </c>
    </row>
    <row r="2335" spans="1:7">
      <c r="A2335" s="56" t="s">
        <v>792</v>
      </c>
      <c r="B2335" s="56" t="s">
        <v>364</v>
      </c>
      <c r="C2335" s="57" t="s">
        <v>60</v>
      </c>
      <c r="D2335" s="36" t="s">
        <v>61</v>
      </c>
      <c r="E2335" s="93">
        <v>46798</v>
      </c>
      <c r="F2335" s="98">
        <v>140450</v>
      </c>
      <c r="G2335" s="98">
        <v>140450</v>
      </c>
    </row>
    <row r="2336" spans="1:7">
      <c r="A2336" s="56" t="s">
        <v>792</v>
      </c>
      <c r="B2336" s="56" t="s">
        <v>364</v>
      </c>
      <c r="C2336" s="57" t="s">
        <v>60</v>
      </c>
      <c r="D2336" s="36" t="s">
        <v>61</v>
      </c>
      <c r="E2336" s="93">
        <v>46980</v>
      </c>
      <c r="F2336" s="98">
        <v>140450</v>
      </c>
      <c r="G2336" s="98">
        <v>140450</v>
      </c>
    </row>
    <row r="2337" spans="1:7">
      <c r="A2337" s="56" t="s">
        <v>792</v>
      </c>
      <c r="B2337" s="56" t="s">
        <v>364</v>
      </c>
      <c r="C2337" s="57" t="s">
        <v>60</v>
      </c>
      <c r="D2337" s="36" t="s">
        <v>61</v>
      </c>
      <c r="E2337" s="93">
        <v>47164</v>
      </c>
      <c r="F2337" s="98">
        <v>140450</v>
      </c>
      <c r="G2337" s="98">
        <v>140450</v>
      </c>
    </row>
    <row r="2338" spans="1:7">
      <c r="A2338" s="56" t="s">
        <v>792</v>
      </c>
      <c r="B2338" s="56" t="s">
        <v>364</v>
      </c>
      <c r="C2338" s="57" t="s">
        <v>60</v>
      </c>
      <c r="D2338" s="36" t="s">
        <v>61</v>
      </c>
      <c r="E2338" s="93">
        <v>47345</v>
      </c>
      <c r="F2338" s="98">
        <v>140450</v>
      </c>
      <c r="G2338" s="98">
        <v>140450</v>
      </c>
    </row>
    <row r="2339" spans="1:7">
      <c r="A2339" s="56" t="s">
        <v>792</v>
      </c>
      <c r="B2339" s="56" t="s">
        <v>364</v>
      </c>
      <c r="C2339" s="57" t="s">
        <v>60</v>
      </c>
      <c r="D2339" s="36" t="s">
        <v>61</v>
      </c>
      <c r="E2339" s="93">
        <v>47529</v>
      </c>
      <c r="F2339" s="98">
        <v>140450</v>
      </c>
      <c r="G2339" s="98">
        <v>140450</v>
      </c>
    </row>
    <row r="2340" spans="1:7">
      <c r="A2340" s="56" t="s">
        <v>792</v>
      </c>
      <c r="B2340" s="56" t="s">
        <v>364</v>
      </c>
      <c r="C2340" s="57" t="s">
        <v>60</v>
      </c>
      <c r="D2340" s="36" t="s">
        <v>61</v>
      </c>
      <c r="E2340" s="93">
        <v>47710</v>
      </c>
      <c r="F2340" s="98">
        <v>140450</v>
      </c>
      <c r="G2340" s="98">
        <v>140450</v>
      </c>
    </row>
    <row r="2341" spans="1:7">
      <c r="A2341" s="56" t="s">
        <v>792</v>
      </c>
      <c r="B2341" s="56" t="s">
        <v>364</v>
      </c>
      <c r="C2341" s="57" t="s">
        <v>60</v>
      </c>
      <c r="D2341" s="36" t="s">
        <v>61</v>
      </c>
      <c r="E2341" s="93">
        <v>47894</v>
      </c>
      <c r="F2341" s="98">
        <v>140450</v>
      </c>
      <c r="G2341" s="98">
        <v>5440450</v>
      </c>
    </row>
    <row r="2342" spans="1:7">
      <c r="A2342" s="87" t="s">
        <v>869</v>
      </c>
      <c r="B2342" s="87" t="s">
        <v>77</v>
      </c>
      <c r="C2342" s="88" t="s">
        <v>67</v>
      </c>
      <c r="D2342" s="87" t="s">
        <v>61</v>
      </c>
      <c r="E2342" s="89">
        <v>45667</v>
      </c>
      <c r="F2342" s="90">
        <v>75750</v>
      </c>
      <c r="G2342" s="90">
        <v>75750</v>
      </c>
    </row>
    <row r="2343" spans="1:7">
      <c r="A2343" s="56" t="s">
        <v>572</v>
      </c>
      <c r="B2343" s="56" t="s">
        <v>364</v>
      </c>
      <c r="C2343" s="57" t="s">
        <v>35</v>
      </c>
      <c r="D2343" s="36" t="s">
        <v>61</v>
      </c>
      <c r="E2343" s="93">
        <v>45848</v>
      </c>
      <c r="F2343" s="98">
        <v>75750</v>
      </c>
      <c r="G2343" s="98">
        <v>75750</v>
      </c>
    </row>
    <row r="2344" spans="1:7">
      <c r="A2344" s="56" t="s">
        <v>870</v>
      </c>
      <c r="B2344" s="56" t="s">
        <v>364</v>
      </c>
      <c r="C2344" s="57" t="s">
        <v>35</v>
      </c>
      <c r="D2344" s="36" t="s">
        <v>61</v>
      </c>
      <c r="E2344" s="93">
        <v>46032</v>
      </c>
      <c r="F2344" s="98">
        <v>75750</v>
      </c>
      <c r="G2344" s="98">
        <v>75750</v>
      </c>
    </row>
    <row r="2345" spans="1:7">
      <c r="A2345" s="56" t="s">
        <v>870</v>
      </c>
      <c r="B2345" s="56" t="s">
        <v>364</v>
      </c>
      <c r="C2345" s="57" t="s">
        <v>35</v>
      </c>
      <c r="D2345" s="36" t="s">
        <v>61</v>
      </c>
      <c r="E2345" s="93">
        <v>46213</v>
      </c>
      <c r="F2345" s="98">
        <v>75750</v>
      </c>
      <c r="G2345" s="98">
        <v>75750</v>
      </c>
    </row>
    <row r="2346" spans="1:7">
      <c r="A2346" s="56" t="s">
        <v>870</v>
      </c>
      <c r="B2346" s="56" t="s">
        <v>364</v>
      </c>
      <c r="C2346" s="57" t="s">
        <v>35</v>
      </c>
      <c r="D2346" s="36" t="s">
        <v>61</v>
      </c>
      <c r="E2346" s="93">
        <v>46397</v>
      </c>
      <c r="F2346" s="98">
        <v>75750</v>
      </c>
      <c r="G2346" s="98">
        <v>75750</v>
      </c>
    </row>
    <row r="2347" spans="1:7">
      <c r="A2347" s="56" t="s">
        <v>870</v>
      </c>
      <c r="B2347" s="56" t="s">
        <v>364</v>
      </c>
      <c r="C2347" s="57" t="s">
        <v>35</v>
      </c>
      <c r="D2347" s="36" t="s">
        <v>61</v>
      </c>
      <c r="E2347" s="93">
        <v>46578</v>
      </c>
      <c r="F2347" s="98">
        <v>75750</v>
      </c>
      <c r="G2347" s="98">
        <v>75750</v>
      </c>
    </row>
    <row r="2348" spans="1:7">
      <c r="A2348" s="56" t="s">
        <v>870</v>
      </c>
      <c r="B2348" s="56" t="s">
        <v>364</v>
      </c>
      <c r="C2348" s="57" t="s">
        <v>35</v>
      </c>
      <c r="D2348" s="36" t="s">
        <v>61</v>
      </c>
      <c r="E2348" s="93">
        <v>46762</v>
      </c>
      <c r="F2348" s="98">
        <v>75750</v>
      </c>
      <c r="G2348" s="98">
        <v>75750</v>
      </c>
    </row>
    <row r="2349" spans="1:7">
      <c r="A2349" s="56" t="s">
        <v>870</v>
      </c>
      <c r="B2349" s="56" t="s">
        <v>364</v>
      </c>
      <c r="C2349" s="57" t="s">
        <v>35</v>
      </c>
      <c r="D2349" s="36" t="s">
        <v>61</v>
      </c>
      <c r="E2349" s="93">
        <v>46944</v>
      </c>
      <c r="F2349" s="98">
        <v>75750</v>
      </c>
      <c r="G2349" s="98">
        <v>75750</v>
      </c>
    </row>
    <row r="2350" spans="1:7">
      <c r="A2350" s="56" t="s">
        <v>870</v>
      </c>
      <c r="B2350" s="56" t="s">
        <v>364</v>
      </c>
      <c r="C2350" s="57" t="s">
        <v>35</v>
      </c>
      <c r="D2350" s="36" t="s">
        <v>61</v>
      </c>
      <c r="E2350" s="93">
        <v>47128</v>
      </c>
      <c r="F2350" s="98">
        <v>75750</v>
      </c>
      <c r="G2350" s="98">
        <v>75750</v>
      </c>
    </row>
    <row r="2351" spans="1:7">
      <c r="A2351" s="56" t="s">
        <v>870</v>
      </c>
      <c r="B2351" s="56" t="s">
        <v>364</v>
      </c>
      <c r="C2351" s="57" t="s">
        <v>35</v>
      </c>
      <c r="D2351" s="36" t="s">
        <v>61</v>
      </c>
      <c r="E2351" s="93">
        <v>47309</v>
      </c>
      <c r="F2351" s="98">
        <v>75750</v>
      </c>
      <c r="G2351" s="98">
        <v>75750</v>
      </c>
    </row>
    <row r="2352" spans="1:7">
      <c r="A2352" s="56" t="s">
        <v>870</v>
      </c>
      <c r="B2352" s="56" t="s">
        <v>364</v>
      </c>
      <c r="C2352" s="57" t="s">
        <v>35</v>
      </c>
      <c r="D2352" s="36" t="s">
        <v>61</v>
      </c>
      <c r="E2352" s="93">
        <v>47493</v>
      </c>
      <c r="F2352" s="98">
        <v>75750</v>
      </c>
      <c r="G2352" s="98">
        <v>75750</v>
      </c>
    </row>
    <row r="2353" spans="1:7">
      <c r="A2353" s="56" t="s">
        <v>870</v>
      </c>
      <c r="B2353" s="56" t="s">
        <v>364</v>
      </c>
      <c r="C2353" s="57" t="s">
        <v>35</v>
      </c>
      <c r="D2353" s="36" t="s">
        <v>61</v>
      </c>
      <c r="E2353" s="93">
        <v>47674</v>
      </c>
      <c r="F2353" s="98">
        <v>75750</v>
      </c>
      <c r="G2353" s="98">
        <v>75750</v>
      </c>
    </row>
    <row r="2354" spans="1:7">
      <c r="A2354" s="56" t="s">
        <v>870</v>
      </c>
      <c r="B2354" s="56" t="s">
        <v>364</v>
      </c>
      <c r="C2354" s="57" t="s">
        <v>35</v>
      </c>
      <c r="D2354" s="36" t="s">
        <v>61</v>
      </c>
      <c r="E2354" s="93">
        <v>47858</v>
      </c>
      <c r="F2354" s="98">
        <v>75750</v>
      </c>
      <c r="G2354" s="98">
        <v>75750</v>
      </c>
    </row>
    <row r="2355" spans="1:7">
      <c r="A2355" s="56" t="s">
        <v>870</v>
      </c>
      <c r="B2355" s="56" t="s">
        <v>364</v>
      </c>
      <c r="C2355" s="57" t="s">
        <v>35</v>
      </c>
      <c r="D2355" s="36" t="s">
        <v>61</v>
      </c>
      <c r="E2355" s="93">
        <v>48039</v>
      </c>
      <c r="F2355" s="98">
        <v>75750</v>
      </c>
      <c r="G2355" s="98">
        <v>3075750</v>
      </c>
    </row>
    <row r="2356" spans="1:7">
      <c r="A2356" s="87" t="s">
        <v>791</v>
      </c>
      <c r="B2356" s="87" t="s">
        <v>101</v>
      </c>
      <c r="C2356" s="88" t="s">
        <v>43</v>
      </c>
      <c r="D2356" s="87" t="s">
        <v>61</v>
      </c>
      <c r="E2356" s="89">
        <v>45703</v>
      </c>
      <c r="F2356" s="90">
        <v>79500</v>
      </c>
      <c r="G2356" s="90">
        <v>79500</v>
      </c>
    </row>
    <row r="2357" spans="1:7">
      <c r="A2357" s="56" t="s">
        <v>515</v>
      </c>
      <c r="B2357" s="56" t="s">
        <v>325</v>
      </c>
      <c r="C2357" s="57" t="s">
        <v>60</v>
      </c>
      <c r="D2357" s="36" t="s">
        <v>61</v>
      </c>
      <c r="E2357" s="93">
        <v>45884</v>
      </c>
      <c r="F2357" s="98">
        <v>79500</v>
      </c>
      <c r="G2357" s="98">
        <v>79500</v>
      </c>
    </row>
    <row r="2358" spans="1:7">
      <c r="A2358" s="56" t="s">
        <v>792</v>
      </c>
      <c r="B2358" s="56" t="s">
        <v>325</v>
      </c>
      <c r="C2358" s="57" t="s">
        <v>60</v>
      </c>
      <c r="D2358" s="36" t="s">
        <v>61</v>
      </c>
      <c r="E2358" s="93">
        <v>46068</v>
      </c>
      <c r="F2358" s="98">
        <v>79500</v>
      </c>
      <c r="G2358" s="98">
        <v>79500</v>
      </c>
    </row>
    <row r="2359" spans="1:7">
      <c r="A2359" s="56" t="s">
        <v>792</v>
      </c>
      <c r="B2359" s="56" t="s">
        <v>325</v>
      </c>
      <c r="C2359" s="57" t="s">
        <v>60</v>
      </c>
      <c r="D2359" s="36" t="s">
        <v>61</v>
      </c>
      <c r="E2359" s="93">
        <v>46249</v>
      </c>
      <c r="F2359" s="98">
        <v>79500</v>
      </c>
      <c r="G2359" s="98">
        <v>79500</v>
      </c>
    </row>
    <row r="2360" spans="1:7">
      <c r="A2360" s="56" t="s">
        <v>792</v>
      </c>
      <c r="B2360" s="56" t="s">
        <v>325</v>
      </c>
      <c r="C2360" s="57" t="s">
        <v>60</v>
      </c>
      <c r="D2360" s="36" t="s">
        <v>61</v>
      </c>
      <c r="E2360" s="93">
        <v>46433</v>
      </c>
      <c r="F2360" s="98">
        <v>79500</v>
      </c>
      <c r="G2360" s="98">
        <v>79500</v>
      </c>
    </row>
    <row r="2361" spans="1:7">
      <c r="A2361" s="56" t="s">
        <v>792</v>
      </c>
      <c r="B2361" s="56" t="s">
        <v>325</v>
      </c>
      <c r="C2361" s="57" t="s">
        <v>60</v>
      </c>
      <c r="D2361" s="36" t="s">
        <v>61</v>
      </c>
      <c r="E2361" s="93">
        <v>46614</v>
      </c>
      <c r="F2361" s="98">
        <v>79500</v>
      </c>
      <c r="G2361" s="98">
        <v>79500</v>
      </c>
    </row>
    <row r="2362" spans="1:7">
      <c r="A2362" s="56" t="s">
        <v>792</v>
      </c>
      <c r="B2362" s="56" t="s">
        <v>325</v>
      </c>
      <c r="C2362" s="57" t="s">
        <v>60</v>
      </c>
      <c r="D2362" s="36" t="s">
        <v>61</v>
      </c>
      <c r="E2362" s="93">
        <v>46798</v>
      </c>
      <c r="F2362" s="98">
        <v>79500</v>
      </c>
      <c r="G2362" s="98">
        <v>79500</v>
      </c>
    </row>
    <row r="2363" spans="1:7">
      <c r="A2363" s="56" t="s">
        <v>792</v>
      </c>
      <c r="B2363" s="56" t="s">
        <v>325</v>
      </c>
      <c r="C2363" s="57" t="s">
        <v>60</v>
      </c>
      <c r="D2363" s="36" t="s">
        <v>61</v>
      </c>
      <c r="E2363" s="93">
        <v>46980</v>
      </c>
      <c r="F2363" s="98">
        <v>79500</v>
      </c>
      <c r="G2363" s="98">
        <v>79500</v>
      </c>
    </row>
    <row r="2364" spans="1:7">
      <c r="A2364" s="56" t="s">
        <v>792</v>
      </c>
      <c r="B2364" s="56" t="s">
        <v>325</v>
      </c>
      <c r="C2364" s="57" t="s">
        <v>60</v>
      </c>
      <c r="D2364" s="36" t="s">
        <v>61</v>
      </c>
      <c r="E2364" s="93">
        <v>47164</v>
      </c>
      <c r="F2364" s="98">
        <v>79500</v>
      </c>
      <c r="G2364" s="98">
        <v>79500</v>
      </c>
    </row>
    <row r="2365" spans="1:7">
      <c r="A2365" s="56" t="s">
        <v>792</v>
      </c>
      <c r="B2365" s="56" t="s">
        <v>325</v>
      </c>
      <c r="C2365" s="57" t="s">
        <v>60</v>
      </c>
      <c r="D2365" s="36" t="s">
        <v>61</v>
      </c>
      <c r="E2365" s="93">
        <v>47345</v>
      </c>
      <c r="F2365" s="98">
        <v>79500</v>
      </c>
      <c r="G2365" s="98">
        <v>79500</v>
      </c>
    </row>
    <row r="2366" spans="1:7">
      <c r="A2366" s="56" t="s">
        <v>792</v>
      </c>
      <c r="B2366" s="56" t="s">
        <v>325</v>
      </c>
      <c r="C2366" s="57" t="s">
        <v>60</v>
      </c>
      <c r="D2366" s="36" t="s">
        <v>61</v>
      </c>
      <c r="E2366" s="93">
        <v>47529</v>
      </c>
      <c r="F2366" s="98">
        <v>79500</v>
      </c>
      <c r="G2366" s="98">
        <v>79500</v>
      </c>
    </row>
    <row r="2367" spans="1:7">
      <c r="A2367" s="56" t="s">
        <v>792</v>
      </c>
      <c r="B2367" s="56" t="s">
        <v>325</v>
      </c>
      <c r="C2367" s="57" t="s">
        <v>60</v>
      </c>
      <c r="D2367" s="36" t="s">
        <v>61</v>
      </c>
      <c r="E2367" s="93">
        <v>47710</v>
      </c>
      <c r="F2367" s="98">
        <v>79500</v>
      </c>
      <c r="G2367" s="98">
        <v>79500</v>
      </c>
    </row>
    <row r="2368" spans="1:7">
      <c r="A2368" s="56" t="s">
        <v>792</v>
      </c>
      <c r="B2368" s="56" t="s">
        <v>325</v>
      </c>
      <c r="C2368" s="57" t="s">
        <v>60</v>
      </c>
      <c r="D2368" s="36" t="s">
        <v>61</v>
      </c>
      <c r="E2368" s="93">
        <v>47894</v>
      </c>
      <c r="F2368" s="98">
        <v>79500</v>
      </c>
      <c r="G2368" s="98">
        <v>3079500</v>
      </c>
    </row>
    <row r="2369" spans="1:7">
      <c r="A2369" s="87" t="s">
        <v>871</v>
      </c>
      <c r="B2369" s="87" t="s">
        <v>101</v>
      </c>
      <c r="C2369" s="88" t="s">
        <v>43</v>
      </c>
      <c r="D2369" s="87" t="s">
        <v>61</v>
      </c>
      <c r="E2369" s="89">
        <v>45602</v>
      </c>
      <c r="F2369" s="90">
        <v>50000</v>
      </c>
      <c r="G2369" s="90">
        <v>50000</v>
      </c>
    </row>
    <row r="2370" spans="1:7">
      <c r="A2370" s="56" t="s">
        <v>547</v>
      </c>
      <c r="B2370" s="56" t="s">
        <v>325</v>
      </c>
      <c r="C2370" s="57" t="s">
        <v>60</v>
      </c>
      <c r="D2370" s="36" t="s">
        <v>61</v>
      </c>
      <c r="E2370" s="93">
        <v>45783</v>
      </c>
      <c r="F2370" s="98">
        <v>50000</v>
      </c>
      <c r="G2370" s="98">
        <v>50000</v>
      </c>
    </row>
    <row r="2371" spans="1:7">
      <c r="A2371" s="56" t="s">
        <v>872</v>
      </c>
      <c r="B2371" s="56" t="s">
        <v>325</v>
      </c>
      <c r="C2371" s="57" t="s">
        <v>60</v>
      </c>
      <c r="D2371" s="36" t="s">
        <v>61</v>
      </c>
      <c r="E2371" s="93">
        <v>45967</v>
      </c>
      <c r="F2371" s="98">
        <v>50000</v>
      </c>
      <c r="G2371" s="98">
        <v>50000</v>
      </c>
    </row>
    <row r="2372" spans="1:7">
      <c r="A2372" s="56" t="s">
        <v>872</v>
      </c>
      <c r="B2372" s="56" t="s">
        <v>325</v>
      </c>
      <c r="C2372" s="57" t="s">
        <v>60</v>
      </c>
      <c r="D2372" s="36" t="s">
        <v>61</v>
      </c>
      <c r="E2372" s="93">
        <v>46148</v>
      </c>
      <c r="F2372" s="98">
        <v>50000</v>
      </c>
      <c r="G2372" s="98">
        <v>50000</v>
      </c>
    </row>
    <row r="2373" spans="1:7">
      <c r="A2373" s="56" t="s">
        <v>872</v>
      </c>
      <c r="B2373" s="56" t="s">
        <v>325</v>
      </c>
      <c r="C2373" s="57" t="s">
        <v>60</v>
      </c>
      <c r="D2373" s="36" t="s">
        <v>61</v>
      </c>
      <c r="E2373" s="93">
        <v>46332</v>
      </c>
      <c r="F2373" s="98">
        <v>50000</v>
      </c>
      <c r="G2373" s="98">
        <v>50000</v>
      </c>
    </row>
    <row r="2374" spans="1:7">
      <c r="A2374" s="56" t="s">
        <v>872</v>
      </c>
      <c r="B2374" s="56" t="s">
        <v>325</v>
      </c>
      <c r="C2374" s="57" t="s">
        <v>60</v>
      </c>
      <c r="D2374" s="36" t="s">
        <v>61</v>
      </c>
      <c r="E2374" s="93">
        <v>46513</v>
      </c>
      <c r="F2374" s="98">
        <v>50000</v>
      </c>
      <c r="G2374" s="98">
        <v>50000</v>
      </c>
    </row>
    <row r="2375" spans="1:7">
      <c r="A2375" s="56" t="s">
        <v>872</v>
      </c>
      <c r="B2375" s="56" t="s">
        <v>325</v>
      </c>
      <c r="C2375" s="57" t="s">
        <v>60</v>
      </c>
      <c r="D2375" s="36" t="s">
        <v>61</v>
      </c>
      <c r="E2375" s="93">
        <v>46697</v>
      </c>
      <c r="F2375" s="98">
        <v>50000</v>
      </c>
      <c r="G2375" s="98">
        <v>50000</v>
      </c>
    </row>
    <row r="2376" spans="1:7">
      <c r="A2376" s="56" t="s">
        <v>872</v>
      </c>
      <c r="B2376" s="56" t="s">
        <v>325</v>
      </c>
      <c r="C2376" s="57" t="s">
        <v>60</v>
      </c>
      <c r="D2376" s="36" t="s">
        <v>61</v>
      </c>
      <c r="E2376" s="93">
        <v>46879</v>
      </c>
      <c r="F2376" s="98">
        <v>50000</v>
      </c>
      <c r="G2376" s="98">
        <v>50000</v>
      </c>
    </row>
    <row r="2377" spans="1:7">
      <c r="A2377" s="56" t="s">
        <v>872</v>
      </c>
      <c r="B2377" s="56" t="s">
        <v>325</v>
      </c>
      <c r="C2377" s="57" t="s">
        <v>60</v>
      </c>
      <c r="D2377" s="36" t="s">
        <v>61</v>
      </c>
      <c r="E2377" s="93">
        <v>47063</v>
      </c>
      <c r="F2377" s="98">
        <v>50000</v>
      </c>
      <c r="G2377" s="98">
        <v>50000</v>
      </c>
    </row>
    <row r="2378" spans="1:7">
      <c r="A2378" s="56" t="s">
        <v>872</v>
      </c>
      <c r="B2378" s="56" t="s">
        <v>325</v>
      </c>
      <c r="C2378" s="57" t="s">
        <v>60</v>
      </c>
      <c r="D2378" s="36" t="s">
        <v>61</v>
      </c>
      <c r="E2378" s="93">
        <v>47244</v>
      </c>
      <c r="F2378" s="98">
        <v>50000</v>
      </c>
      <c r="G2378" s="98">
        <v>50000</v>
      </c>
    </row>
    <row r="2379" spans="1:7">
      <c r="A2379" s="56" t="s">
        <v>872</v>
      </c>
      <c r="B2379" s="56" t="s">
        <v>325</v>
      </c>
      <c r="C2379" s="57" t="s">
        <v>60</v>
      </c>
      <c r="D2379" s="36" t="s">
        <v>61</v>
      </c>
      <c r="E2379" s="93">
        <v>47428</v>
      </c>
      <c r="F2379" s="98">
        <v>50000</v>
      </c>
      <c r="G2379" s="98">
        <v>50000</v>
      </c>
    </row>
    <row r="2380" spans="1:7">
      <c r="A2380" s="56" t="s">
        <v>872</v>
      </c>
      <c r="B2380" s="56" t="s">
        <v>325</v>
      </c>
      <c r="C2380" s="57" t="s">
        <v>60</v>
      </c>
      <c r="D2380" s="36" t="s">
        <v>61</v>
      </c>
      <c r="E2380" s="93">
        <v>47609</v>
      </c>
      <c r="F2380" s="98">
        <v>50000</v>
      </c>
      <c r="G2380" s="98">
        <v>50000</v>
      </c>
    </row>
    <row r="2381" spans="1:7">
      <c r="A2381" s="56" t="s">
        <v>872</v>
      </c>
      <c r="B2381" s="56" t="s">
        <v>325</v>
      </c>
      <c r="C2381" s="57" t="s">
        <v>60</v>
      </c>
      <c r="D2381" s="36" t="s">
        <v>61</v>
      </c>
      <c r="E2381" s="93">
        <v>47793</v>
      </c>
      <c r="F2381" s="98">
        <v>50000</v>
      </c>
      <c r="G2381" s="98">
        <v>50000</v>
      </c>
    </row>
    <row r="2382" spans="1:7">
      <c r="A2382" s="56" t="s">
        <v>872</v>
      </c>
      <c r="B2382" s="56" t="s">
        <v>325</v>
      </c>
      <c r="C2382" s="57" t="s">
        <v>60</v>
      </c>
      <c r="D2382" s="36" t="s">
        <v>61</v>
      </c>
      <c r="E2382" s="93">
        <v>47974</v>
      </c>
      <c r="F2382" s="98">
        <v>50000</v>
      </c>
      <c r="G2382" s="98">
        <v>4050000</v>
      </c>
    </row>
    <row r="2383" spans="1:7">
      <c r="A2383" s="87" t="s">
        <v>873</v>
      </c>
      <c r="B2383" s="87" t="s">
        <v>101</v>
      </c>
      <c r="C2383" s="88" t="s">
        <v>43</v>
      </c>
      <c r="D2383" s="87" t="s">
        <v>61</v>
      </c>
      <c r="E2383" s="89">
        <v>45665</v>
      </c>
      <c r="F2383" s="90">
        <v>50000</v>
      </c>
      <c r="G2383" s="90">
        <v>50000</v>
      </c>
    </row>
    <row r="2384" spans="1:7">
      <c r="A2384" s="56" t="s">
        <v>621</v>
      </c>
      <c r="B2384" s="56" t="s">
        <v>325</v>
      </c>
      <c r="C2384" s="57" t="s">
        <v>60</v>
      </c>
      <c r="D2384" s="36" t="s">
        <v>61</v>
      </c>
      <c r="E2384" s="93">
        <v>45846</v>
      </c>
      <c r="F2384" s="98">
        <v>50000</v>
      </c>
      <c r="G2384" s="98">
        <v>50000</v>
      </c>
    </row>
    <row r="2385" spans="1:7">
      <c r="A2385" s="56" t="s">
        <v>874</v>
      </c>
      <c r="B2385" s="56" t="s">
        <v>325</v>
      </c>
      <c r="C2385" s="57" t="s">
        <v>60</v>
      </c>
      <c r="D2385" s="36" t="s">
        <v>61</v>
      </c>
      <c r="E2385" s="93">
        <v>46030</v>
      </c>
      <c r="F2385" s="98">
        <v>50000</v>
      </c>
      <c r="G2385" s="98">
        <v>50000</v>
      </c>
    </row>
    <row r="2386" spans="1:7">
      <c r="A2386" s="56" t="s">
        <v>874</v>
      </c>
      <c r="B2386" s="56" t="s">
        <v>325</v>
      </c>
      <c r="C2386" s="57" t="s">
        <v>60</v>
      </c>
      <c r="D2386" s="36" t="s">
        <v>61</v>
      </c>
      <c r="E2386" s="93">
        <v>46211</v>
      </c>
      <c r="F2386" s="98">
        <v>50000</v>
      </c>
      <c r="G2386" s="98">
        <v>50000</v>
      </c>
    </row>
    <row r="2387" spans="1:7">
      <c r="A2387" s="56" t="s">
        <v>874</v>
      </c>
      <c r="B2387" s="56" t="s">
        <v>325</v>
      </c>
      <c r="C2387" s="57" t="s">
        <v>60</v>
      </c>
      <c r="D2387" s="36" t="s">
        <v>61</v>
      </c>
      <c r="E2387" s="93">
        <v>46395</v>
      </c>
      <c r="F2387" s="98">
        <v>50000</v>
      </c>
      <c r="G2387" s="98">
        <v>50000</v>
      </c>
    </row>
    <row r="2388" spans="1:7">
      <c r="A2388" s="56" t="s">
        <v>874</v>
      </c>
      <c r="B2388" s="56" t="s">
        <v>325</v>
      </c>
      <c r="C2388" s="57" t="s">
        <v>60</v>
      </c>
      <c r="D2388" s="36" t="s">
        <v>61</v>
      </c>
      <c r="E2388" s="93">
        <v>46576</v>
      </c>
      <c r="F2388" s="98">
        <v>50000</v>
      </c>
      <c r="G2388" s="98">
        <v>50000</v>
      </c>
    </row>
    <row r="2389" spans="1:7">
      <c r="A2389" s="56" t="s">
        <v>874</v>
      </c>
      <c r="B2389" s="56" t="s">
        <v>325</v>
      </c>
      <c r="C2389" s="57" t="s">
        <v>60</v>
      </c>
      <c r="D2389" s="36" t="s">
        <v>61</v>
      </c>
      <c r="E2389" s="93">
        <v>46760</v>
      </c>
      <c r="F2389" s="98">
        <v>50000</v>
      </c>
      <c r="G2389" s="98">
        <v>50000</v>
      </c>
    </row>
    <row r="2390" spans="1:7">
      <c r="A2390" s="56" t="s">
        <v>874</v>
      </c>
      <c r="B2390" s="56" t="s">
        <v>325</v>
      </c>
      <c r="C2390" s="57" t="s">
        <v>60</v>
      </c>
      <c r="D2390" s="36" t="s">
        <v>61</v>
      </c>
      <c r="E2390" s="93">
        <v>46942</v>
      </c>
      <c r="F2390" s="98">
        <v>50000</v>
      </c>
      <c r="G2390" s="98">
        <v>50000</v>
      </c>
    </row>
    <row r="2391" spans="1:7">
      <c r="A2391" s="56" t="s">
        <v>874</v>
      </c>
      <c r="B2391" s="56" t="s">
        <v>325</v>
      </c>
      <c r="C2391" s="57" t="s">
        <v>60</v>
      </c>
      <c r="D2391" s="36" t="s">
        <v>61</v>
      </c>
      <c r="E2391" s="93">
        <v>47126</v>
      </c>
      <c r="F2391" s="98">
        <v>50000</v>
      </c>
      <c r="G2391" s="98">
        <v>50000</v>
      </c>
    </row>
    <row r="2392" spans="1:7">
      <c r="A2392" s="56" t="s">
        <v>874</v>
      </c>
      <c r="B2392" s="56" t="s">
        <v>325</v>
      </c>
      <c r="C2392" s="57" t="s">
        <v>60</v>
      </c>
      <c r="D2392" s="36" t="s">
        <v>61</v>
      </c>
      <c r="E2392" s="93">
        <v>47307</v>
      </c>
      <c r="F2392" s="98">
        <v>50000</v>
      </c>
      <c r="G2392" s="98">
        <v>50000</v>
      </c>
    </row>
    <row r="2393" spans="1:7">
      <c r="A2393" s="56" t="s">
        <v>874</v>
      </c>
      <c r="B2393" s="56" t="s">
        <v>325</v>
      </c>
      <c r="C2393" s="57" t="s">
        <v>60</v>
      </c>
      <c r="D2393" s="36" t="s">
        <v>61</v>
      </c>
      <c r="E2393" s="93">
        <v>47491</v>
      </c>
      <c r="F2393" s="98">
        <v>50000</v>
      </c>
      <c r="G2393" s="98">
        <v>50000</v>
      </c>
    </row>
    <row r="2394" spans="1:7">
      <c r="A2394" s="56" t="s">
        <v>874</v>
      </c>
      <c r="B2394" s="56" t="s">
        <v>325</v>
      </c>
      <c r="C2394" s="57" t="s">
        <v>60</v>
      </c>
      <c r="D2394" s="36" t="s">
        <v>61</v>
      </c>
      <c r="E2394" s="93">
        <v>47672</v>
      </c>
      <c r="F2394" s="98">
        <v>50000</v>
      </c>
      <c r="G2394" s="98">
        <v>50000</v>
      </c>
    </row>
    <row r="2395" spans="1:7">
      <c r="A2395" s="56" t="s">
        <v>874</v>
      </c>
      <c r="B2395" s="56" t="s">
        <v>325</v>
      </c>
      <c r="C2395" s="57" t="s">
        <v>60</v>
      </c>
      <c r="D2395" s="36" t="s">
        <v>61</v>
      </c>
      <c r="E2395" s="93">
        <v>47856</v>
      </c>
      <c r="F2395" s="98">
        <v>50000</v>
      </c>
      <c r="G2395" s="98">
        <v>50000</v>
      </c>
    </row>
    <row r="2396" spans="1:7">
      <c r="A2396" s="56" t="s">
        <v>874</v>
      </c>
      <c r="B2396" s="56" t="s">
        <v>325</v>
      </c>
      <c r="C2396" s="57" t="s">
        <v>60</v>
      </c>
      <c r="D2396" s="36" t="s">
        <v>61</v>
      </c>
      <c r="E2396" s="93">
        <v>48037</v>
      </c>
      <c r="F2396" s="98">
        <v>50000</v>
      </c>
      <c r="G2396" s="98">
        <v>50000</v>
      </c>
    </row>
    <row r="2397" spans="1:7">
      <c r="A2397" s="56" t="s">
        <v>874</v>
      </c>
      <c r="B2397" s="56" t="s">
        <v>325</v>
      </c>
      <c r="C2397" s="57" t="s">
        <v>60</v>
      </c>
      <c r="D2397" s="36" t="s">
        <v>61</v>
      </c>
      <c r="E2397" s="93">
        <v>48221</v>
      </c>
      <c r="F2397" s="98">
        <v>50000</v>
      </c>
      <c r="G2397" s="98">
        <v>4050000</v>
      </c>
    </row>
    <row r="2398" spans="1:7">
      <c r="A2398" s="56" t="s">
        <v>303</v>
      </c>
      <c r="B2398" s="56" t="s">
        <v>233</v>
      </c>
      <c r="C2398" s="57" t="s">
        <v>60</v>
      </c>
      <c r="D2398" s="36" t="s">
        <v>309</v>
      </c>
      <c r="E2398" s="93">
        <v>45659</v>
      </c>
      <c r="F2398" s="90">
        <v>15000</v>
      </c>
      <c r="G2398" s="90">
        <v>15000</v>
      </c>
    </row>
    <row r="2399" spans="1:7">
      <c r="A2399" s="56" t="s">
        <v>303</v>
      </c>
      <c r="B2399" s="56" t="s">
        <v>233</v>
      </c>
      <c r="C2399" s="57" t="s">
        <v>60</v>
      </c>
      <c r="D2399" s="36" t="s">
        <v>309</v>
      </c>
      <c r="E2399" s="93">
        <v>45840</v>
      </c>
      <c r="F2399" s="98">
        <v>15000</v>
      </c>
      <c r="G2399" s="98">
        <v>15000</v>
      </c>
    </row>
    <row r="2400" spans="1:7">
      <c r="A2400" s="56" t="s">
        <v>875</v>
      </c>
      <c r="B2400" s="56" t="s">
        <v>233</v>
      </c>
      <c r="C2400" s="57" t="s">
        <v>60</v>
      </c>
      <c r="D2400" s="36" t="s">
        <v>309</v>
      </c>
      <c r="E2400" s="93">
        <v>46024</v>
      </c>
      <c r="F2400" s="98">
        <v>15000</v>
      </c>
      <c r="G2400" s="98">
        <v>15000</v>
      </c>
    </row>
    <row r="2401" spans="1:7">
      <c r="A2401" s="56" t="s">
        <v>875</v>
      </c>
      <c r="B2401" s="56" t="s">
        <v>233</v>
      </c>
      <c r="C2401" s="57" t="s">
        <v>60</v>
      </c>
      <c r="D2401" s="36" t="s">
        <v>309</v>
      </c>
      <c r="E2401" s="93">
        <v>46205</v>
      </c>
      <c r="F2401" s="98">
        <v>15000</v>
      </c>
      <c r="G2401" s="98">
        <v>15000</v>
      </c>
    </row>
    <row r="2402" spans="1:7">
      <c r="A2402" s="56" t="s">
        <v>875</v>
      </c>
      <c r="B2402" s="56" t="s">
        <v>233</v>
      </c>
      <c r="C2402" s="57" t="s">
        <v>60</v>
      </c>
      <c r="D2402" s="36" t="s">
        <v>309</v>
      </c>
      <c r="E2402" s="93">
        <v>46389</v>
      </c>
      <c r="F2402" s="98">
        <v>15000</v>
      </c>
      <c r="G2402" s="98">
        <v>15000</v>
      </c>
    </row>
    <row r="2403" spans="1:7">
      <c r="A2403" s="56" t="s">
        <v>875</v>
      </c>
      <c r="B2403" s="56" t="s">
        <v>233</v>
      </c>
      <c r="C2403" s="57" t="s">
        <v>60</v>
      </c>
      <c r="D2403" s="36" t="s">
        <v>309</v>
      </c>
      <c r="E2403" s="93">
        <v>46570</v>
      </c>
      <c r="F2403" s="98">
        <v>15000</v>
      </c>
      <c r="G2403" s="98">
        <v>15000</v>
      </c>
    </row>
    <row r="2404" spans="1:7">
      <c r="A2404" s="56" t="s">
        <v>875</v>
      </c>
      <c r="B2404" s="56" t="s">
        <v>233</v>
      </c>
      <c r="C2404" s="57" t="s">
        <v>60</v>
      </c>
      <c r="D2404" s="36" t="s">
        <v>309</v>
      </c>
      <c r="E2404" s="93">
        <v>46754</v>
      </c>
      <c r="F2404" s="98">
        <v>15000</v>
      </c>
      <c r="G2404" s="98">
        <v>15000</v>
      </c>
    </row>
    <row r="2405" spans="1:7">
      <c r="A2405" s="56" t="s">
        <v>875</v>
      </c>
      <c r="B2405" s="56" t="s">
        <v>233</v>
      </c>
      <c r="C2405" s="57" t="s">
        <v>60</v>
      </c>
      <c r="D2405" s="36" t="s">
        <v>309</v>
      </c>
      <c r="E2405" s="93">
        <v>46936</v>
      </c>
      <c r="F2405" s="98">
        <v>15000</v>
      </c>
      <c r="G2405" s="98">
        <v>15000</v>
      </c>
    </row>
    <row r="2406" spans="1:7">
      <c r="A2406" s="56" t="s">
        <v>875</v>
      </c>
      <c r="B2406" s="56" t="s">
        <v>233</v>
      </c>
      <c r="C2406" s="57" t="s">
        <v>60</v>
      </c>
      <c r="D2406" s="36" t="s">
        <v>309</v>
      </c>
      <c r="E2406" s="93">
        <v>47120</v>
      </c>
      <c r="F2406" s="98">
        <v>15000</v>
      </c>
      <c r="G2406" s="98">
        <v>15000</v>
      </c>
    </row>
    <row r="2407" spans="1:7">
      <c r="A2407" s="56" t="s">
        <v>875</v>
      </c>
      <c r="B2407" s="56" t="s">
        <v>233</v>
      </c>
      <c r="C2407" s="57" t="s">
        <v>60</v>
      </c>
      <c r="D2407" s="36" t="s">
        <v>309</v>
      </c>
      <c r="E2407" s="93">
        <v>47301</v>
      </c>
      <c r="F2407" s="98">
        <v>15000</v>
      </c>
      <c r="G2407" s="98">
        <v>615000</v>
      </c>
    </row>
    <row r="2408" spans="1:7">
      <c r="A2408" s="56" t="s">
        <v>303</v>
      </c>
      <c r="B2408" s="56" t="s">
        <v>304</v>
      </c>
      <c r="C2408" s="57" t="s">
        <v>60</v>
      </c>
      <c r="D2408" s="36" t="s">
        <v>61</v>
      </c>
      <c r="E2408" s="93">
        <v>45659</v>
      </c>
      <c r="F2408" s="90">
        <v>5750</v>
      </c>
      <c r="G2408" s="90">
        <v>5750</v>
      </c>
    </row>
    <row r="2409" spans="1:7">
      <c r="A2409" s="56" t="s">
        <v>303</v>
      </c>
      <c r="B2409" s="56" t="s">
        <v>304</v>
      </c>
      <c r="C2409" s="57" t="s">
        <v>60</v>
      </c>
      <c r="D2409" s="36" t="s">
        <v>61</v>
      </c>
      <c r="E2409" s="93">
        <v>45840</v>
      </c>
      <c r="F2409" s="98">
        <v>5750</v>
      </c>
      <c r="G2409" s="98">
        <v>5750</v>
      </c>
    </row>
    <row r="2410" spans="1:7">
      <c r="A2410" s="56" t="s">
        <v>875</v>
      </c>
      <c r="B2410" s="56" t="s">
        <v>304</v>
      </c>
      <c r="C2410" s="57" t="s">
        <v>60</v>
      </c>
      <c r="D2410" s="36" t="s">
        <v>61</v>
      </c>
      <c r="E2410" s="93">
        <v>46024</v>
      </c>
      <c r="F2410" s="98">
        <v>5750</v>
      </c>
      <c r="G2410" s="98">
        <v>5750</v>
      </c>
    </row>
    <row r="2411" spans="1:7">
      <c r="A2411" s="56" t="s">
        <v>875</v>
      </c>
      <c r="B2411" s="56" t="s">
        <v>304</v>
      </c>
      <c r="C2411" s="57" t="s">
        <v>60</v>
      </c>
      <c r="D2411" s="36" t="s">
        <v>61</v>
      </c>
      <c r="E2411" s="93">
        <v>46205</v>
      </c>
      <c r="F2411" s="98">
        <v>5750</v>
      </c>
      <c r="G2411" s="98">
        <v>5750</v>
      </c>
    </row>
    <row r="2412" spans="1:7">
      <c r="A2412" s="56" t="s">
        <v>875</v>
      </c>
      <c r="B2412" s="56" t="s">
        <v>304</v>
      </c>
      <c r="C2412" s="57" t="s">
        <v>60</v>
      </c>
      <c r="D2412" s="36" t="s">
        <v>61</v>
      </c>
      <c r="E2412" s="93">
        <v>46389</v>
      </c>
      <c r="F2412" s="98">
        <v>5750</v>
      </c>
      <c r="G2412" s="98">
        <v>5750</v>
      </c>
    </row>
    <row r="2413" spans="1:7">
      <c r="A2413" s="56" t="s">
        <v>875</v>
      </c>
      <c r="B2413" s="56" t="s">
        <v>304</v>
      </c>
      <c r="C2413" s="57" t="s">
        <v>60</v>
      </c>
      <c r="D2413" s="36" t="s">
        <v>61</v>
      </c>
      <c r="E2413" s="93">
        <v>46570</v>
      </c>
      <c r="F2413" s="98">
        <v>5750</v>
      </c>
      <c r="G2413" s="98">
        <v>5750</v>
      </c>
    </row>
    <row r="2414" spans="1:7">
      <c r="A2414" s="56" t="s">
        <v>875</v>
      </c>
      <c r="B2414" s="56" t="s">
        <v>304</v>
      </c>
      <c r="C2414" s="57" t="s">
        <v>60</v>
      </c>
      <c r="D2414" s="36" t="s">
        <v>61</v>
      </c>
      <c r="E2414" s="93">
        <v>46754</v>
      </c>
      <c r="F2414" s="98">
        <v>5750</v>
      </c>
      <c r="G2414" s="98">
        <v>5750</v>
      </c>
    </row>
    <row r="2415" spans="1:7">
      <c r="A2415" s="56" t="s">
        <v>875</v>
      </c>
      <c r="B2415" s="56" t="s">
        <v>304</v>
      </c>
      <c r="C2415" s="57" t="s">
        <v>60</v>
      </c>
      <c r="D2415" s="36" t="s">
        <v>61</v>
      </c>
      <c r="E2415" s="93">
        <v>46936</v>
      </c>
      <c r="F2415" s="98">
        <v>5750</v>
      </c>
      <c r="G2415" s="98">
        <v>5750</v>
      </c>
    </row>
    <row r="2416" spans="1:7">
      <c r="A2416" s="56" t="s">
        <v>875</v>
      </c>
      <c r="B2416" s="56" t="s">
        <v>304</v>
      </c>
      <c r="C2416" s="57" t="s">
        <v>60</v>
      </c>
      <c r="D2416" s="36" t="s">
        <v>61</v>
      </c>
      <c r="E2416" s="93">
        <v>47120</v>
      </c>
      <c r="F2416" s="98">
        <v>5750</v>
      </c>
      <c r="G2416" s="98">
        <v>5750</v>
      </c>
    </row>
    <row r="2417" spans="1:7">
      <c r="A2417" s="56" t="s">
        <v>875</v>
      </c>
      <c r="B2417" s="56" t="s">
        <v>304</v>
      </c>
      <c r="C2417" s="57" t="s">
        <v>60</v>
      </c>
      <c r="D2417" s="36" t="s">
        <v>61</v>
      </c>
      <c r="E2417" s="93">
        <v>47301</v>
      </c>
      <c r="F2417" s="98">
        <v>5750</v>
      </c>
      <c r="G2417" s="98">
        <v>235750</v>
      </c>
    </row>
    <row r="2418" spans="1:7">
      <c r="A2418" s="56" t="s">
        <v>591</v>
      </c>
      <c r="B2418" s="56" t="s">
        <v>325</v>
      </c>
      <c r="C2418" s="57" t="s">
        <v>60</v>
      </c>
      <c r="D2418" s="36" t="s">
        <v>61</v>
      </c>
      <c r="E2418" s="93">
        <v>45730</v>
      </c>
      <c r="F2418" s="90">
        <v>2812.5</v>
      </c>
      <c r="G2418" s="90">
        <v>2812.5</v>
      </c>
    </row>
    <row r="2419" spans="1:7">
      <c r="A2419" s="56" t="s">
        <v>591</v>
      </c>
      <c r="B2419" s="56" t="s">
        <v>325</v>
      </c>
      <c r="C2419" s="57" t="s">
        <v>60</v>
      </c>
      <c r="D2419" s="36" t="s">
        <v>61</v>
      </c>
      <c r="E2419" s="93">
        <v>45914</v>
      </c>
      <c r="F2419" s="98">
        <v>2812.5</v>
      </c>
      <c r="G2419" s="98">
        <v>2812.5</v>
      </c>
    </row>
    <row r="2420" spans="1:7">
      <c r="A2420" s="56" t="s">
        <v>591</v>
      </c>
      <c r="B2420" s="56" t="s">
        <v>325</v>
      </c>
      <c r="C2420" s="57" t="s">
        <v>60</v>
      </c>
      <c r="D2420" s="36" t="s">
        <v>61</v>
      </c>
      <c r="E2420" s="93">
        <v>46095</v>
      </c>
      <c r="F2420" s="98">
        <v>2812.5</v>
      </c>
      <c r="G2420" s="98">
        <v>2812.5</v>
      </c>
    </row>
    <row r="2421" spans="1:7">
      <c r="A2421" s="56" t="s">
        <v>591</v>
      </c>
      <c r="B2421" s="56" t="s">
        <v>325</v>
      </c>
      <c r="C2421" s="57" t="s">
        <v>60</v>
      </c>
      <c r="D2421" s="36" t="s">
        <v>61</v>
      </c>
      <c r="E2421" s="93">
        <v>46279</v>
      </c>
      <c r="F2421" s="98">
        <v>2812.5</v>
      </c>
      <c r="G2421" s="98">
        <v>2812.5</v>
      </c>
    </row>
    <row r="2422" spans="1:7">
      <c r="A2422" s="56" t="s">
        <v>591</v>
      </c>
      <c r="B2422" s="56" t="s">
        <v>325</v>
      </c>
      <c r="C2422" s="57" t="s">
        <v>60</v>
      </c>
      <c r="D2422" s="36" t="s">
        <v>61</v>
      </c>
      <c r="E2422" s="93">
        <v>46460</v>
      </c>
      <c r="F2422" s="98">
        <v>2812.5</v>
      </c>
      <c r="G2422" s="98">
        <v>2812.5</v>
      </c>
    </row>
    <row r="2423" spans="1:7">
      <c r="A2423" s="56" t="s">
        <v>591</v>
      </c>
      <c r="B2423" s="56" t="s">
        <v>325</v>
      </c>
      <c r="C2423" s="57" t="s">
        <v>60</v>
      </c>
      <c r="D2423" s="36" t="s">
        <v>61</v>
      </c>
      <c r="E2423" s="93">
        <v>46644</v>
      </c>
      <c r="F2423" s="98">
        <v>2812.5</v>
      </c>
      <c r="G2423" s="98">
        <v>2812.5</v>
      </c>
    </row>
    <row r="2424" spans="1:7">
      <c r="A2424" s="56" t="s">
        <v>591</v>
      </c>
      <c r="B2424" s="56" t="s">
        <v>325</v>
      </c>
      <c r="C2424" s="57" t="s">
        <v>60</v>
      </c>
      <c r="D2424" s="36" t="s">
        <v>61</v>
      </c>
      <c r="E2424" s="93">
        <v>46826</v>
      </c>
      <c r="F2424" s="98">
        <v>2812.5</v>
      </c>
      <c r="G2424" s="98">
        <v>2812.5</v>
      </c>
    </row>
    <row r="2425" spans="1:7">
      <c r="A2425" s="56" t="s">
        <v>591</v>
      </c>
      <c r="B2425" s="56" t="s">
        <v>325</v>
      </c>
      <c r="C2425" s="57" t="s">
        <v>60</v>
      </c>
      <c r="D2425" s="36" t="s">
        <v>61</v>
      </c>
      <c r="E2425" s="93">
        <v>47010</v>
      </c>
      <c r="F2425" s="98">
        <v>2812.5</v>
      </c>
      <c r="G2425" s="98">
        <v>2812.5</v>
      </c>
    </row>
    <row r="2426" spans="1:7">
      <c r="A2426" s="56" t="s">
        <v>591</v>
      </c>
      <c r="B2426" s="56" t="s">
        <v>325</v>
      </c>
      <c r="C2426" s="57" t="s">
        <v>60</v>
      </c>
      <c r="D2426" s="36" t="s">
        <v>61</v>
      </c>
      <c r="E2426" s="93">
        <v>47191</v>
      </c>
      <c r="F2426" s="98">
        <v>2812.5</v>
      </c>
      <c r="G2426" s="98">
        <v>2812.5</v>
      </c>
    </row>
    <row r="2427" spans="1:7">
      <c r="A2427" s="56" t="s">
        <v>591</v>
      </c>
      <c r="B2427" s="56" t="s">
        <v>325</v>
      </c>
      <c r="C2427" s="57" t="s">
        <v>60</v>
      </c>
      <c r="D2427" s="36" t="s">
        <v>61</v>
      </c>
      <c r="E2427" s="93">
        <v>47375</v>
      </c>
      <c r="F2427" s="98">
        <v>2812.5</v>
      </c>
      <c r="G2427" s="98">
        <v>2812.5</v>
      </c>
    </row>
    <row r="2428" spans="1:7">
      <c r="A2428" s="56" t="s">
        <v>591</v>
      </c>
      <c r="B2428" s="56" t="s">
        <v>325</v>
      </c>
      <c r="C2428" s="57" t="s">
        <v>60</v>
      </c>
      <c r="D2428" s="36" t="s">
        <v>61</v>
      </c>
      <c r="E2428" s="93">
        <v>47556</v>
      </c>
      <c r="F2428" s="98">
        <v>2812.5</v>
      </c>
      <c r="G2428" s="98">
        <v>2812.5</v>
      </c>
    </row>
    <row r="2429" spans="1:7">
      <c r="A2429" s="56" t="s">
        <v>591</v>
      </c>
      <c r="B2429" s="56" t="s">
        <v>325</v>
      </c>
      <c r="C2429" s="57" t="s">
        <v>60</v>
      </c>
      <c r="D2429" s="36" t="s">
        <v>61</v>
      </c>
      <c r="E2429" s="93">
        <v>47740</v>
      </c>
      <c r="F2429" s="98">
        <v>2812.5</v>
      </c>
      <c r="G2429" s="98">
        <v>2812.5</v>
      </c>
    </row>
    <row r="2430" spans="1:7">
      <c r="A2430" s="56" t="s">
        <v>591</v>
      </c>
      <c r="B2430" s="56" t="s">
        <v>325</v>
      </c>
      <c r="C2430" s="57" t="s">
        <v>60</v>
      </c>
      <c r="D2430" s="36" t="s">
        <v>61</v>
      </c>
      <c r="E2430" s="93">
        <v>47921</v>
      </c>
      <c r="F2430" s="98">
        <v>2812.5</v>
      </c>
      <c r="G2430" s="98">
        <v>2812.5</v>
      </c>
    </row>
    <row r="2431" spans="1:7">
      <c r="A2431" s="56" t="s">
        <v>591</v>
      </c>
      <c r="B2431" s="56" t="s">
        <v>325</v>
      </c>
      <c r="C2431" s="57" t="s">
        <v>60</v>
      </c>
      <c r="D2431" s="36" t="s">
        <v>61</v>
      </c>
      <c r="E2431" s="93">
        <v>48105</v>
      </c>
      <c r="F2431" s="98">
        <v>2812.5</v>
      </c>
      <c r="G2431" s="98">
        <v>302812.5</v>
      </c>
    </row>
    <row r="2432" spans="1:7">
      <c r="A2432" s="56" t="s">
        <v>556</v>
      </c>
      <c r="B2432" s="56" t="s">
        <v>233</v>
      </c>
      <c r="C2432" s="57" t="s">
        <v>60</v>
      </c>
      <c r="D2432" s="36" t="s">
        <v>61</v>
      </c>
      <c r="E2432" s="93">
        <v>45643</v>
      </c>
      <c r="F2432" s="90">
        <v>14575</v>
      </c>
      <c r="G2432" s="90">
        <v>14575</v>
      </c>
    </row>
    <row r="2433" spans="1:7">
      <c r="A2433" s="56" t="s">
        <v>556</v>
      </c>
      <c r="B2433" s="56" t="s">
        <v>233</v>
      </c>
      <c r="C2433" s="57" t="s">
        <v>60</v>
      </c>
      <c r="D2433" s="36" t="s">
        <v>61</v>
      </c>
      <c r="E2433" s="93">
        <v>45825</v>
      </c>
      <c r="F2433" s="98">
        <v>14575</v>
      </c>
      <c r="G2433" s="98">
        <v>14575</v>
      </c>
    </row>
    <row r="2434" spans="1:7">
      <c r="A2434" s="56" t="s">
        <v>876</v>
      </c>
      <c r="B2434" s="56" t="s">
        <v>233</v>
      </c>
      <c r="C2434" s="57" t="s">
        <v>60</v>
      </c>
      <c r="D2434" s="36" t="s">
        <v>61</v>
      </c>
      <c r="E2434" s="93">
        <v>46008</v>
      </c>
      <c r="F2434" s="98">
        <v>14575</v>
      </c>
      <c r="G2434" s="98">
        <v>14575</v>
      </c>
    </row>
    <row r="2435" spans="1:7">
      <c r="A2435" s="56" t="s">
        <v>876</v>
      </c>
      <c r="B2435" s="56" t="s">
        <v>233</v>
      </c>
      <c r="C2435" s="57" t="s">
        <v>60</v>
      </c>
      <c r="D2435" s="36" t="s">
        <v>61</v>
      </c>
      <c r="E2435" s="93">
        <v>46190</v>
      </c>
      <c r="F2435" s="98">
        <v>14575</v>
      </c>
      <c r="G2435" s="98">
        <v>14575</v>
      </c>
    </row>
    <row r="2436" spans="1:7">
      <c r="A2436" s="56" t="s">
        <v>876</v>
      </c>
      <c r="B2436" s="56" t="s">
        <v>233</v>
      </c>
      <c r="C2436" s="57" t="s">
        <v>60</v>
      </c>
      <c r="D2436" s="36" t="s">
        <v>61</v>
      </c>
      <c r="E2436" s="93">
        <v>46373</v>
      </c>
      <c r="F2436" s="98">
        <v>14575</v>
      </c>
      <c r="G2436" s="98">
        <v>14575</v>
      </c>
    </row>
    <row r="2437" spans="1:7">
      <c r="A2437" s="56" t="s">
        <v>876</v>
      </c>
      <c r="B2437" s="56" t="s">
        <v>233</v>
      </c>
      <c r="C2437" s="57" t="s">
        <v>60</v>
      </c>
      <c r="D2437" s="36" t="s">
        <v>61</v>
      </c>
      <c r="E2437" s="93">
        <v>46555</v>
      </c>
      <c r="F2437" s="98">
        <v>14575</v>
      </c>
      <c r="G2437" s="98">
        <v>14575</v>
      </c>
    </row>
    <row r="2438" spans="1:7">
      <c r="A2438" s="56" t="s">
        <v>876</v>
      </c>
      <c r="B2438" s="56" t="s">
        <v>233</v>
      </c>
      <c r="C2438" s="57" t="s">
        <v>60</v>
      </c>
      <c r="D2438" s="36" t="s">
        <v>61</v>
      </c>
      <c r="E2438" s="93">
        <v>46738</v>
      </c>
      <c r="F2438" s="98">
        <v>14575</v>
      </c>
      <c r="G2438" s="98">
        <v>14575</v>
      </c>
    </row>
    <row r="2439" spans="1:7">
      <c r="A2439" s="56" t="s">
        <v>876</v>
      </c>
      <c r="B2439" s="56" t="s">
        <v>233</v>
      </c>
      <c r="C2439" s="57" t="s">
        <v>60</v>
      </c>
      <c r="D2439" s="36" t="s">
        <v>61</v>
      </c>
      <c r="E2439" s="93">
        <v>46921</v>
      </c>
      <c r="F2439" s="98">
        <v>14575</v>
      </c>
      <c r="G2439" s="98">
        <v>14575</v>
      </c>
    </row>
    <row r="2440" spans="1:7">
      <c r="A2440" s="56" t="s">
        <v>876</v>
      </c>
      <c r="B2440" s="56" t="s">
        <v>233</v>
      </c>
      <c r="C2440" s="57" t="s">
        <v>60</v>
      </c>
      <c r="D2440" s="36" t="s">
        <v>61</v>
      </c>
      <c r="E2440" s="93">
        <v>47104</v>
      </c>
      <c r="F2440" s="98">
        <v>14575</v>
      </c>
      <c r="G2440" s="98">
        <v>14575</v>
      </c>
    </row>
    <row r="2441" spans="1:7">
      <c r="A2441" s="56" t="s">
        <v>876</v>
      </c>
      <c r="B2441" s="56" t="s">
        <v>233</v>
      </c>
      <c r="C2441" s="57" t="s">
        <v>60</v>
      </c>
      <c r="D2441" s="36" t="s">
        <v>61</v>
      </c>
      <c r="E2441" s="93">
        <v>47286</v>
      </c>
      <c r="F2441" s="98">
        <v>14575</v>
      </c>
      <c r="G2441" s="98">
        <v>14575</v>
      </c>
    </row>
    <row r="2442" spans="1:7">
      <c r="A2442" s="56" t="s">
        <v>876</v>
      </c>
      <c r="B2442" s="56" t="s">
        <v>233</v>
      </c>
      <c r="C2442" s="57" t="s">
        <v>60</v>
      </c>
      <c r="D2442" s="36" t="s">
        <v>61</v>
      </c>
      <c r="E2442" s="93">
        <v>47469</v>
      </c>
      <c r="F2442" s="98">
        <v>14575</v>
      </c>
      <c r="G2442" s="98">
        <v>14575</v>
      </c>
    </row>
    <row r="2443" spans="1:7">
      <c r="A2443" s="56" t="s">
        <v>876</v>
      </c>
      <c r="B2443" s="56" t="s">
        <v>233</v>
      </c>
      <c r="C2443" s="57" t="s">
        <v>60</v>
      </c>
      <c r="D2443" s="36" t="s">
        <v>61</v>
      </c>
      <c r="E2443" s="93">
        <v>47651</v>
      </c>
      <c r="F2443" s="98">
        <v>14575</v>
      </c>
      <c r="G2443" s="98">
        <v>14575</v>
      </c>
    </row>
    <row r="2444" spans="1:7">
      <c r="A2444" s="56" t="s">
        <v>876</v>
      </c>
      <c r="B2444" s="56" t="s">
        <v>233</v>
      </c>
      <c r="C2444" s="57" t="s">
        <v>60</v>
      </c>
      <c r="D2444" s="36" t="s">
        <v>61</v>
      </c>
      <c r="E2444" s="93">
        <v>47834</v>
      </c>
      <c r="F2444" s="98">
        <v>14575</v>
      </c>
      <c r="G2444" s="98">
        <v>14575</v>
      </c>
    </row>
    <row r="2445" spans="1:7">
      <c r="A2445" s="56" t="s">
        <v>876</v>
      </c>
      <c r="B2445" s="56" t="s">
        <v>233</v>
      </c>
      <c r="C2445" s="57" t="s">
        <v>60</v>
      </c>
      <c r="D2445" s="36" t="s">
        <v>61</v>
      </c>
      <c r="E2445" s="93">
        <v>48016</v>
      </c>
      <c r="F2445" s="98">
        <v>14575</v>
      </c>
      <c r="G2445" s="98">
        <v>1114575</v>
      </c>
    </row>
    <row r="2446" spans="1:7">
      <c r="A2446" s="56" t="s">
        <v>270</v>
      </c>
      <c r="B2446" s="56" t="s">
        <v>101</v>
      </c>
      <c r="C2446" s="48" t="s">
        <v>43</v>
      </c>
      <c r="D2446" s="36" t="s">
        <v>271</v>
      </c>
      <c r="E2446" s="93">
        <v>45769</v>
      </c>
      <c r="F2446" s="90">
        <v>135600</v>
      </c>
      <c r="G2446" s="90">
        <v>135600</v>
      </c>
    </row>
    <row r="2447" spans="1:7">
      <c r="A2447" s="56" t="s">
        <v>270</v>
      </c>
      <c r="B2447" s="56" t="s">
        <v>101</v>
      </c>
      <c r="C2447" s="48" t="s">
        <v>43</v>
      </c>
      <c r="D2447" s="36" t="s">
        <v>271</v>
      </c>
      <c r="E2447" s="93">
        <v>45952</v>
      </c>
      <c r="F2447" s="98">
        <v>135600</v>
      </c>
      <c r="G2447" s="98">
        <v>135600</v>
      </c>
    </row>
    <row r="2448" spans="1:7">
      <c r="A2448" s="56" t="s">
        <v>877</v>
      </c>
      <c r="B2448" s="56" t="s">
        <v>101</v>
      </c>
      <c r="C2448" s="48" t="s">
        <v>43</v>
      </c>
      <c r="D2448" s="36" t="s">
        <v>271</v>
      </c>
      <c r="E2448" s="93">
        <v>46134</v>
      </c>
      <c r="F2448" s="98">
        <v>135600</v>
      </c>
      <c r="G2448" s="98">
        <v>135600</v>
      </c>
    </row>
    <row r="2449" spans="1:7">
      <c r="A2449" s="56" t="s">
        <v>877</v>
      </c>
      <c r="B2449" s="56" t="s">
        <v>101</v>
      </c>
      <c r="C2449" s="48" t="s">
        <v>43</v>
      </c>
      <c r="D2449" s="36" t="s">
        <v>271</v>
      </c>
      <c r="E2449" s="93">
        <v>46317</v>
      </c>
      <c r="F2449" s="98">
        <v>135600</v>
      </c>
      <c r="G2449" s="98">
        <v>135600</v>
      </c>
    </row>
    <row r="2450" spans="1:7">
      <c r="A2450" s="56" t="s">
        <v>877</v>
      </c>
      <c r="B2450" s="56" t="s">
        <v>101</v>
      </c>
      <c r="C2450" s="48" t="s">
        <v>43</v>
      </c>
      <c r="D2450" s="36" t="s">
        <v>271</v>
      </c>
      <c r="E2450" s="93">
        <v>46499</v>
      </c>
      <c r="F2450" s="98">
        <v>135600</v>
      </c>
      <c r="G2450" s="98">
        <v>135600</v>
      </c>
    </row>
    <row r="2451" spans="1:7">
      <c r="A2451" s="56" t="s">
        <v>877</v>
      </c>
      <c r="B2451" s="56" t="s">
        <v>101</v>
      </c>
      <c r="C2451" s="48" t="s">
        <v>43</v>
      </c>
      <c r="D2451" s="36" t="s">
        <v>271</v>
      </c>
      <c r="E2451" s="93">
        <v>46682</v>
      </c>
      <c r="F2451" s="98">
        <v>135600</v>
      </c>
      <c r="G2451" s="98">
        <v>135600</v>
      </c>
    </row>
    <row r="2452" spans="1:7">
      <c r="A2452" s="56" t="s">
        <v>877</v>
      </c>
      <c r="B2452" s="56" t="s">
        <v>101</v>
      </c>
      <c r="C2452" s="48" t="s">
        <v>43</v>
      </c>
      <c r="D2452" s="36" t="s">
        <v>271</v>
      </c>
      <c r="E2452" s="93">
        <v>46865</v>
      </c>
      <c r="F2452" s="98">
        <v>135600</v>
      </c>
      <c r="G2452" s="98">
        <v>135600</v>
      </c>
    </row>
    <row r="2453" spans="1:7">
      <c r="A2453" s="56" t="s">
        <v>877</v>
      </c>
      <c r="B2453" s="56" t="s">
        <v>101</v>
      </c>
      <c r="C2453" s="48" t="s">
        <v>43</v>
      </c>
      <c r="D2453" s="36" t="s">
        <v>271</v>
      </c>
      <c r="E2453" s="93">
        <v>47048</v>
      </c>
      <c r="F2453" s="98">
        <v>135600</v>
      </c>
      <c r="G2453" s="98">
        <v>135600</v>
      </c>
    </row>
    <row r="2454" spans="1:7">
      <c r="A2454" s="56" t="s">
        <v>877</v>
      </c>
      <c r="B2454" s="56" t="s">
        <v>101</v>
      </c>
      <c r="C2454" s="48" t="s">
        <v>43</v>
      </c>
      <c r="D2454" s="36" t="s">
        <v>271</v>
      </c>
      <c r="E2454" s="93">
        <v>47230</v>
      </c>
      <c r="F2454" s="98">
        <v>135600</v>
      </c>
      <c r="G2454" s="98">
        <v>4935600</v>
      </c>
    </row>
    <row r="2455" spans="1:7">
      <c r="A2455" s="56" t="s">
        <v>484</v>
      </c>
      <c r="B2455" s="56" t="s">
        <v>77</v>
      </c>
      <c r="C2455" s="48" t="s">
        <v>43</v>
      </c>
      <c r="D2455" s="36" t="s">
        <v>61</v>
      </c>
      <c r="E2455" s="93">
        <v>45801</v>
      </c>
      <c r="F2455" s="90">
        <v>39375</v>
      </c>
      <c r="G2455" s="90">
        <v>39375</v>
      </c>
    </row>
    <row r="2456" spans="1:7">
      <c r="A2456" s="56" t="s">
        <v>484</v>
      </c>
      <c r="B2456" s="56" t="s">
        <v>77</v>
      </c>
      <c r="C2456" s="48" t="s">
        <v>43</v>
      </c>
      <c r="D2456" s="36" t="s">
        <v>61</v>
      </c>
      <c r="E2456" s="93">
        <v>45985</v>
      </c>
      <c r="F2456" s="98">
        <v>39375</v>
      </c>
      <c r="G2456" s="98">
        <v>39375</v>
      </c>
    </row>
    <row r="2457" spans="1:7">
      <c r="A2457" s="56" t="s">
        <v>842</v>
      </c>
      <c r="B2457" s="56" t="s">
        <v>77</v>
      </c>
      <c r="C2457" s="48" t="s">
        <v>43</v>
      </c>
      <c r="D2457" s="36" t="s">
        <v>61</v>
      </c>
      <c r="E2457" s="93">
        <v>46166</v>
      </c>
      <c r="F2457" s="98">
        <v>39375</v>
      </c>
      <c r="G2457" s="98">
        <v>39375</v>
      </c>
    </row>
    <row r="2458" spans="1:7">
      <c r="A2458" s="56" t="s">
        <v>842</v>
      </c>
      <c r="B2458" s="56" t="s">
        <v>77</v>
      </c>
      <c r="C2458" s="48" t="s">
        <v>43</v>
      </c>
      <c r="D2458" s="36" t="s">
        <v>61</v>
      </c>
      <c r="E2458" s="93">
        <v>46350</v>
      </c>
      <c r="F2458" s="98">
        <v>39375</v>
      </c>
      <c r="G2458" s="98">
        <v>39375</v>
      </c>
    </row>
    <row r="2459" spans="1:7">
      <c r="A2459" s="56" t="s">
        <v>842</v>
      </c>
      <c r="B2459" s="56" t="s">
        <v>77</v>
      </c>
      <c r="C2459" s="48" t="s">
        <v>43</v>
      </c>
      <c r="D2459" s="36" t="s">
        <v>61</v>
      </c>
      <c r="E2459" s="93">
        <v>46531</v>
      </c>
      <c r="F2459" s="98">
        <v>39375</v>
      </c>
      <c r="G2459" s="98">
        <v>39375</v>
      </c>
    </row>
    <row r="2460" spans="1:7">
      <c r="A2460" s="56" t="s">
        <v>842</v>
      </c>
      <c r="B2460" s="56" t="s">
        <v>77</v>
      </c>
      <c r="C2460" s="48" t="s">
        <v>43</v>
      </c>
      <c r="D2460" s="36" t="s">
        <v>61</v>
      </c>
      <c r="E2460" s="93">
        <v>46715</v>
      </c>
      <c r="F2460" s="98">
        <v>39375</v>
      </c>
      <c r="G2460" s="98">
        <v>39375</v>
      </c>
    </row>
    <row r="2461" spans="1:7">
      <c r="A2461" s="56" t="s">
        <v>842</v>
      </c>
      <c r="B2461" s="56" t="s">
        <v>77</v>
      </c>
      <c r="C2461" s="48" t="s">
        <v>43</v>
      </c>
      <c r="D2461" s="36" t="s">
        <v>61</v>
      </c>
      <c r="E2461" s="93">
        <v>46897</v>
      </c>
      <c r="F2461" s="98">
        <v>39375</v>
      </c>
      <c r="G2461" s="98">
        <v>39375</v>
      </c>
    </row>
    <row r="2462" spans="1:7">
      <c r="A2462" s="56" t="s">
        <v>842</v>
      </c>
      <c r="B2462" s="56" t="s">
        <v>77</v>
      </c>
      <c r="C2462" s="48" t="s">
        <v>43</v>
      </c>
      <c r="D2462" s="36" t="s">
        <v>61</v>
      </c>
      <c r="E2462" s="93">
        <v>47081</v>
      </c>
      <c r="F2462" s="98">
        <v>39375</v>
      </c>
      <c r="G2462" s="98">
        <v>39375</v>
      </c>
    </row>
    <row r="2463" spans="1:7">
      <c r="A2463" s="56" t="s">
        <v>842</v>
      </c>
      <c r="B2463" s="56" t="s">
        <v>77</v>
      </c>
      <c r="C2463" s="48" t="s">
        <v>43</v>
      </c>
      <c r="D2463" s="36" t="s">
        <v>61</v>
      </c>
      <c r="E2463" s="93">
        <v>47262</v>
      </c>
      <c r="F2463" s="98">
        <v>39375</v>
      </c>
      <c r="G2463" s="98">
        <v>39375</v>
      </c>
    </row>
    <row r="2464" spans="1:7">
      <c r="A2464" s="56" t="s">
        <v>842</v>
      </c>
      <c r="B2464" s="56" t="s">
        <v>77</v>
      </c>
      <c r="C2464" s="48" t="s">
        <v>43</v>
      </c>
      <c r="D2464" s="36" t="s">
        <v>61</v>
      </c>
      <c r="E2464" s="93">
        <v>47446</v>
      </c>
      <c r="F2464" s="98">
        <v>39375</v>
      </c>
      <c r="G2464" s="98">
        <v>39375</v>
      </c>
    </row>
    <row r="2465" spans="1:7">
      <c r="A2465" s="56" t="s">
        <v>842</v>
      </c>
      <c r="B2465" s="56" t="s">
        <v>77</v>
      </c>
      <c r="C2465" s="48" t="s">
        <v>43</v>
      </c>
      <c r="D2465" s="36" t="s">
        <v>61</v>
      </c>
      <c r="E2465" s="93">
        <v>47627</v>
      </c>
      <c r="F2465" s="98">
        <v>39375</v>
      </c>
      <c r="G2465" s="98">
        <v>39375</v>
      </c>
    </row>
    <row r="2466" spans="1:7">
      <c r="A2466" s="56" t="s">
        <v>842</v>
      </c>
      <c r="B2466" s="56" t="s">
        <v>77</v>
      </c>
      <c r="C2466" s="48" t="s">
        <v>43</v>
      </c>
      <c r="D2466" s="36" t="s">
        <v>61</v>
      </c>
      <c r="E2466" s="93">
        <v>47811</v>
      </c>
      <c r="F2466" s="98">
        <v>39375</v>
      </c>
      <c r="G2466" s="98">
        <v>3539375</v>
      </c>
    </row>
    <row r="2467" spans="1:7">
      <c r="A2467" s="56" t="s">
        <v>484</v>
      </c>
      <c r="B2467" s="56" t="s">
        <v>54</v>
      </c>
      <c r="C2467" s="48" t="s">
        <v>43</v>
      </c>
      <c r="D2467" s="36" t="s">
        <v>61</v>
      </c>
      <c r="E2467" s="93">
        <v>45801</v>
      </c>
      <c r="F2467" s="90">
        <v>50625</v>
      </c>
      <c r="G2467" s="90">
        <v>50625</v>
      </c>
    </row>
    <row r="2468" spans="1:7">
      <c r="A2468" s="56" t="s">
        <v>484</v>
      </c>
      <c r="B2468" s="56" t="s">
        <v>54</v>
      </c>
      <c r="C2468" s="48" t="s">
        <v>43</v>
      </c>
      <c r="D2468" s="36" t="s">
        <v>61</v>
      </c>
      <c r="E2468" s="93">
        <v>45985</v>
      </c>
      <c r="F2468" s="98">
        <v>50625</v>
      </c>
      <c r="G2468" s="98">
        <v>50625</v>
      </c>
    </row>
    <row r="2469" spans="1:7">
      <c r="A2469" s="56" t="s">
        <v>842</v>
      </c>
      <c r="B2469" s="56" t="s">
        <v>54</v>
      </c>
      <c r="C2469" s="48" t="s">
        <v>43</v>
      </c>
      <c r="D2469" s="36" t="s">
        <v>61</v>
      </c>
      <c r="E2469" s="93">
        <v>46166</v>
      </c>
      <c r="F2469" s="98">
        <v>50625</v>
      </c>
      <c r="G2469" s="98">
        <v>50625</v>
      </c>
    </row>
    <row r="2470" spans="1:7">
      <c r="A2470" s="56" t="s">
        <v>842</v>
      </c>
      <c r="B2470" s="56" t="s">
        <v>54</v>
      </c>
      <c r="C2470" s="48" t="s">
        <v>43</v>
      </c>
      <c r="D2470" s="36" t="s">
        <v>61</v>
      </c>
      <c r="E2470" s="93">
        <v>46350</v>
      </c>
      <c r="F2470" s="98">
        <v>50625</v>
      </c>
      <c r="G2470" s="98">
        <v>50625</v>
      </c>
    </row>
    <row r="2471" spans="1:7">
      <c r="A2471" s="56" t="s">
        <v>842</v>
      </c>
      <c r="B2471" s="56" t="s">
        <v>54</v>
      </c>
      <c r="C2471" s="48" t="s">
        <v>43</v>
      </c>
      <c r="D2471" s="36" t="s">
        <v>61</v>
      </c>
      <c r="E2471" s="93">
        <v>46531</v>
      </c>
      <c r="F2471" s="98">
        <v>50625</v>
      </c>
      <c r="G2471" s="98">
        <v>50625</v>
      </c>
    </row>
    <row r="2472" spans="1:7">
      <c r="A2472" s="56" t="s">
        <v>842</v>
      </c>
      <c r="B2472" s="56" t="s">
        <v>54</v>
      </c>
      <c r="C2472" s="48" t="s">
        <v>43</v>
      </c>
      <c r="D2472" s="36" t="s">
        <v>61</v>
      </c>
      <c r="E2472" s="93">
        <v>46715</v>
      </c>
      <c r="F2472" s="98">
        <v>50625</v>
      </c>
      <c r="G2472" s="98">
        <v>50625</v>
      </c>
    </row>
    <row r="2473" spans="1:7">
      <c r="A2473" s="56" t="s">
        <v>842</v>
      </c>
      <c r="B2473" s="56" t="s">
        <v>54</v>
      </c>
      <c r="C2473" s="48" t="s">
        <v>43</v>
      </c>
      <c r="D2473" s="36" t="s">
        <v>61</v>
      </c>
      <c r="E2473" s="93">
        <v>46897</v>
      </c>
      <c r="F2473" s="98">
        <v>50625</v>
      </c>
      <c r="G2473" s="98">
        <v>50625</v>
      </c>
    </row>
    <row r="2474" spans="1:7">
      <c r="A2474" s="56" t="s">
        <v>842</v>
      </c>
      <c r="B2474" s="56" t="s">
        <v>54</v>
      </c>
      <c r="C2474" s="48" t="s">
        <v>43</v>
      </c>
      <c r="D2474" s="36" t="s">
        <v>61</v>
      </c>
      <c r="E2474" s="93">
        <v>47081</v>
      </c>
      <c r="F2474" s="98">
        <v>50625</v>
      </c>
      <c r="G2474" s="98">
        <v>50625</v>
      </c>
    </row>
    <row r="2475" spans="1:7">
      <c r="A2475" s="56" t="s">
        <v>842</v>
      </c>
      <c r="B2475" s="56" t="s">
        <v>54</v>
      </c>
      <c r="C2475" s="48" t="s">
        <v>43</v>
      </c>
      <c r="D2475" s="36" t="s">
        <v>61</v>
      </c>
      <c r="E2475" s="93">
        <v>47262</v>
      </c>
      <c r="F2475" s="98">
        <v>50625</v>
      </c>
      <c r="G2475" s="98">
        <v>50625</v>
      </c>
    </row>
    <row r="2476" spans="1:7">
      <c r="A2476" s="56" t="s">
        <v>842</v>
      </c>
      <c r="B2476" s="56" t="s">
        <v>54</v>
      </c>
      <c r="C2476" s="48" t="s">
        <v>43</v>
      </c>
      <c r="D2476" s="36" t="s">
        <v>61</v>
      </c>
      <c r="E2476" s="93">
        <v>47446</v>
      </c>
      <c r="F2476" s="98">
        <v>50625</v>
      </c>
      <c r="G2476" s="98">
        <v>50625</v>
      </c>
    </row>
    <row r="2477" spans="1:7">
      <c r="A2477" s="56" t="s">
        <v>842</v>
      </c>
      <c r="B2477" s="56" t="s">
        <v>54</v>
      </c>
      <c r="C2477" s="48" t="s">
        <v>43</v>
      </c>
      <c r="D2477" s="36" t="s">
        <v>61</v>
      </c>
      <c r="E2477" s="93">
        <v>47627</v>
      </c>
      <c r="F2477" s="98">
        <v>50625</v>
      </c>
      <c r="G2477" s="98">
        <v>50625</v>
      </c>
    </row>
    <row r="2478" spans="1:7">
      <c r="A2478" s="56" t="s">
        <v>842</v>
      </c>
      <c r="B2478" s="56" t="s">
        <v>54</v>
      </c>
      <c r="C2478" s="48" t="s">
        <v>43</v>
      </c>
      <c r="D2478" s="36" t="s">
        <v>61</v>
      </c>
      <c r="E2478" s="93">
        <v>47811</v>
      </c>
      <c r="F2478" s="98">
        <v>50625</v>
      </c>
      <c r="G2478" s="98">
        <v>4550625</v>
      </c>
    </row>
    <row r="2479" spans="1:7">
      <c r="A2479" s="56" t="s">
        <v>613</v>
      </c>
      <c r="B2479" s="56" t="s">
        <v>77</v>
      </c>
      <c r="C2479" s="48" t="s">
        <v>43</v>
      </c>
      <c r="D2479" s="36" t="s">
        <v>61</v>
      </c>
      <c r="E2479" s="93">
        <v>45821</v>
      </c>
      <c r="F2479" s="90">
        <v>37990.800000000003</v>
      </c>
      <c r="G2479" s="90">
        <v>37990.800000000003</v>
      </c>
    </row>
    <row r="2480" spans="1:7">
      <c r="A2480" s="56" t="s">
        <v>613</v>
      </c>
      <c r="B2480" s="56" t="s">
        <v>77</v>
      </c>
      <c r="C2480" s="48" t="s">
        <v>43</v>
      </c>
      <c r="D2480" s="36" t="s">
        <v>61</v>
      </c>
      <c r="E2480" s="93">
        <v>46004</v>
      </c>
      <c r="F2480" s="98">
        <v>37990.800000000003</v>
      </c>
      <c r="G2480" s="98">
        <v>37990.800000000003</v>
      </c>
    </row>
    <row r="2481" spans="1:7">
      <c r="A2481" s="56" t="s">
        <v>613</v>
      </c>
      <c r="B2481" s="56" t="s">
        <v>77</v>
      </c>
      <c r="C2481" s="48" t="s">
        <v>43</v>
      </c>
      <c r="D2481" s="36" t="s">
        <v>61</v>
      </c>
      <c r="E2481" s="93">
        <v>46186</v>
      </c>
      <c r="F2481" s="98">
        <v>37990.800000000003</v>
      </c>
      <c r="G2481" s="98">
        <v>37990.800000000003</v>
      </c>
    </row>
    <row r="2482" spans="1:7">
      <c r="A2482" s="56" t="s">
        <v>613</v>
      </c>
      <c r="B2482" s="56" t="s">
        <v>77</v>
      </c>
      <c r="C2482" s="48" t="s">
        <v>43</v>
      </c>
      <c r="D2482" s="36" t="s">
        <v>61</v>
      </c>
      <c r="E2482" s="93">
        <v>46369</v>
      </c>
      <c r="F2482" s="98">
        <v>37990.800000000003</v>
      </c>
      <c r="G2482" s="98">
        <v>37990.800000000003</v>
      </c>
    </row>
    <row r="2483" spans="1:7">
      <c r="A2483" s="56" t="s">
        <v>613</v>
      </c>
      <c r="B2483" s="56" t="s">
        <v>77</v>
      </c>
      <c r="C2483" s="48" t="s">
        <v>43</v>
      </c>
      <c r="D2483" s="36" t="s">
        <v>61</v>
      </c>
      <c r="E2483" s="93">
        <v>46551</v>
      </c>
      <c r="F2483" s="98">
        <v>37990.800000000003</v>
      </c>
      <c r="G2483" s="98">
        <v>37990.800000000003</v>
      </c>
    </row>
    <row r="2484" spans="1:7">
      <c r="A2484" s="56" t="s">
        <v>613</v>
      </c>
      <c r="B2484" s="56" t="s">
        <v>77</v>
      </c>
      <c r="C2484" s="48" t="s">
        <v>43</v>
      </c>
      <c r="D2484" s="36" t="s">
        <v>61</v>
      </c>
      <c r="E2484" s="93">
        <v>46734</v>
      </c>
      <c r="F2484" s="98">
        <v>37990.800000000003</v>
      </c>
      <c r="G2484" s="98">
        <v>37990.800000000003</v>
      </c>
    </row>
    <row r="2485" spans="1:7">
      <c r="A2485" s="56" t="s">
        <v>613</v>
      </c>
      <c r="B2485" s="56" t="s">
        <v>77</v>
      </c>
      <c r="C2485" s="48" t="s">
        <v>43</v>
      </c>
      <c r="D2485" s="36" t="s">
        <v>61</v>
      </c>
      <c r="E2485" s="93">
        <v>46917</v>
      </c>
      <c r="F2485" s="98">
        <v>37990.800000000003</v>
      </c>
      <c r="G2485" s="98">
        <v>37990.800000000003</v>
      </c>
    </row>
    <row r="2486" spans="1:7">
      <c r="A2486" s="56" t="s">
        <v>613</v>
      </c>
      <c r="B2486" s="56" t="s">
        <v>77</v>
      </c>
      <c r="C2486" s="48" t="s">
        <v>43</v>
      </c>
      <c r="D2486" s="36" t="s">
        <v>61</v>
      </c>
      <c r="E2486" s="93">
        <v>47100</v>
      </c>
      <c r="F2486" s="98">
        <v>37990.800000000003</v>
      </c>
      <c r="G2486" s="98">
        <v>37990.800000000003</v>
      </c>
    </row>
    <row r="2487" spans="1:7">
      <c r="A2487" s="56" t="s">
        <v>613</v>
      </c>
      <c r="B2487" s="56" t="s">
        <v>77</v>
      </c>
      <c r="C2487" s="48" t="s">
        <v>43</v>
      </c>
      <c r="D2487" s="36" t="s">
        <v>61</v>
      </c>
      <c r="E2487" s="93">
        <v>47282</v>
      </c>
      <c r="F2487" s="98">
        <v>37990.800000000003</v>
      </c>
      <c r="G2487" s="98">
        <v>37990.800000000003</v>
      </c>
    </row>
    <row r="2488" spans="1:7">
      <c r="A2488" s="56" t="s">
        <v>613</v>
      </c>
      <c r="B2488" s="56" t="s">
        <v>77</v>
      </c>
      <c r="C2488" s="48" t="s">
        <v>43</v>
      </c>
      <c r="D2488" s="36" t="s">
        <v>61</v>
      </c>
      <c r="E2488" s="93">
        <v>47465</v>
      </c>
      <c r="F2488" s="98">
        <v>37990.800000000003</v>
      </c>
      <c r="G2488" s="98">
        <v>37990.800000000003</v>
      </c>
    </row>
    <row r="2489" spans="1:7">
      <c r="A2489" s="56" t="s">
        <v>613</v>
      </c>
      <c r="B2489" s="56" t="s">
        <v>77</v>
      </c>
      <c r="C2489" s="48" t="s">
        <v>43</v>
      </c>
      <c r="D2489" s="36" t="s">
        <v>61</v>
      </c>
      <c r="E2489" s="93">
        <v>47647</v>
      </c>
      <c r="F2489" s="98">
        <v>37990.800000000003</v>
      </c>
      <c r="G2489" s="98">
        <v>37990.800000000003</v>
      </c>
    </row>
    <row r="2490" spans="1:7">
      <c r="A2490" s="56" t="s">
        <v>613</v>
      </c>
      <c r="B2490" s="56" t="s">
        <v>77</v>
      </c>
      <c r="C2490" s="48" t="s">
        <v>43</v>
      </c>
      <c r="D2490" s="36" t="s">
        <v>61</v>
      </c>
      <c r="E2490" s="93">
        <v>47830</v>
      </c>
      <c r="F2490" s="98">
        <v>37990.800000000003</v>
      </c>
      <c r="G2490" s="98">
        <v>37990.800000000003</v>
      </c>
    </row>
    <row r="2491" spans="1:7">
      <c r="A2491" s="56" t="s">
        <v>613</v>
      </c>
      <c r="B2491" s="56" t="s">
        <v>77</v>
      </c>
      <c r="C2491" s="48" t="s">
        <v>43</v>
      </c>
      <c r="D2491" s="36" t="s">
        <v>61</v>
      </c>
      <c r="E2491" s="93">
        <v>48012</v>
      </c>
      <c r="F2491" s="98">
        <v>37990.800000000003</v>
      </c>
      <c r="G2491" s="98">
        <v>37990.800000000003</v>
      </c>
    </row>
    <row r="2492" spans="1:7">
      <c r="A2492" s="56" t="s">
        <v>613</v>
      </c>
      <c r="B2492" s="56" t="s">
        <v>77</v>
      </c>
      <c r="C2492" s="48" t="s">
        <v>43</v>
      </c>
      <c r="D2492" s="36" t="s">
        <v>61</v>
      </c>
      <c r="E2492" s="93">
        <v>48195</v>
      </c>
      <c r="F2492" s="98">
        <v>37990.800000000003</v>
      </c>
      <c r="G2492" s="98">
        <v>3697990.8</v>
      </c>
    </row>
    <row r="2493" spans="1:7">
      <c r="A2493" s="56" t="s">
        <v>606</v>
      </c>
      <c r="B2493" s="56" t="s">
        <v>77</v>
      </c>
      <c r="C2493" s="48" t="s">
        <v>43</v>
      </c>
      <c r="D2493" s="36" t="s">
        <v>309</v>
      </c>
      <c r="E2493" s="93">
        <v>45778</v>
      </c>
      <c r="F2493" s="90">
        <v>26125</v>
      </c>
      <c r="G2493" s="90">
        <v>26125</v>
      </c>
    </row>
    <row r="2494" spans="1:7">
      <c r="A2494" s="56" t="s">
        <v>606</v>
      </c>
      <c r="B2494" s="56" t="s">
        <v>77</v>
      </c>
      <c r="C2494" s="48" t="s">
        <v>43</v>
      </c>
      <c r="D2494" s="36" t="s">
        <v>309</v>
      </c>
      <c r="E2494" s="93">
        <v>45962</v>
      </c>
      <c r="F2494" s="98">
        <v>26125</v>
      </c>
      <c r="G2494" s="98">
        <v>26125</v>
      </c>
    </row>
    <row r="2495" spans="1:7">
      <c r="A2495" s="56" t="s">
        <v>606</v>
      </c>
      <c r="B2495" s="56" t="s">
        <v>77</v>
      </c>
      <c r="C2495" s="48" t="s">
        <v>43</v>
      </c>
      <c r="D2495" s="36" t="s">
        <v>309</v>
      </c>
      <c r="E2495" s="93">
        <v>46143</v>
      </c>
      <c r="F2495" s="98">
        <v>26125</v>
      </c>
      <c r="G2495" s="98">
        <v>26125</v>
      </c>
    </row>
    <row r="2496" spans="1:7">
      <c r="A2496" s="56" t="s">
        <v>606</v>
      </c>
      <c r="B2496" s="56" t="s">
        <v>77</v>
      </c>
      <c r="C2496" s="48" t="s">
        <v>43</v>
      </c>
      <c r="D2496" s="36" t="s">
        <v>309</v>
      </c>
      <c r="E2496" s="93">
        <v>46327</v>
      </c>
      <c r="F2496" s="98">
        <v>26125</v>
      </c>
      <c r="G2496" s="98">
        <v>26125</v>
      </c>
    </row>
    <row r="2497" spans="1:7">
      <c r="A2497" s="56" t="s">
        <v>606</v>
      </c>
      <c r="B2497" s="56" t="s">
        <v>77</v>
      </c>
      <c r="C2497" s="48" t="s">
        <v>43</v>
      </c>
      <c r="D2497" s="36" t="s">
        <v>309</v>
      </c>
      <c r="E2497" s="93">
        <v>46508</v>
      </c>
      <c r="F2497" s="98">
        <v>26125</v>
      </c>
      <c r="G2497" s="98">
        <v>26125</v>
      </c>
    </row>
    <row r="2498" spans="1:7">
      <c r="A2498" s="56" t="s">
        <v>606</v>
      </c>
      <c r="B2498" s="56" t="s">
        <v>77</v>
      </c>
      <c r="C2498" s="48" t="s">
        <v>43</v>
      </c>
      <c r="D2498" s="36" t="s">
        <v>309</v>
      </c>
      <c r="E2498" s="93">
        <v>46692</v>
      </c>
      <c r="F2498" s="98">
        <v>26125</v>
      </c>
      <c r="G2498" s="98">
        <v>26125</v>
      </c>
    </row>
    <row r="2499" spans="1:7">
      <c r="A2499" s="56" t="s">
        <v>606</v>
      </c>
      <c r="B2499" s="56" t="s">
        <v>77</v>
      </c>
      <c r="C2499" s="48" t="s">
        <v>43</v>
      </c>
      <c r="D2499" s="36" t="s">
        <v>309</v>
      </c>
      <c r="E2499" s="93">
        <v>46874</v>
      </c>
      <c r="F2499" s="98">
        <v>26125</v>
      </c>
      <c r="G2499" s="98">
        <v>26125</v>
      </c>
    </row>
    <row r="2500" spans="1:7">
      <c r="A2500" s="56" t="s">
        <v>606</v>
      </c>
      <c r="B2500" s="56" t="s">
        <v>77</v>
      </c>
      <c r="C2500" s="48" t="s">
        <v>43</v>
      </c>
      <c r="D2500" s="36" t="s">
        <v>309</v>
      </c>
      <c r="E2500" s="93">
        <v>47058</v>
      </c>
      <c r="F2500" s="98">
        <v>26125</v>
      </c>
      <c r="G2500" s="98">
        <v>26125</v>
      </c>
    </row>
    <row r="2501" spans="1:7">
      <c r="A2501" s="56" t="s">
        <v>606</v>
      </c>
      <c r="B2501" s="56" t="s">
        <v>77</v>
      </c>
      <c r="C2501" s="48" t="s">
        <v>43</v>
      </c>
      <c r="D2501" s="36" t="s">
        <v>309</v>
      </c>
      <c r="E2501" s="93">
        <v>47239</v>
      </c>
      <c r="F2501" s="98">
        <v>26125</v>
      </c>
      <c r="G2501" s="98">
        <v>26125</v>
      </c>
    </row>
    <row r="2502" spans="1:7">
      <c r="A2502" s="56" t="s">
        <v>606</v>
      </c>
      <c r="B2502" s="56" t="s">
        <v>77</v>
      </c>
      <c r="C2502" s="48" t="s">
        <v>43</v>
      </c>
      <c r="D2502" s="36" t="s">
        <v>309</v>
      </c>
      <c r="E2502" s="93">
        <v>47423</v>
      </c>
      <c r="F2502" s="98">
        <v>26125</v>
      </c>
      <c r="G2502" s="98">
        <v>26125</v>
      </c>
    </row>
    <row r="2503" spans="1:7">
      <c r="A2503" s="56" t="s">
        <v>606</v>
      </c>
      <c r="B2503" s="56" t="s">
        <v>77</v>
      </c>
      <c r="C2503" s="48" t="s">
        <v>43</v>
      </c>
      <c r="D2503" s="36" t="s">
        <v>309</v>
      </c>
      <c r="E2503" s="93">
        <v>47604</v>
      </c>
      <c r="F2503" s="98">
        <v>26125</v>
      </c>
      <c r="G2503" s="98">
        <v>26125</v>
      </c>
    </row>
    <row r="2504" spans="1:7">
      <c r="A2504" s="56" t="s">
        <v>606</v>
      </c>
      <c r="B2504" s="56" t="s">
        <v>77</v>
      </c>
      <c r="C2504" s="48" t="s">
        <v>43</v>
      </c>
      <c r="D2504" s="36" t="s">
        <v>309</v>
      </c>
      <c r="E2504" s="93">
        <v>47788</v>
      </c>
      <c r="F2504" s="98">
        <v>26125</v>
      </c>
      <c r="G2504" s="98">
        <v>26125</v>
      </c>
    </row>
    <row r="2505" spans="1:7">
      <c r="A2505" s="56" t="s">
        <v>606</v>
      </c>
      <c r="B2505" s="56" t="s">
        <v>77</v>
      </c>
      <c r="C2505" s="48" t="s">
        <v>43</v>
      </c>
      <c r="D2505" s="36" t="s">
        <v>309</v>
      </c>
      <c r="E2505" s="93">
        <v>47969</v>
      </c>
      <c r="F2505" s="98">
        <v>26125</v>
      </c>
      <c r="G2505" s="98">
        <v>26125</v>
      </c>
    </row>
    <row r="2506" spans="1:7">
      <c r="A2506" s="56" t="s">
        <v>606</v>
      </c>
      <c r="B2506" s="56" t="s">
        <v>77</v>
      </c>
      <c r="C2506" s="48" t="s">
        <v>43</v>
      </c>
      <c r="D2506" s="36" t="s">
        <v>309</v>
      </c>
      <c r="E2506" s="93">
        <v>48153</v>
      </c>
      <c r="F2506" s="98">
        <v>26125</v>
      </c>
      <c r="G2506" s="98">
        <v>1126125</v>
      </c>
    </row>
    <row r="2507" spans="1:7">
      <c r="A2507" s="56" t="s">
        <v>631</v>
      </c>
      <c r="B2507" s="56" t="s">
        <v>101</v>
      </c>
      <c r="C2507" s="48" t="s">
        <v>43</v>
      </c>
      <c r="D2507" s="36" t="s">
        <v>61</v>
      </c>
      <c r="E2507" s="93">
        <v>45672</v>
      </c>
      <c r="F2507" s="90">
        <v>120780</v>
      </c>
      <c r="G2507" s="90">
        <v>120780</v>
      </c>
    </row>
    <row r="2508" spans="1:7">
      <c r="A2508" s="56" t="s">
        <v>631</v>
      </c>
      <c r="B2508" s="56" t="s">
        <v>101</v>
      </c>
      <c r="C2508" s="48" t="s">
        <v>43</v>
      </c>
      <c r="D2508" s="36" t="s">
        <v>61</v>
      </c>
      <c r="E2508" s="93">
        <v>45853</v>
      </c>
      <c r="F2508" s="98">
        <v>120780</v>
      </c>
      <c r="G2508" s="98">
        <v>120780</v>
      </c>
    </row>
    <row r="2509" spans="1:7">
      <c r="A2509" s="56" t="s">
        <v>814</v>
      </c>
      <c r="B2509" s="56" t="s">
        <v>101</v>
      </c>
      <c r="C2509" s="48" t="s">
        <v>43</v>
      </c>
      <c r="D2509" s="36" t="s">
        <v>61</v>
      </c>
      <c r="E2509" s="93">
        <v>46037</v>
      </c>
      <c r="F2509" s="98">
        <v>120780</v>
      </c>
      <c r="G2509" s="98">
        <v>120780</v>
      </c>
    </row>
    <row r="2510" spans="1:7">
      <c r="A2510" s="56" t="s">
        <v>814</v>
      </c>
      <c r="B2510" s="56" t="s">
        <v>101</v>
      </c>
      <c r="C2510" s="48" t="s">
        <v>43</v>
      </c>
      <c r="D2510" s="36" t="s">
        <v>61</v>
      </c>
      <c r="E2510" s="93">
        <v>46218</v>
      </c>
      <c r="F2510" s="98">
        <v>120780</v>
      </c>
      <c r="G2510" s="98">
        <v>120780</v>
      </c>
    </row>
    <row r="2511" spans="1:7">
      <c r="A2511" s="56" t="s">
        <v>814</v>
      </c>
      <c r="B2511" s="56" t="s">
        <v>101</v>
      </c>
      <c r="C2511" s="48" t="s">
        <v>43</v>
      </c>
      <c r="D2511" s="36" t="s">
        <v>61</v>
      </c>
      <c r="E2511" s="93">
        <v>46402</v>
      </c>
      <c r="F2511" s="98">
        <v>120780</v>
      </c>
      <c r="G2511" s="98">
        <v>120780</v>
      </c>
    </row>
    <row r="2512" spans="1:7">
      <c r="A2512" s="56" t="s">
        <v>814</v>
      </c>
      <c r="B2512" s="56" t="s">
        <v>101</v>
      </c>
      <c r="C2512" s="48" t="s">
        <v>43</v>
      </c>
      <c r="D2512" s="36" t="s">
        <v>61</v>
      </c>
      <c r="E2512" s="93">
        <v>46583</v>
      </c>
      <c r="F2512" s="98">
        <v>120780</v>
      </c>
      <c r="G2512" s="98">
        <v>120780</v>
      </c>
    </row>
    <row r="2513" spans="1:7">
      <c r="A2513" s="56" t="s">
        <v>814</v>
      </c>
      <c r="B2513" s="56" t="s">
        <v>101</v>
      </c>
      <c r="C2513" s="48" t="s">
        <v>43</v>
      </c>
      <c r="D2513" s="36" t="s">
        <v>61</v>
      </c>
      <c r="E2513" s="93">
        <v>46767</v>
      </c>
      <c r="F2513" s="98">
        <v>120780</v>
      </c>
      <c r="G2513" s="98">
        <v>120780</v>
      </c>
    </row>
    <row r="2514" spans="1:7">
      <c r="A2514" s="56" t="s">
        <v>814</v>
      </c>
      <c r="B2514" s="56" t="s">
        <v>101</v>
      </c>
      <c r="C2514" s="48" t="s">
        <v>43</v>
      </c>
      <c r="D2514" s="36" t="s">
        <v>61</v>
      </c>
      <c r="E2514" s="93">
        <v>46949</v>
      </c>
      <c r="F2514" s="98">
        <v>120780</v>
      </c>
      <c r="G2514" s="98">
        <v>120780</v>
      </c>
    </row>
    <row r="2515" spans="1:7">
      <c r="A2515" s="56" t="s">
        <v>814</v>
      </c>
      <c r="B2515" s="56" t="s">
        <v>101</v>
      </c>
      <c r="C2515" s="48" t="s">
        <v>43</v>
      </c>
      <c r="D2515" s="36" t="s">
        <v>61</v>
      </c>
      <c r="E2515" s="93">
        <v>47133</v>
      </c>
      <c r="F2515" s="98">
        <v>120780</v>
      </c>
      <c r="G2515" s="98">
        <v>120780</v>
      </c>
    </row>
    <row r="2516" spans="1:7">
      <c r="A2516" s="56" t="s">
        <v>814</v>
      </c>
      <c r="B2516" s="56" t="s">
        <v>101</v>
      </c>
      <c r="C2516" s="48" t="s">
        <v>43</v>
      </c>
      <c r="D2516" s="36" t="s">
        <v>61</v>
      </c>
      <c r="E2516" s="93">
        <v>47314</v>
      </c>
      <c r="F2516" s="98">
        <v>120780</v>
      </c>
      <c r="G2516" s="98">
        <v>120780</v>
      </c>
    </row>
    <row r="2517" spans="1:7">
      <c r="A2517" s="56" t="s">
        <v>814</v>
      </c>
      <c r="B2517" s="56" t="s">
        <v>101</v>
      </c>
      <c r="C2517" s="48" t="s">
        <v>43</v>
      </c>
      <c r="D2517" s="36" t="s">
        <v>61</v>
      </c>
      <c r="E2517" s="93">
        <v>47498</v>
      </c>
      <c r="F2517" s="98">
        <v>120780</v>
      </c>
      <c r="G2517" s="98">
        <v>120780</v>
      </c>
    </row>
    <row r="2518" spans="1:7">
      <c r="A2518" s="56" t="s">
        <v>814</v>
      </c>
      <c r="B2518" s="56" t="s">
        <v>101</v>
      </c>
      <c r="C2518" s="48" t="s">
        <v>43</v>
      </c>
      <c r="D2518" s="36" t="s">
        <v>61</v>
      </c>
      <c r="E2518" s="93">
        <v>47679</v>
      </c>
      <c r="F2518" s="98">
        <v>120780</v>
      </c>
      <c r="G2518" s="98">
        <v>120780</v>
      </c>
    </row>
    <row r="2519" spans="1:7">
      <c r="A2519" s="56" t="s">
        <v>814</v>
      </c>
      <c r="B2519" s="56" t="s">
        <v>101</v>
      </c>
      <c r="C2519" s="48" t="s">
        <v>43</v>
      </c>
      <c r="D2519" s="36" t="s">
        <v>61</v>
      </c>
      <c r="E2519" s="93">
        <v>47863</v>
      </c>
      <c r="F2519" s="98">
        <v>120780</v>
      </c>
      <c r="G2519" s="98">
        <v>120780</v>
      </c>
    </row>
    <row r="2520" spans="1:7">
      <c r="A2520" s="56" t="s">
        <v>814</v>
      </c>
      <c r="B2520" s="56" t="s">
        <v>101</v>
      </c>
      <c r="C2520" s="48" t="s">
        <v>43</v>
      </c>
      <c r="D2520" s="36" t="s">
        <v>61</v>
      </c>
      <c r="E2520" s="93">
        <v>48044</v>
      </c>
      <c r="F2520" s="98">
        <v>120780</v>
      </c>
      <c r="G2520" s="98">
        <v>120780</v>
      </c>
    </row>
    <row r="2521" spans="1:7">
      <c r="A2521" s="56" t="s">
        <v>814</v>
      </c>
      <c r="B2521" s="56" t="s">
        <v>101</v>
      </c>
      <c r="C2521" s="48" t="s">
        <v>43</v>
      </c>
      <c r="D2521" s="36" t="s">
        <v>61</v>
      </c>
      <c r="E2521" s="93">
        <v>48228</v>
      </c>
      <c r="F2521" s="98">
        <v>120780</v>
      </c>
      <c r="G2521" s="98">
        <v>5000780</v>
      </c>
    </row>
    <row r="2522" spans="1:7">
      <c r="A2522" s="56" t="s">
        <v>450</v>
      </c>
      <c r="B2522" s="56" t="s">
        <v>54</v>
      </c>
      <c r="C2522" s="48" t="s">
        <v>43</v>
      </c>
      <c r="D2522" s="36" t="s">
        <v>61</v>
      </c>
      <c r="E2522" s="93">
        <v>45832</v>
      </c>
      <c r="F2522" s="90">
        <v>32625</v>
      </c>
      <c r="G2522" s="90">
        <v>32625</v>
      </c>
    </row>
    <row r="2523" spans="1:7">
      <c r="A2523" s="56" t="s">
        <v>450</v>
      </c>
      <c r="B2523" s="56" t="s">
        <v>54</v>
      </c>
      <c r="C2523" s="48" t="s">
        <v>43</v>
      </c>
      <c r="D2523" s="36" t="s">
        <v>61</v>
      </c>
      <c r="E2523" s="93">
        <v>46015</v>
      </c>
      <c r="F2523" s="98">
        <v>32625</v>
      </c>
      <c r="G2523" s="98">
        <v>32625</v>
      </c>
    </row>
    <row r="2524" spans="1:7">
      <c r="A2524" s="56" t="s">
        <v>878</v>
      </c>
      <c r="B2524" s="56" t="s">
        <v>54</v>
      </c>
      <c r="C2524" s="48" t="s">
        <v>43</v>
      </c>
      <c r="D2524" s="36" t="s">
        <v>61</v>
      </c>
      <c r="E2524" s="93">
        <v>46197</v>
      </c>
      <c r="F2524" s="98">
        <v>32625</v>
      </c>
      <c r="G2524" s="98">
        <v>32625</v>
      </c>
    </row>
    <row r="2525" spans="1:7">
      <c r="A2525" s="56" t="s">
        <v>878</v>
      </c>
      <c r="B2525" s="56" t="s">
        <v>54</v>
      </c>
      <c r="C2525" s="48" t="s">
        <v>43</v>
      </c>
      <c r="D2525" s="36" t="s">
        <v>61</v>
      </c>
      <c r="E2525" s="93">
        <v>46380</v>
      </c>
      <c r="F2525" s="98">
        <v>32625</v>
      </c>
      <c r="G2525" s="98">
        <v>32625</v>
      </c>
    </row>
    <row r="2526" spans="1:7">
      <c r="A2526" s="56" t="s">
        <v>878</v>
      </c>
      <c r="B2526" s="56" t="s">
        <v>54</v>
      </c>
      <c r="C2526" s="48" t="s">
        <v>43</v>
      </c>
      <c r="D2526" s="36" t="s">
        <v>61</v>
      </c>
      <c r="E2526" s="93">
        <v>46562</v>
      </c>
      <c r="F2526" s="98">
        <v>32625</v>
      </c>
      <c r="G2526" s="98">
        <v>32625</v>
      </c>
    </row>
    <row r="2527" spans="1:7">
      <c r="A2527" s="56" t="s">
        <v>878</v>
      </c>
      <c r="B2527" s="56" t="s">
        <v>54</v>
      </c>
      <c r="C2527" s="48" t="s">
        <v>43</v>
      </c>
      <c r="D2527" s="36" t="s">
        <v>61</v>
      </c>
      <c r="E2527" s="93">
        <v>46745</v>
      </c>
      <c r="F2527" s="98">
        <v>32625</v>
      </c>
      <c r="G2527" s="98">
        <v>32625</v>
      </c>
    </row>
    <row r="2528" spans="1:7">
      <c r="A2528" s="56" t="s">
        <v>878</v>
      </c>
      <c r="B2528" s="56" t="s">
        <v>54</v>
      </c>
      <c r="C2528" s="48" t="s">
        <v>43</v>
      </c>
      <c r="D2528" s="36" t="s">
        <v>61</v>
      </c>
      <c r="E2528" s="93">
        <v>46928</v>
      </c>
      <c r="F2528" s="98">
        <v>32625</v>
      </c>
      <c r="G2528" s="98">
        <v>32625</v>
      </c>
    </row>
    <row r="2529" spans="1:7">
      <c r="A2529" s="56" t="s">
        <v>878</v>
      </c>
      <c r="B2529" s="56" t="s">
        <v>54</v>
      </c>
      <c r="C2529" s="48" t="s">
        <v>43</v>
      </c>
      <c r="D2529" s="36" t="s">
        <v>61</v>
      </c>
      <c r="E2529" s="93">
        <v>47111</v>
      </c>
      <c r="F2529" s="98">
        <v>32625</v>
      </c>
      <c r="G2529" s="98">
        <v>32625</v>
      </c>
    </row>
    <row r="2530" spans="1:7">
      <c r="A2530" s="56" t="s">
        <v>878</v>
      </c>
      <c r="B2530" s="56" t="s">
        <v>54</v>
      </c>
      <c r="C2530" s="48" t="s">
        <v>43</v>
      </c>
      <c r="D2530" s="36" t="s">
        <v>61</v>
      </c>
      <c r="E2530" s="93">
        <v>47293</v>
      </c>
      <c r="F2530" s="98">
        <v>32625</v>
      </c>
      <c r="G2530" s="98">
        <v>32625</v>
      </c>
    </row>
    <row r="2531" spans="1:7">
      <c r="A2531" s="56" t="s">
        <v>878</v>
      </c>
      <c r="B2531" s="56" t="s">
        <v>54</v>
      </c>
      <c r="C2531" s="48" t="s">
        <v>43</v>
      </c>
      <c r="D2531" s="36" t="s">
        <v>61</v>
      </c>
      <c r="E2531" s="93">
        <v>47476</v>
      </c>
      <c r="F2531" s="98">
        <v>32625</v>
      </c>
      <c r="G2531" s="98">
        <v>32625</v>
      </c>
    </row>
    <row r="2532" spans="1:7">
      <c r="A2532" s="56" t="s">
        <v>878</v>
      </c>
      <c r="B2532" s="56" t="s">
        <v>54</v>
      </c>
      <c r="C2532" s="48" t="s">
        <v>43</v>
      </c>
      <c r="D2532" s="36" t="s">
        <v>61</v>
      </c>
      <c r="E2532" s="93">
        <v>47658</v>
      </c>
      <c r="F2532" s="98">
        <v>32625</v>
      </c>
      <c r="G2532" s="98">
        <v>4532625</v>
      </c>
    </row>
    <row r="2533" spans="1:7">
      <c r="A2533" s="56" t="s">
        <v>464</v>
      </c>
      <c r="B2533" s="56" t="s">
        <v>54</v>
      </c>
      <c r="C2533" s="48" t="s">
        <v>43</v>
      </c>
      <c r="D2533" s="36" t="s">
        <v>61</v>
      </c>
      <c r="E2533" s="93">
        <v>45672</v>
      </c>
      <c r="F2533" s="90">
        <v>74000</v>
      </c>
      <c r="G2533" s="90">
        <v>74000</v>
      </c>
    </row>
    <row r="2534" spans="1:7">
      <c r="A2534" s="56" t="s">
        <v>464</v>
      </c>
      <c r="B2534" s="56" t="s">
        <v>54</v>
      </c>
      <c r="C2534" s="48" t="s">
        <v>43</v>
      </c>
      <c r="D2534" s="36" t="s">
        <v>61</v>
      </c>
      <c r="E2534" s="93">
        <v>45853</v>
      </c>
      <c r="F2534" s="98">
        <v>74000</v>
      </c>
      <c r="G2534" s="98">
        <v>74000</v>
      </c>
    </row>
    <row r="2535" spans="1:7">
      <c r="A2535" s="56" t="s">
        <v>879</v>
      </c>
      <c r="B2535" s="56" t="s">
        <v>54</v>
      </c>
      <c r="C2535" s="48" t="s">
        <v>43</v>
      </c>
      <c r="D2535" s="36" t="s">
        <v>61</v>
      </c>
      <c r="E2535" s="93">
        <v>46037</v>
      </c>
      <c r="F2535" s="98">
        <v>74000</v>
      </c>
      <c r="G2535" s="98">
        <v>74000</v>
      </c>
    </row>
    <row r="2536" spans="1:7">
      <c r="A2536" s="56" t="s">
        <v>879</v>
      </c>
      <c r="B2536" s="56" t="s">
        <v>54</v>
      </c>
      <c r="C2536" s="48" t="s">
        <v>43</v>
      </c>
      <c r="D2536" s="36" t="s">
        <v>61</v>
      </c>
      <c r="E2536" s="93">
        <v>46218</v>
      </c>
      <c r="F2536" s="98">
        <v>74000</v>
      </c>
      <c r="G2536" s="98">
        <v>74000</v>
      </c>
    </row>
    <row r="2537" spans="1:7">
      <c r="A2537" s="56" t="s">
        <v>879</v>
      </c>
      <c r="B2537" s="56" t="s">
        <v>54</v>
      </c>
      <c r="C2537" s="48" t="s">
        <v>43</v>
      </c>
      <c r="D2537" s="36" t="s">
        <v>61</v>
      </c>
      <c r="E2537" s="93">
        <v>46402</v>
      </c>
      <c r="F2537" s="98">
        <v>74000</v>
      </c>
      <c r="G2537" s="98">
        <v>74000</v>
      </c>
    </row>
    <row r="2538" spans="1:7">
      <c r="A2538" s="56" t="s">
        <v>879</v>
      </c>
      <c r="B2538" s="56" t="s">
        <v>54</v>
      </c>
      <c r="C2538" s="48" t="s">
        <v>43</v>
      </c>
      <c r="D2538" s="36" t="s">
        <v>61</v>
      </c>
      <c r="E2538" s="93">
        <v>46583</v>
      </c>
      <c r="F2538" s="98">
        <v>74000</v>
      </c>
      <c r="G2538" s="98">
        <v>74000</v>
      </c>
    </row>
    <row r="2539" spans="1:7">
      <c r="A2539" s="56" t="s">
        <v>879</v>
      </c>
      <c r="B2539" s="56" t="s">
        <v>54</v>
      </c>
      <c r="C2539" s="48" t="s">
        <v>43</v>
      </c>
      <c r="D2539" s="36" t="s">
        <v>61</v>
      </c>
      <c r="E2539" s="93">
        <v>46767</v>
      </c>
      <c r="F2539" s="98">
        <v>74000</v>
      </c>
      <c r="G2539" s="98">
        <v>74000</v>
      </c>
    </row>
    <row r="2540" spans="1:7">
      <c r="A2540" s="56" t="s">
        <v>879</v>
      </c>
      <c r="B2540" s="56" t="s">
        <v>54</v>
      </c>
      <c r="C2540" s="48" t="s">
        <v>43</v>
      </c>
      <c r="D2540" s="36" t="s">
        <v>61</v>
      </c>
      <c r="E2540" s="93">
        <v>46949</v>
      </c>
      <c r="F2540" s="98">
        <v>74000</v>
      </c>
      <c r="G2540" s="98">
        <v>74000</v>
      </c>
    </row>
    <row r="2541" spans="1:7">
      <c r="A2541" s="56" t="s">
        <v>879</v>
      </c>
      <c r="B2541" s="56" t="s">
        <v>54</v>
      </c>
      <c r="C2541" s="48" t="s">
        <v>43</v>
      </c>
      <c r="D2541" s="36" t="s">
        <v>61</v>
      </c>
      <c r="E2541" s="93">
        <v>47133</v>
      </c>
      <c r="F2541" s="98">
        <v>74000</v>
      </c>
      <c r="G2541" s="98">
        <v>74000</v>
      </c>
    </row>
    <row r="2542" spans="1:7">
      <c r="A2542" s="56" t="s">
        <v>879</v>
      </c>
      <c r="B2542" s="56" t="s">
        <v>54</v>
      </c>
      <c r="C2542" s="48" t="s">
        <v>43</v>
      </c>
      <c r="D2542" s="36" t="s">
        <v>61</v>
      </c>
      <c r="E2542" s="93">
        <v>47314</v>
      </c>
      <c r="F2542" s="98">
        <v>74000</v>
      </c>
      <c r="G2542" s="98">
        <v>74000</v>
      </c>
    </row>
    <row r="2543" spans="1:7">
      <c r="A2543" s="56" t="s">
        <v>879</v>
      </c>
      <c r="B2543" s="56" t="s">
        <v>54</v>
      </c>
      <c r="C2543" s="48" t="s">
        <v>43</v>
      </c>
      <c r="D2543" s="36" t="s">
        <v>61</v>
      </c>
      <c r="E2543" s="93">
        <v>47498</v>
      </c>
      <c r="F2543" s="98">
        <v>74000</v>
      </c>
      <c r="G2543" s="98">
        <v>74000</v>
      </c>
    </row>
    <row r="2544" spans="1:7">
      <c r="A2544" s="56" t="s">
        <v>879</v>
      </c>
      <c r="B2544" s="56" t="s">
        <v>54</v>
      </c>
      <c r="C2544" s="48" t="s">
        <v>43</v>
      </c>
      <c r="D2544" s="36" t="s">
        <v>61</v>
      </c>
      <c r="E2544" s="93">
        <v>47679</v>
      </c>
      <c r="F2544" s="98">
        <v>74000</v>
      </c>
      <c r="G2544" s="98">
        <v>4074000</v>
      </c>
    </row>
    <row r="2545" spans="1:7">
      <c r="A2545" s="56" t="s">
        <v>464</v>
      </c>
      <c r="B2545" s="56" t="s">
        <v>101</v>
      </c>
      <c r="C2545" s="48" t="s">
        <v>43</v>
      </c>
      <c r="D2545" s="36" t="s">
        <v>61</v>
      </c>
      <c r="E2545" s="93">
        <v>45672</v>
      </c>
      <c r="F2545" s="90">
        <v>27750</v>
      </c>
      <c r="G2545" s="90">
        <v>27750</v>
      </c>
    </row>
    <row r="2546" spans="1:7">
      <c r="A2546" s="56" t="s">
        <v>464</v>
      </c>
      <c r="B2546" s="56" t="s">
        <v>101</v>
      </c>
      <c r="C2546" s="48" t="s">
        <v>43</v>
      </c>
      <c r="D2546" s="36" t="s">
        <v>61</v>
      </c>
      <c r="E2546" s="93">
        <v>45853</v>
      </c>
      <c r="F2546" s="98">
        <v>27750</v>
      </c>
      <c r="G2546" s="98">
        <v>27750</v>
      </c>
    </row>
    <row r="2547" spans="1:7">
      <c r="A2547" s="56" t="s">
        <v>879</v>
      </c>
      <c r="B2547" s="56" t="s">
        <v>101</v>
      </c>
      <c r="C2547" s="48" t="s">
        <v>43</v>
      </c>
      <c r="D2547" s="36" t="s">
        <v>61</v>
      </c>
      <c r="E2547" s="93">
        <v>46037</v>
      </c>
      <c r="F2547" s="98">
        <v>27750</v>
      </c>
      <c r="G2547" s="98">
        <v>27750</v>
      </c>
    </row>
    <row r="2548" spans="1:7">
      <c r="A2548" s="56" t="s">
        <v>879</v>
      </c>
      <c r="B2548" s="56" t="s">
        <v>101</v>
      </c>
      <c r="C2548" s="48" t="s">
        <v>43</v>
      </c>
      <c r="D2548" s="36" t="s">
        <v>61</v>
      </c>
      <c r="E2548" s="93">
        <v>46218</v>
      </c>
      <c r="F2548" s="98">
        <v>27750</v>
      </c>
      <c r="G2548" s="98">
        <v>27750</v>
      </c>
    </row>
    <row r="2549" spans="1:7">
      <c r="A2549" s="56" t="s">
        <v>879</v>
      </c>
      <c r="B2549" s="56" t="s">
        <v>101</v>
      </c>
      <c r="C2549" s="48" t="s">
        <v>43</v>
      </c>
      <c r="D2549" s="36" t="s">
        <v>61</v>
      </c>
      <c r="E2549" s="93">
        <v>46402</v>
      </c>
      <c r="F2549" s="98">
        <v>27750</v>
      </c>
      <c r="G2549" s="98">
        <v>27750</v>
      </c>
    </row>
    <row r="2550" spans="1:7">
      <c r="A2550" s="56" t="s">
        <v>879</v>
      </c>
      <c r="B2550" s="56" t="s">
        <v>101</v>
      </c>
      <c r="C2550" s="48" t="s">
        <v>43</v>
      </c>
      <c r="D2550" s="36" t="s">
        <v>61</v>
      </c>
      <c r="E2550" s="93">
        <v>46583</v>
      </c>
      <c r="F2550" s="98">
        <v>27750</v>
      </c>
      <c r="G2550" s="98">
        <v>27750</v>
      </c>
    </row>
    <row r="2551" spans="1:7">
      <c r="A2551" s="56" t="s">
        <v>879</v>
      </c>
      <c r="B2551" s="56" t="s">
        <v>101</v>
      </c>
      <c r="C2551" s="48" t="s">
        <v>43</v>
      </c>
      <c r="D2551" s="36" t="s">
        <v>61</v>
      </c>
      <c r="E2551" s="93">
        <v>46767</v>
      </c>
      <c r="F2551" s="98">
        <v>27750</v>
      </c>
      <c r="G2551" s="98">
        <v>27750</v>
      </c>
    </row>
    <row r="2552" spans="1:7">
      <c r="A2552" s="56" t="s">
        <v>879</v>
      </c>
      <c r="B2552" s="56" t="s">
        <v>101</v>
      </c>
      <c r="C2552" s="48" t="s">
        <v>43</v>
      </c>
      <c r="D2552" s="36" t="s">
        <v>61</v>
      </c>
      <c r="E2552" s="93">
        <v>46949</v>
      </c>
      <c r="F2552" s="98">
        <v>27750</v>
      </c>
      <c r="G2552" s="98">
        <v>27750</v>
      </c>
    </row>
    <row r="2553" spans="1:7">
      <c r="A2553" s="56" t="s">
        <v>879</v>
      </c>
      <c r="B2553" s="56" t="s">
        <v>101</v>
      </c>
      <c r="C2553" s="48" t="s">
        <v>43</v>
      </c>
      <c r="D2553" s="36" t="s">
        <v>61</v>
      </c>
      <c r="E2553" s="93">
        <v>47133</v>
      </c>
      <c r="F2553" s="98">
        <v>27750</v>
      </c>
      <c r="G2553" s="98">
        <v>27750</v>
      </c>
    </row>
    <row r="2554" spans="1:7">
      <c r="A2554" s="56" t="s">
        <v>879</v>
      </c>
      <c r="B2554" s="56" t="s">
        <v>101</v>
      </c>
      <c r="C2554" s="48" t="s">
        <v>43</v>
      </c>
      <c r="D2554" s="36" t="s">
        <v>61</v>
      </c>
      <c r="E2554" s="93">
        <v>47314</v>
      </c>
      <c r="F2554" s="98">
        <v>27750</v>
      </c>
      <c r="G2554" s="98">
        <v>27750</v>
      </c>
    </row>
    <row r="2555" spans="1:7">
      <c r="A2555" s="56" t="s">
        <v>879</v>
      </c>
      <c r="B2555" s="56" t="s">
        <v>101</v>
      </c>
      <c r="C2555" s="48" t="s">
        <v>43</v>
      </c>
      <c r="D2555" s="36" t="s">
        <v>61</v>
      </c>
      <c r="E2555" s="93">
        <v>47498</v>
      </c>
      <c r="F2555" s="98">
        <v>27750</v>
      </c>
      <c r="G2555" s="98">
        <v>27750</v>
      </c>
    </row>
    <row r="2556" spans="1:7">
      <c r="A2556" s="56" t="s">
        <v>879</v>
      </c>
      <c r="B2556" s="56" t="s">
        <v>101</v>
      </c>
      <c r="C2556" s="48" t="s">
        <v>43</v>
      </c>
      <c r="D2556" s="36" t="s">
        <v>61</v>
      </c>
      <c r="E2556" s="93">
        <v>47679</v>
      </c>
      <c r="F2556" s="98">
        <v>27750</v>
      </c>
      <c r="G2556" s="98">
        <v>1527750</v>
      </c>
    </row>
    <row r="2557" spans="1:7">
      <c r="A2557" s="56" t="s">
        <v>493</v>
      </c>
      <c r="B2557" s="56" t="s">
        <v>54</v>
      </c>
      <c r="C2557" s="48" t="s">
        <v>43</v>
      </c>
      <c r="D2557" s="36" t="s">
        <v>61</v>
      </c>
      <c r="E2557" s="93">
        <v>45670</v>
      </c>
      <c r="F2557" s="90">
        <v>59625</v>
      </c>
      <c r="G2557" s="90">
        <v>59625</v>
      </c>
    </row>
    <row r="2558" spans="1:7">
      <c r="A2558" s="56" t="s">
        <v>493</v>
      </c>
      <c r="B2558" s="56" t="s">
        <v>54</v>
      </c>
      <c r="C2558" s="48" t="s">
        <v>43</v>
      </c>
      <c r="D2558" s="36" t="s">
        <v>61</v>
      </c>
      <c r="E2558" s="93">
        <v>45851</v>
      </c>
      <c r="F2558" s="98">
        <v>59625</v>
      </c>
      <c r="G2558" s="98">
        <v>59625</v>
      </c>
    </row>
    <row r="2559" spans="1:7">
      <c r="A2559" s="56" t="s">
        <v>776</v>
      </c>
      <c r="B2559" s="56" t="s">
        <v>54</v>
      </c>
      <c r="C2559" s="48" t="s">
        <v>43</v>
      </c>
      <c r="D2559" s="36" t="s">
        <v>61</v>
      </c>
      <c r="E2559" s="93">
        <v>46035</v>
      </c>
      <c r="F2559" s="98">
        <v>59625</v>
      </c>
      <c r="G2559" s="98">
        <v>59625</v>
      </c>
    </row>
    <row r="2560" spans="1:7">
      <c r="A2560" s="56" t="s">
        <v>776</v>
      </c>
      <c r="B2560" s="56" t="s">
        <v>54</v>
      </c>
      <c r="C2560" s="48" t="s">
        <v>43</v>
      </c>
      <c r="D2560" s="36" t="s">
        <v>61</v>
      </c>
      <c r="E2560" s="93">
        <v>46216</v>
      </c>
      <c r="F2560" s="98">
        <v>59625</v>
      </c>
      <c r="G2560" s="98">
        <v>59625</v>
      </c>
    </row>
    <row r="2561" spans="1:7">
      <c r="A2561" s="56" t="s">
        <v>776</v>
      </c>
      <c r="B2561" s="56" t="s">
        <v>54</v>
      </c>
      <c r="C2561" s="48" t="s">
        <v>43</v>
      </c>
      <c r="D2561" s="36" t="s">
        <v>61</v>
      </c>
      <c r="E2561" s="93">
        <v>46400</v>
      </c>
      <c r="F2561" s="98">
        <v>59625</v>
      </c>
      <c r="G2561" s="98">
        <v>59625</v>
      </c>
    </row>
    <row r="2562" spans="1:7">
      <c r="A2562" s="56" t="s">
        <v>776</v>
      </c>
      <c r="B2562" s="56" t="s">
        <v>54</v>
      </c>
      <c r="C2562" s="48" t="s">
        <v>43</v>
      </c>
      <c r="D2562" s="36" t="s">
        <v>61</v>
      </c>
      <c r="E2562" s="93">
        <v>46581</v>
      </c>
      <c r="F2562" s="98">
        <v>59625</v>
      </c>
      <c r="G2562" s="98">
        <v>59625</v>
      </c>
    </row>
    <row r="2563" spans="1:7">
      <c r="A2563" s="56" t="s">
        <v>776</v>
      </c>
      <c r="B2563" s="56" t="s">
        <v>54</v>
      </c>
      <c r="C2563" s="48" t="s">
        <v>43</v>
      </c>
      <c r="D2563" s="36" t="s">
        <v>61</v>
      </c>
      <c r="E2563" s="93">
        <v>46765</v>
      </c>
      <c r="F2563" s="98">
        <v>59625</v>
      </c>
      <c r="G2563" s="98">
        <v>59625</v>
      </c>
    </row>
    <row r="2564" spans="1:7">
      <c r="A2564" s="56" t="s">
        <v>776</v>
      </c>
      <c r="B2564" s="56" t="s">
        <v>54</v>
      </c>
      <c r="C2564" s="48" t="s">
        <v>43</v>
      </c>
      <c r="D2564" s="36" t="s">
        <v>61</v>
      </c>
      <c r="E2564" s="93">
        <v>46947</v>
      </c>
      <c r="F2564" s="98">
        <v>59625</v>
      </c>
      <c r="G2564" s="98">
        <v>59625</v>
      </c>
    </row>
    <row r="2565" spans="1:7">
      <c r="A2565" s="56" t="s">
        <v>776</v>
      </c>
      <c r="B2565" s="56" t="s">
        <v>54</v>
      </c>
      <c r="C2565" s="48" t="s">
        <v>43</v>
      </c>
      <c r="D2565" s="36" t="s">
        <v>61</v>
      </c>
      <c r="E2565" s="93">
        <v>47131</v>
      </c>
      <c r="F2565" s="98">
        <v>59625</v>
      </c>
      <c r="G2565" s="98">
        <v>59625</v>
      </c>
    </row>
    <row r="2566" spans="1:7">
      <c r="A2566" s="56" t="s">
        <v>776</v>
      </c>
      <c r="B2566" s="56" t="s">
        <v>54</v>
      </c>
      <c r="C2566" s="48" t="s">
        <v>43</v>
      </c>
      <c r="D2566" s="36" t="s">
        <v>61</v>
      </c>
      <c r="E2566" s="93">
        <v>47312</v>
      </c>
      <c r="F2566" s="98">
        <v>59625</v>
      </c>
      <c r="G2566" s="98">
        <v>59625</v>
      </c>
    </row>
    <row r="2567" spans="1:7">
      <c r="A2567" s="56" t="s">
        <v>776</v>
      </c>
      <c r="B2567" s="56" t="s">
        <v>54</v>
      </c>
      <c r="C2567" s="48" t="s">
        <v>43</v>
      </c>
      <c r="D2567" s="36" t="s">
        <v>61</v>
      </c>
      <c r="E2567" s="93">
        <v>47496</v>
      </c>
      <c r="F2567" s="98">
        <v>59625</v>
      </c>
      <c r="G2567" s="98">
        <v>59625</v>
      </c>
    </row>
    <row r="2568" spans="1:7">
      <c r="A2568" s="56" t="s">
        <v>776</v>
      </c>
      <c r="B2568" s="56" t="s">
        <v>54</v>
      </c>
      <c r="C2568" s="48" t="s">
        <v>43</v>
      </c>
      <c r="D2568" s="36" t="s">
        <v>61</v>
      </c>
      <c r="E2568" s="93">
        <v>47677</v>
      </c>
      <c r="F2568" s="98">
        <v>59625</v>
      </c>
      <c r="G2568" s="98">
        <v>59625</v>
      </c>
    </row>
    <row r="2569" spans="1:7">
      <c r="A2569" s="56" t="s">
        <v>776</v>
      </c>
      <c r="B2569" s="56" t="s">
        <v>54</v>
      </c>
      <c r="C2569" s="48" t="s">
        <v>43</v>
      </c>
      <c r="D2569" s="36" t="s">
        <v>61</v>
      </c>
      <c r="E2569" s="93">
        <v>47861</v>
      </c>
      <c r="F2569" s="98">
        <v>59625</v>
      </c>
      <c r="G2569" s="98">
        <v>4559625</v>
      </c>
    </row>
    <row r="2570" spans="1:7">
      <c r="A2570" s="56" t="s">
        <v>464</v>
      </c>
      <c r="B2570" s="56" t="s">
        <v>77</v>
      </c>
      <c r="C2570" s="48" t="s">
        <v>43</v>
      </c>
      <c r="D2570" s="36" t="s">
        <v>309</v>
      </c>
      <c r="E2570" s="93">
        <v>45672</v>
      </c>
      <c r="F2570" s="90">
        <v>148000</v>
      </c>
      <c r="G2570" s="90">
        <v>148000</v>
      </c>
    </row>
    <row r="2571" spans="1:7">
      <c r="A2571" s="56" t="s">
        <v>464</v>
      </c>
      <c r="B2571" s="56" t="s">
        <v>77</v>
      </c>
      <c r="C2571" s="48" t="s">
        <v>43</v>
      </c>
      <c r="D2571" s="36" t="s">
        <v>309</v>
      </c>
      <c r="E2571" s="93">
        <v>45853</v>
      </c>
      <c r="F2571" s="98">
        <v>148000</v>
      </c>
      <c r="G2571" s="98">
        <v>148000</v>
      </c>
    </row>
    <row r="2572" spans="1:7">
      <c r="A2572" s="56" t="s">
        <v>879</v>
      </c>
      <c r="B2572" s="56" t="s">
        <v>77</v>
      </c>
      <c r="C2572" s="48" t="s">
        <v>43</v>
      </c>
      <c r="D2572" s="36" t="s">
        <v>309</v>
      </c>
      <c r="E2572" s="93">
        <v>46037</v>
      </c>
      <c r="F2572" s="98">
        <v>148000</v>
      </c>
      <c r="G2572" s="98">
        <v>148000</v>
      </c>
    </row>
    <row r="2573" spans="1:7">
      <c r="A2573" s="56" t="s">
        <v>879</v>
      </c>
      <c r="B2573" s="56" t="s">
        <v>77</v>
      </c>
      <c r="C2573" s="48" t="s">
        <v>43</v>
      </c>
      <c r="D2573" s="36" t="s">
        <v>309</v>
      </c>
      <c r="E2573" s="93">
        <v>46218</v>
      </c>
      <c r="F2573" s="98">
        <v>148000</v>
      </c>
      <c r="G2573" s="98">
        <v>148000</v>
      </c>
    </row>
    <row r="2574" spans="1:7">
      <c r="A2574" s="56" t="s">
        <v>879</v>
      </c>
      <c r="B2574" s="56" t="s">
        <v>77</v>
      </c>
      <c r="C2574" s="48" t="s">
        <v>43</v>
      </c>
      <c r="D2574" s="36" t="s">
        <v>309</v>
      </c>
      <c r="E2574" s="93">
        <v>46402</v>
      </c>
      <c r="F2574" s="98">
        <v>148000</v>
      </c>
      <c r="G2574" s="98">
        <v>148000</v>
      </c>
    </row>
    <row r="2575" spans="1:7">
      <c r="A2575" s="56" t="s">
        <v>879</v>
      </c>
      <c r="B2575" s="56" t="s">
        <v>77</v>
      </c>
      <c r="C2575" s="48" t="s">
        <v>43</v>
      </c>
      <c r="D2575" s="36" t="s">
        <v>309</v>
      </c>
      <c r="E2575" s="93">
        <v>46583</v>
      </c>
      <c r="F2575" s="98">
        <v>148000</v>
      </c>
      <c r="G2575" s="98">
        <v>148000</v>
      </c>
    </row>
    <row r="2576" spans="1:7">
      <c r="A2576" s="56" t="s">
        <v>879</v>
      </c>
      <c r="B2576" s="56" t="s">
        <v>77</v>
      </c>
      <c r="C2576" s="48" t="s">
        <v>43</v>
      </c>
      <c r="D2576" s="36" t="s">
        <v>309</v>
      </c>
      <c r="E2576" s="93">
        <v>46767</v>
      </c>
      <c r="F2576" s="98">
        <v>148000</v>
      </c>
      <c r="G2576" s="98">
        <v>148000</v>
      </c>
    </row>
    <row r="2577" spans="1:7">
      <c r="A2577" s="56" t="s">
        <v>879</v>
      </c>
      <c r="B2577" s="56" t="s">
        <v>77</v>
      </c>
      <c r="C2577" s="48" t="s">
        <v>43</v>
      </c>
      <c r="D2577" s="36" t="s">
        <v>309</v>
      </c>
      <c r="E2577" s="93">
        <v>46949</v>
      </c>
      <c r="F2577" s="98">
        <v>148000</v>
      </c>
      <c r="G2577" s="98">
        <v>148000</v>
      </c>
    </row>
    <row r="2578" spans="1:7">
      <c r="A2578" s="56" t="s">
        <v>879</v>
      </c>
      <c r="B2578" s="56" t="s">
        <v>77</v>
      </c>
      <c r="C2578" s="48" t="s">
        <v>43</v>
      </c>
      <c r="D2578" s="36" t="s">
        <v>309</v>
      </c>
      <c r="E2578" s="93">
        <v>47133</v>
      </c>
      <c r="F2578" s="98">
        <v>148000</v>
      </c>
      <c r="G2578" s="98">
        <v>148000</v>
      </c>
    </row>
    <row r="2579" spans="1:7">
      <c r="A2579" s="56" t="s">
        <v>879</v>
      </c>
      <c r="B2579" s="56" t="s">
        <v>77</v>
      </c>
      <c r="C2579" s="48" t="s">
        <v>43</v>
      </c>
      <c r="D2579" s="36" t="s">
        <v>309</v>
      </c>
      <c r="E2579" s="93">
        <v>47314</v>
      </c>
      <c r="F2579" s="98">
        <v>148000</v>
      </c>
      <c r="G2579" s="98">
        <v>148000</v>
      </c>
    </row>
    <row r="2580" spans="1:7">
      <c r="A2580" s="56" t="s">
        <v>879</v>
      </c>
      <c r="B2580" s="56" t="s">
        <v>77</v>
      </c>
      <c r="C2580" s="48" t="s">
        <v>43</v>
      </c>
      <c r="D2580" s="36" t="s">
        <v>309</v>
      </c>
      <c r="E2580" s="93">
        <v>47498</v>
      </c>
      <c r="F2580" s="98">
        <v>148000</v>
      </c>
      <c r="G2580" s="98">
        <v>148000</v>
      </c>
    </row>
    <row r="2581" spans="1:7">
      <c r="A2581" s="56" t="s">
        <v>879</v>
      </c>
      <c r="B2581" s="56" t="s">
        <v>77</v>
      </c>
      <c r="C2581" s="48" t="s">
        <v>43</v>
      </c>
      <c r="D2581" s="36" t="s">
        <v>309</v>
      </c>
      <c r="E2581" s="93">
        <v>47679</v>
      </c>
      <c r="F2581" s="98">
        <v>148000</v>
      </c>
      <c r="G2581" s="98">
        <v>8148000</v>
      </c>
    </row>
    <row r="2582" spans="1:7">
      <c r="A2582" s="33" t="s">
        <v>459</v>
      </c>
      <c r="B2582" s="33" t="s">
        <v>91</v>
      </c>
      <c r="C2582" s="48" t="s">
        <v>43</v>
      </c>
      <c r="D2582" s="36" t="s">
        <v>61</v>
      </c>
      <c r="E2582" s="93">
        <v>45672</v>
      </c>
      <c r="F2582" s="90">
        <v>42550</v>
      </c>
      <c r="G2582" s="90">
        <v>42550</v>
      </c>
    </row>
    <row r="2583" spans="1:7">
      <c r="A2583" s="33" t="s">
        <v>459</v>
      </c>
      <c r="B2583" s="33" t="s">
        <v>91</v>
      </c>
      <c r="C2583" s="48" t="s">
        <v>43</v>
      </c>
      <c r="D2583" s="36" t="s">
        <v>61</v>
      </c>
      <c r="E2583" s="93">
        <v>45853</v>
      </c>
      <c r="F2583" s="98">
        <v>42550</v>
      </c>
      <c r="G2583" s="98">
        <v>42550</v>
      </c>
    </row>
    <row r="2584" spans="1:7">
      <c r="A2584" s="33" t="s">
        <v>879</v>
      </c>
      <c r="B2584" s="33" t="s">
        <v>91</v>
      </c>
      <c r="C2584" s="48" t="s">
        <v>43</v>
      </c>
      <c r="D2584" s="36" t="s">
        <v>61</v>
      </c>
      <c r="E2584" s="93">
        <v>46037</v>
      </c>
      <c r="F2584" s="98">
        <v>42550</v>
      </c>
      <c r="G2584" s="98">
        <v>42550</v>
      </c>
    </row>
    <row r="2585" spans="1:7">
      <c r="A2585" s="33" t="s">
        <v>879</v>
      </c>
      <c r="B2585" s="33" t="s">
        <v>91</v>
      </c>
      <c r="C2585" s="48" t="s">
        <v>43</v>
      </c>
      <c r="D2585" s="36" t="s">
        <v>61</v>
      </c>
      <c r="E2585" s="93">
        <v>46218</v>
      </c>
      <c r="F2585" s="98">
        <v>42550</v>
      </c>
      <c r="G2585" s="98">
        <v>42550</v>
      </c>
    </row>
    <row r="2586" spans="1:7">
      <c r="A2586" s="33" t="s">
        <v>879</v>
      </c>
      <c r="B2586" s="33" t="s">
        <v>91</v>
      </c>
      <c r="C2586" s="48" t="s">
        <v>43</v>
      </c>
      <c r="D2586" s="36" t="s">
        <v>61</v>
      </c>
      <c r="E2586" s="93">
        <v>46402</v>
      </c>
      <c r="F2586" s="98">
        <v>42550</v>
      </c>
      <c r="G2586" s="98">
        <v>42550</v>
      </c>
    </row>
    <row r="2587" spans="1:7">
      <c r="A2587" s="33" t="s">
        <v>879</v>
      </c>
      <c r="B2587" s="33" t="s">
        <v>91</v>
      </c>
      <c r="C2587" s="48" t="s">
        <v>43</v>
      </c>
      <c r="D2587" s="36" t="s">
        <v>61</v>
      </c>
      <c r="E2587" s="93">
        <v>46583</v>
      </c>
      <c r="F2587" s="98">
        <v>42550</v>
      </c>
      <c r="G2587" s="98">
        <v>42550</v>
      </c>
    </row>
    <row r="2588" spans="1:7">
      <c r="A2588" s="33" t="s">
        <v>879</v>
      </c>
      <c r="B2588" s="33" t="s">
        <v>91</v>
      </c>
      <c r="C2588" s="48" t="s">
        <v>43</v>
      </c>
      <c r="D2588" s="36" t="s">
        <v>61</v>
      </c>
      <c r="E2588" s="93">
        <v>46767</v>
      </c>
      <c r="F2588" s="98">
        <v>42550</v>
      </c>
      <c r="G2588" s="98">
        <v>42550</v>
      </c>
    </row>
    <row r="2589" spans="1:7">
      <c r="A2589" s="33" t="s">
        <v>879</v>
      </c>
      <c r="B2589" s="33" t="s">
        <v>91</v>
      </c>
      <c r="C2589" s="48" t="s">
        <v>43</v>
      </c>
      <c r="D2589" s="36" t="s">
        <v>61</v>
      </c>
      <c r="E2589" s="93">
        <v>46949</v>
      </c>
      <c r="F2589" s="98">
        <v>42550</v>
      </c>
      <c r="G2589" s="98">
        <v>42550</v>
      </c>
    </row>
    <row r="2590" spans="1:7">
      <c r="A2590" s="33" t="s">
        <v>879</v>
      </c>
      <c r="B2590" s="33" t="s">
        <v>91</v>
      </c>
      <c r="C2590" s="48" t="s">
        <v>43</v>
      </c>
      <c r="D2590" s="36" t="s">
        <v>61</v>
      </c>
      <c r="E2590" s="93">
        <v>47133</v>
      </c>
      <c r="F2590" s="98">
        <v>42550</v>
      </c>
      <c r="G2590" s="98">
        <v>42550</v>
      </c>
    </row>
    <row r="2591" spans="1:7">
      <c r="A2591" s="33" t="s">
        <v>879</v>
      </c>
      <c r="B2591" s="33" t="s">
        <v>91</v>
      </c>
      <c r="C2591" s="48" t="s">
        <v>43</v>
      </c>
      <c r="D2591" s="36" t="s">
        <v>61</v>
      </c>
      <c r="E2591" s="93">
        <v>47314</v>
      </c>
      <c r="F2591" s="98">
        <v>42550</v>
      </c>
      <c r="G2591" s="98">
        <v>42550</v>
      </c>
    </row>
    <row r="2592" spans="1:7">
      <c r="A2592" s="33" t="s">
        <v>879</v>
      </c>
      <c r="B2592" s="33" t="s">
        <v>91</v>
      </c>
      <c r="C2592" s="48" t="s">
        <v>43</v>
      </c>
      <c r="D2592" s="36" t="s">
        <v>61</v>
      </c>
      <c r="E2592" s="93">
        <v>47498</v>
      </c>
      <c r="F2592" s="98">
        <v>42550</v>
      </c>
      <c r="G2592" s="98">
        <v>42550</v>
      </c>
    </row>
    <row r="2593" spans="1:7">
      <c r="A2593" s="33" t="s">
        <v>879</v>
      </c>
      <c r="B2593" s="33" t="s">
        <v>91</v>
      </c>
      <c r="C2593" s="48" t="s">
        <v>43</v>
      </c>
      <c r="D2593" s="36" t="s">
        <v>61</v>
      </c>
      <c r="E2593" s="93">
        <v>47679</v>
      </c>
      <c r="F2593" s="98">
        <v>42550</v>
      </c>
      <c r="G2593" s="98">
        <v>2342550</v>
      </c>
    </row>
    <row r="2594" spans="1:7">
      <c r="A2594" s="33" t="s">
        <v>509</v>
      </c>
      <c r="B2594" s="33" t="s">
        <v>54</v>
      </c>
      <c r="C2594" s="48" t="s">
        <v>67</v>
      </c>
      <c r="D2594" s="33" t="s">
        <v>61</v>
      </c>
      <c r="E2594" s="93">
        <v>45856</v>
      </c>
      <c r="F2594" s="90">
        <v>28050.000000000004</v>
      </c>
      <c r="G2594" s="90">
        <v>28050.000000000004</v>
      </c>
    </row>
    <row r="2595" spans="1:7">
      <c r="A2595" s="33" t="s">
        <v>509</v>
      </c>
      <c r="B2595" s="33" t="s">
        <v>54</v>
      </c>
      <c r="C2595" s="48" t="s">
        <v>67</v>
      </c>
      <c r="D2595" s="33" t="s">
        <v>61</v>
      </c>
      <c r="E2595" s="93">
        <v>46040</v>
      </c>
      <c r="F2595" s="98">
        <v>28050.000000000004</v>
      </c>
      <c r="G2595" s="98">
        <v>28050.000000000004</v>
      </c>
    </row>
    <row r="2596" spans="1:7">
      <c r="A2596" s="33" t="s">
        <v>509</v>
      </c>
      <c r="B2596" s="33" t="s">
        <v>54</v>
      </c>
      <c r="C2596" s="48" t="s">
        <v>67</v>
      </c>
      <c r="D2596" s="33" t="s">
        <v>61</v>
      </c>
      <c r="E2596" s="93">
        <v>46221</v>
      </c>
      <c r="F2596" s="98">
        <v>28050.000000000004</v>
      </c>
      <c r="G2596" s="98">
        <v>28050.000000000004</v>
      </c>
    </row>
    <row r="2597" spans="1:7">
      <c r="A2597" s="33" t="s">
        <v>509</v>
      </c>
      <c r="B2597" s="33" t="s">
        <v>54</v>
      </c>
      <c r="C2597" s="48" t="s">
        <v>67</v>
      </c>
      <c r="D2597" s="33" t="s">
        <v>61</v>
      </c>
      <c r="E2597" s="93">
        <v>46405</v>
      </c>
      <c r="F2597" s="98">
        <v>28050.000000000004</v>
      </c>
      <c r="G2597" s="98">
        <v>28050.000000000004</v>
      </c>
    </row>
    <row r="2598" spans="1:7">
      <c r="A2598" s="33" t="s">
        <v>509</v>
      </c>
      <c r="B2598" s="33" t="s">
        <v>54</v>
      </c>
      <c r="C2598" s="48" t="s">
        <v>67</v>
      </c>
      <c r="D2598" s="33" t="s">
        <v>61</v>
      </c>
      <c r="E2598" s="93">
        <v>46586</v>
      </c>
      <c r="F2598" s="98">
        <v>28050.000000000004</v>
      </c>
      <c r="G2598" s="98">
        <v>28050.000000000004</v>
      </c>
    </row>
    <row r="2599" spans="1:7">
      <c r="A2599" s="33" t="s">
        <v>509</v>
      </c>
      <c r="B2599" s="33" t="s">
        <v>54</v>
      </c>
      <c r="C2599" s="48" t="s">
        <v>67</v>
      </c>
      <c r="D2599" s="33" t="s">
        <v>61</v>
      </c>
      <c r="E2599" s="93">
        <v>46770</v>
      </c>
      <c r="F2599" s="98">
        <v>28050.000000000004</v>
      </c>
      <c r="G2599" s="98">
        <v>28050.000000000004</v>
      </c>
    </row>
    <row r="2600" spans="1:7">
      <c r="A2600" s="33" t="s">
        <v>509</v>
      </c>
      <c r="B2600" s="33" t="s">
        <v>54</v>
      </c>
      <c r="C2600" s="48" t="s">
        <v>67</v>
      </c>
      <c r="D2600" s="33" t="s">
        <v>61</v>
      </c>
      <c r="E2600" s="93">
        <v>46952</v>
      </c>
      <c r="F2600" s="98">
        <v>28050.000000000004</v>
      </c>
      <c r="G2600" s="98">
        <v>28050.000000000004</v>
      </c>
    </row>
    <row r="2601" spans="1:7">
      <c r="A2601" s="33" t="s">
        <v>509</v>
      </c>
      <c r="B2601" s="33" t="s">
        <v>54</v>
      </c>
      <c r="C2601" s="48" t="s">
        <v>67</v>
      </c>
      <c r="D2601" s="33" t="s">
        <v>61</v>
      </c>
      <c r="E2601" s="93">
        <v>47136</v>
      </c>
      <c r="F2601" s="98">
        <v>28050.000000000004</v>
      </c>
      <c r="G2601" s="98">
        <v>28050.000000000004</v>
      </c>
    </row>
    <row r="2602" spans="1:7">
      <c r="A2602" s="33" t="s">
        <v>509</v>
      </c>
      <c r="B2602" s="33" t="s">
        <v>54</v>
      </c>
      <c r="C2602" s="48" t="s">
        <v>67</v>
      </c>
      <c r="D2602" s="33" t="s">
        <v>61</v>
      </c>
      <c r="E2602" s="93">
        <v>47317</v>
      </c>
      <c r="F2602" s="98">
        <v>28050.000000000004</v>
      </c>
      <c r="G2602" s="98">
        <v>28050.000000000004</v>
      </c>
    </row>
    <row r="2603" spans="1:7">
      <c r="A2603" s="33" t="s">
        <v>509</v>
      </c>
      <c r="B2603" s="33" t="s">
        <v>54</v>
      </c>
      <c r="C2603" s="48" t="s">
        <v>67</v>
      </c>
      <c r="D2603" s="33" t="s">
        <v>61</v>
      </c>
      <c r="E2603" s="93">
        <v>47501</v>
      </c>
      <c r="F2603" s="98">
        <v>28050.000000000004</v>
      </c>
      <c r="G2603" s="98">
        <v>28050.000000000004</v>
      </c>
    </row>
    <row r="2604" spans="1:7">
      <c r="A2604" s="33" t="s">
        <v>509</v>
      </c>
      <c r="B2604" s="33" t="s">
        <v>54</v>
      </c>
      <c r="C2604" s="48" t="s">
        <v>67</v>
      </c>
      <c r="D2604" s="33" t="s">
        <v>61</v>
      </c>
      <c r="E2604" s="93">
        <v>47682</v>
      </c>
      <c r="F2604" s="98">
        <v>28050.000000000004</v>
      </c>
      <c r="G2604" s="98">
        <v>28050.000000000004</v>
      </c>
    </row>
    <row r="2605" spans="1:7">
      <c r="A2605" s="33" t="s">
        <v>509</v>
      </c>
      <c r="B2605" s="33" t="s">
        <v>54</v>
      </c>
      <c r="C2605" s="48" t="s">
        <v>67</v>
      </c>
      <c r="D2605" s="33" t="s">
        <v>61</v>
      </c>
      <c r="E2605" s="93">
        <v>47866</v>
      </c>
      <c r="F2605" s="98">
        <v>28050.000000000004</v>
      </c>
      <c r="G2605" s="98">
        <v>688050</v>
      </c>
    </row>
    <row r="2606" spans="1:7">
      <c r="A2606" s="33" t="s">
        <v>459</v>
      </c>
      <c r="B2606" s="33" t="s">
        <v>223</v>
      </c>
      <c r="C2606" s="48" t="s">
        <v>43</v>
      </c>
      <c r="D2606" s="36" t="s">
        <v>61</v>
      </c>
      <c r="E2606" s="93">
        <v>45672</v>
      </c>
      <c r="F2606" s="90">
        <v>55500</v>
      </c>
      <c r="G2606" s="90">
        <v>55500</v>
      </c>
    </row>
    <row r="2607" spans="1:7">
      <c r="A2607" s="33" t="s">
        <v>459</v>
      </c>
      <c r="B2607" s="33" t="s">
        <v>223</v>
      </c>
      <c r="C2607" s="48" t="s">
        <v>43</v>
      </c>
      <c r="D2607" s="36" t="s">
        <v>61</v>
      </c>
      <c r="E2607" s="93">
        <v>45853</v>
      </c>
      <c r="F2607" s="98">
        <v>55500</v>
      </c>
      <c r="G2607" s="98">
        <v>55500</v>
      </c>
    </row>
    <row r="2608" spans="1:7">
      <c r="A2608" s="33" t="s">
        <v>879</v>
      </c>
      <c r="B2608" s="33" t="s">
        <v>223</v>
      </c>
      <c r="C2608" s="48" t="s">
        <v>43</v>
      </c>
      <c r="D2608" s="36" t="s">
        <v>61</v>
      </c>
      <c r="E2608" s="93">
        <v>46037</v>
      </c>
      <c r="F2608" s="98">
        <v>55500</v>
      </c>
      <c r="G2608" s="98">
        <v>55500</v>
      </c>
    </row>
    <row r="2609" spans="1:7">
      <c r="A2609" s="33" t="s">
        <v>879</v>
      </c>
      <c r="B2609" s="33" t="s">
        <v>223</v>
      </c>
      <c r="C2609" s="48" t="s">
        <v>43</v>
      </c>
      <c r="D2609" s="36" t="s">
        <v>61</v>
      </c>
      <c r="E2609" s="93">
        <v>46218</v>
      </c>
      <c r="F2609" s="98">
        <v>55500</v>
      </c>
      <c r="G2609" s="98">
        <v>55500</v>
      </c>
    </row>
    <row r="2610" spans="1:7">
      <c r="A2610" s="33" t="s">
        <v>879</v>
      </c>
      <c r="B2610" s="33" t="s">
        <v>223</v>
      </c>
      <c r="C2610" s="48" t="s">
        <v>43</v>
      </c>
      <c r="D2610" s="36" t="s">
        <v>61</v>
      </c>
      <c r="E2610" s="93">
        <v>46402</v>
      </c>
      <c r="F2610" s="98">
        <v>55500</v>
      </c>
      <c r="G2610" s="98">
        <v>55500</v>
      </c>
    </row>
    <row r="2611" spans="1:7">
      <c r="A2611" s="33" t="s">
        <v>879</v>
      </c>
      <c r="B2611" s="33" t="s">
        <v>223</v>
      </c>
      <c r="C2611" s="48" t="s">
        <v>43</v>
      </c>
      <c r="D2611" s="36" t="s">
        <v>61</v>
      </c>
      <c r="E2611" s="93">
        <v>46583</v>
      </c>
      <c r="F2611" s="98">
        <v>55500</v>
      </c>
      <c r="G2611" s="98">
        <v>55500</v>
      </c>
    </row>
    <row r="2612" spans="1:7">
      <c r="A2612" s="33" t="s">
        <v>879</v>
      </c>
      <c r="B2612" s="33" t="s">
        <v>223</v>
      </c>
      <c r="C2612" s="48" t="s">
        <v>43</v>
      </c>
      <c r="D2612" s="36" t="s">
        <v>61</v>
      </c>
      <c r="E2612" s="93">
        <v>46767</v>
      </c>
      <c r="F2612" s="98">
        <v>55500</v>
      </c>
      <c r="G2612" s="98">
        <v>55500</v>
      </c>
    </row>
    <row r="2613" spans="1:7">
      <c r="A2613" s="33" t="s">
        <v>879</v>
      </c>
      <c r="B2613" s="33" t="s">
        <v>223</v>
      </c>
      <c r="C2613" s="48" t="s">
        <v>43</v>
      </c>
      <c r="D2613" s="36" t="s">
        <v>61</v>
      </c>
      <c r="E2613" s="93">
        <v>46949</v>
      </c>
      <c r="F2613" s="98">
        <v>55500</v>
      </c>
      <c r="G2613" s="98">
        <v>55500</v>
      </c>
    </row>
    <row r="2614" spans="1:7">
      <c r="A2614" s="33" t="s">
        <v>879</v>
      </c>
      <c r="B2614" s="33" t="s">
        <v>223</v>
      </c>
      <c r="C2614" s="48" t="s">
        <v>43</v>
      </c>
      <c r="D2614" s="36" t="s">
        <v>61</v>
      </c>
      <c r="E2614" s="93">
        <v>47133</v>
      </c>
      <c r="F2614" s="98">
        <v>55500</v>
      </c>
      <c r="G2614" s="98">
        <v>55500</v>
      </c>
    </row>
    <row r="2615" spans="1:7">
      <c r="A2615" s="33" t="s">
        <v>879</v>
      </c>
      <c r="B2615" s="33" t="s">
        <v>223</v>
      </c>
      <c r="C2615" s="48" t="s">
        <v>43</v>
      </c>
      <c r="D2615" s="36" t="s">
        <v>61</v>
      </c>
      <c r="E2615" s="93">
        <v>47314</v>
      </c>
      <c r="F2615" s="98">
        <v>55500</v>
      </c>
      <c r="G2615" s="98">
        <v>55500</v>
      </c>
    </row>
    <row r="2616" spans="1:7">
      <c r="A2616" s="33" t="s">
        <v>879</v>
      </c>
      <c r="B2616" s="33" t="s">
        <v>223</v>
      </c>
      <c r="C2616" s="48" t="s">
        <v>43</v>
      </c>
      <c r="D2616" s="36" t="s">
        <v>61</v>
      </c>
      <c r="E2616" s="93">
        <v>47498</v>
      </c>
      <c r="F2616" s="98">
        <v>55500</v>
      </c>
      <c r="G2616" s="98">
        <v>55500</v>
      </c>
    </row>
    <row r="2617" spans="1:7">
      <c r="A2617" s="33" t="s">
        <v>879</v>
      </c>
      <c r="B2617" s="33" t="s">
        <v>223</v>
      </c>
      <c r="C2617" s="48" t="s">
        <v>43</v>
      </c>
      <c r="D2617" s="36" t="s">
        <v>61</v>
      </c>
      <c r="E2617" s="93">
        <v>47679</v>
      </c>
      <c r="F2617" s="98">
        <v>55500</v>
      </c>
      <c r="G2617" s="98">
        <v>3055500</v>
      </c>
    </row>
    <row r="2618" spans="1:7">
      <c r="A2618" s="33" t="s">
        <v>374</v>
      </c>
      <c r="B2618" s="33" t="s">
        <v>77</v>
      </c>
      <c r="C2618" s="48" t="s">
        <v>67</v>
      </c>
      <c r="D2618" s="33" t="s">
        <v>309</v>
      </c>
      <c r="E2618" s="93">
        <v>45753</v>
      </c>
      <c r="F2618" s="90">
        <v>34375</v>
      </c>
      <c r="G2618" s="90">
        <v>34375</v>
      </c>
    </row>
    <row r="2619" spans="1:7">
      <c r="A2619" s="33" t="s">
        <v>374</v>
      </c>
      <c r="B2619" s="33" t="s">
        <v>77</v>
      </c>
      <c r="C2619" s="48" t="s">
        <v>67</v>
      </c>
      <c r="D2619" s="33" t="s">
        <v>309</v>
      </c>
      <c r="E2619" s="93">
        <v>45936</v>
      </c>
      <c r="F2619" s="98">
        <v>34375</v>
      </c>
      <c r="G2619" s="98">
        <v>34375</v>
      </c>
    </row>
    <row r="2620" spans="1:7">
      <c r="A2620" s="33" t="s">
        <v>880</v>
      </c>
      <c r="B2620" s="33" t="s">
        <v>77</v>
      </c>
      <c r="C2620" s="48" t="s">
        <v>67</v>
      </c>
      <c r="D2620" s="33" t="s">
        <v>309</v>
      </c>
      <c r="E2620" s="93">
        <v>46118</v>
      </c>
      <c r="F2620" s="98">
        <v>34375</v>
      </c>
      <c r="G2620" s="98">
        <v>34375</v>
      </c>
    </row>
    <row r="2621" spans="1:7">
      <c r="A2621" s="33" t="s">
        <v>880</v>
      </c>
      <c r="B2621" s="33" t="s">
        <v>77</v>
      </c>
      <c r="C2621" s="48" t="s">
        <v>67</v>
      </c>
      <c r="D2621" s="33" t="s">
        <v>309</v>
      </c>
      <c r="E2621" s="93">
        <v>46301</v>
      </c>
      <c r="F2621" s="98">
        <v>34375</v>
      </c>
      <c r="G2621" s="98">
        <v>34375</v>
      </c>
    </row>
    <row r="2622" spans="1:7">
      <c r="A2622" s="33" t="s">
        <v>880</v>
      </c>
      <c r="B2622" s="33" t="s">
        <v>77</v>
      </c>
      <c r="C2622" s="48" t="s">
        <v>67</v>
      </c>
      <c r="D2622" s="33" t="s">
        <v>309</v>
      </c>
      <c r="E2622" s="93">
        <v>46483</v>
      </c>
      <c r="F2622" s="98">
        <v>34375</v>
      </c>
      <c r="G2622" s="98">
        <v>34375</v>
      </c>
    </row>
    <row r="2623" spans="1:7">
      <c r="A2623" s="33" t="s">
        <v>880</v>
      </c>
      <c r="B2623" s="33" t="s">
        <v>77</v>
      </c>
      <c r="C2623" s="48" t="s">
        <v>67</v>
      </c>
      <c r="D2623" s="33" t="s">
        <v>309</v>
      </c>
      <c r="E2623" s="93">
        <v>46666</v>
      </c>
      <c r="F2623" s="98">
        <v>34375</v>
      </c>
      <c r="G2623" s="98">
        <v>34375</v>
      </c>
    </row>
    <row r="2624" spans="1:7">
      <c r="A2624" s="33" t="s">
        <v>880</v>
      </c>
      <c r="B2624" s="33" t="s">
        <v>77</v>
      </c>
      <c r="C2624" s="48" t="s">
        <v>67</v>
      </c>
      <c r="D2624" s="33" t="s">
        <v>309</v>
      </c>
      <c r="E2624" s="93">
        <v>46849</v>
      </c>
      <c r="F2624" s="98">
        <v>34375</v>
      </c>
      <c r="G2624" s="98">
        <v>34375</v>
      </c>
    </row>
    <row r="2625" spans="1:7">
      <c r="A2625" s="33" t="s">
        <v>880</v>
      </c>
      <c r="B2625" s="33" t="s">
        <v>77</v>
      </c>
      <c r="C2625" s="48" t="s">
        <v>67</v>
      </c>
      <c r="D2625" s="33" t="s">
        <v>309</v>
      </c>
      <c r="E2625" s="93">
        <v>47032</v>
      </c>
      <c r="F2625" s="98">
        <v>34375</v>
      </c>
      <c r="G2625" s="98">
        <v>34375</v>
      </c>
    </row>
    <row r="2626" spans="1:7">
      <c r="A2626" s="33" t="s">
        <v>880</v>
      </c>
      <c r="B2626" s="33" t="s">
        <v>77</v>
      </c>
      <c r="C2626" s="48" t="s">
        <v>67</v>
      </c>
      <c r="D2626" s="33" t="s">
        <v>309</v>
      </c>
      <c r="E2626" s="93">
        <v>47214</v>
      </c>
      <c r="F2626" s="98">
        <v>34375</v>
      </c>
      <c r="G2626" s="98">
        <v>34375</v>
      </c>
    </row>
    <row r="2627" spans="1:7">
      <c r="A2627" s="33" t="s">
        <v>880</v>
      </c>
      <c r="B2627" s="33" t="s">
        <v>77</v>
      </c>
      <c r="C2627" s="48" t="s">
        <v>67</v>
      </c>
      <c r="D2627" s="33" t="s">
        <v>309</v>
      </c>
      <c r="E2627" s="93">
        <v>47397</v>
      </c>
      <c r="F2627" s="98">
        <v>34375</v>
      </c>
      <c r="G2627" s="98">
        <v>34375</v>
      </c>
    </row>
    <row r="2628" spans="1:7">
      <c r="A2628" s="33" t="s">
        <v>880</v>
      </c>
      <c r="B2628" s="33" t="s">
        <v>77</v>
      </c>
      <c r="C2628" s="48" t="s">
        <v>67</v>
      </c>
      <c r="D2628" s="33" t="s">
        <v>309</v>
      </c>
      <c r="E2628" s="93">
        <v>47579</v>
      </c>
      <c r="F2628" s="98">
        <v>34375</v>
      </c>
      <c r="G2628" s="98">
        <v>2534375</v>
      </c>
    </row>
    <row r="2629" spans="1:7">
      <c r="A2629" s="33" t="s">
        <v>436</v>
      </c>
      <c r="B2629" s="33" t="s">
        <v>91</v>
      </c>
      <c r="C2629" s="48" t="s">
        <v>43</v>
      </c>
      <c r="D2629" s="36" t="s">
        <v>61</v>
      </c>
      <c r="E2629" s="93">
        <v>45799</v>
      </c>
      <c r="F2629" s="90">
        <v>28437.5</v>
      </c>
      <c r="G2629" s="90">
        <v>28437.5</v>
      </c>
    </row>
    <row r="2630" spans="1:7">
      <c r="A2630" s="33" t="s">
        <v>436</v>
      </c>
      <c r="B2630" s="33" t="s">
        <v>91</v>
      </c>
      <c r="C2630" s="48" t="s">
        <v>43</v>
      </c>
      <c r="D2630" s="36" t="s">
        <v>61</v>
      </c>
      <c r="E2630" s="93">
        <v>45983</v>
      </c>
      <c r="F2630" s="98">
        <v>28437.5</v>
      </c>
      <c r="G2630" s="98">
        <v>28437.5</v>
      </c>
    </row>
    <row r="2631" spans="1:7">
      <c r="A2631" s="33" t="s">
        <v>881</v>
      </c>
      <c r="B2631" s="33" t="s">
        <v>91</v>
      </c>
      <c r="C2631" s="48" t="s">
        <v>43</v>
      </c>
      <c r="D2631" s="36" t="s">
        <v>61</v>
      </c>
      <c r="E2631" s="93">
        <v>46164</v>
      </c>
      <c r="F2631" s="98">
        <v>28437.5</v>
      </c>
      <c r="G2631" s="98">
        <v>28437.5</v>
      </c>
    </row>
    <row r="2632" spans="1:7">
      <c r="A2632" s="33" t="s">
        <v>881</v>
      </c>
      <c r="B2632" s="33" t="s">
        <v>91</v>
      </c>
      <c r="C2632" s="48" t="s">
        <v>43</v>
      </c>
      <c r="D2632" s="36" t="s">
        <v>61</v>
      </c>
      <c r="E2632" s="93">
        <v>46348</v>
      </c>
      <c r="F2632" s="98">
        <v>28437.5</v>
      </c>
      <c r="G2632" s="98">
        <v>28437.5</v>
      </c>
    </row>
    <row r="2633" spans="1:7">
      <c r="A2633" s="33" t="s">
        <v>881</v>
      </c>
      <c r="B2633" s="33" t="s">
        <v>91</v>
      </c>
      <c r="C2633" s="48" t="s">
        <v>43</v>
      </c>
      <c r="D2633" s="36" t="s">
        <v>61</v>
      </c>
      <c r="E2633" s="93">
        <v>46529</v>
      </c>
      <c r="F2633" s="98">
        <v>28437.5</v>
      </c>
      <c r="G2633" s="98">
        <v>28437.5</v>
      </c>
    </row>
    <row r="2634" spans="1:7">
      <c r="A2634" s="33" t="s">
        <v>881</v>
      </c>
      <c r="B2634" s="33" t="s">
        <v>91</v>
      </c>
      <c r="C2634" s="48" t="s">
        <v>43</v>
      </c>
      <c r="D2634" s="36" t="s">
        <v>61</v>
      </c>
      <c r="E2634" s="93">
        <v>46713</v>
      </c>
      <c r="F2634" s="98">
        <v>28437.5</v>
      </c>
      <c r="G2634" s="98">
        <v>28437.5</v>
      </c>
    </row>
    <row r="2635" spans="1:7">
      <c r="A2635" s="33" t="s">
        <v>881</v>
      </c>
      <c r="B2635" s="33" t="s">
        <v>91</v>
      </c>
      <c r="C2635" s="48" t="s">
        <v>43</v>
      </c>
      <c r="D2635" s="36" t="s">
        <v>61</v>
      </c>
      <c r="E2635" s="93">
        <v>46895</v>
      </c>
      <c r="F2635" s="98">
        <v>28437.5</v>
      </c>
      <c r="G2635" s="98">
        <v>28437.5</v>
      </c>
    </row>
    <row r="2636" spans="1:7">
      <c r="A2636" s="33" t="s">
        <v>881</v>
      </c>
      <c r="B2636" s="33" t="s">
        <v>91</v>
      </c>
      <c r="C2636" s="48" t="s">
        <v>43</v>
      </c>
      <c r="D2636" s="36" t="s">
        <v>61</v>
      </c>
      <c r="E2636" s="93">
        <v>47079</v>
      </c>
      <c r="F2636" s="98">
        <v>28437.5</v>
      </c>
      <c r="G2636" s="98">
        <v>28437.5</v>
      </c>
    </row>
    <row r="2637" spans="1:7">
      <c r="A2637" s="33" t="s">
        <v>881</v>
      </c>
      <c r="B2637" s="33" t="s">
        <v>91</v>
      </c>
      <c r="C2637" s="48" t="s">
        <v>43</v>
      </c>
      <c r="D2637" s="36" t="s">
        <v>61</v>
      </c>
      <c r="E2637" s="93">
        <v>47260</v>
      </c>
      <c r="F2637" s="98">
        <v>28437.5</v>
      </c>
      <c r="G2637" s="98">
        <v>28437.5</v>
      </c>
    </row>
    <row r="2638" spans="1:7">
      <c r="A2638" s="33" t="s">
        <v>881</v>
      </c>
      <c r="B2638" s="33" t="s">
        <v>91</v>
      </c>
      <c r="C2638" s="48" t="s">
        <v>43</v>
      </c>
      <c r="D2638" s="36" t="s">
        <v>61</v>
      </c>
      <c r="E2638" s="93">
        <v>47444</v>
      </c>
      <c r="F2638" s="98">
        <v>28437.5</v>
      </c>
      <c r="G2638" s="98">
        <v>28437.5</v>
      </c>
    </row>
    <row r="2639" spans="1:7">
      <c r="A2639" s="33" t="s">
        <v>881</v>
      </c>
      <c r="B2639" s="33" t="s">
        <v>91</v>
      </c>
      <c r="C2639" s="48" t="s">
        <v>43</v>
      </c>
      <c r="D2639" s="36" t="s">
        <v>61</v>
      </c>
      <c r="E2639" s="93">
        <v>47625</v>
      </c>
      <c r="F2639" s="98">
        <v>28437.5</v>
      </c>
      <c r="G2639" s="98">
        <v>2528437.5</v>
      </c>
    </row>
    <row r="2640" spans="1:7">
      <c r="A2640" s="33" t="s">
        <v>343</v>
      </c>
      <c r="B2640" s="33" t="s">
        <v>223</v>
      </c>
      <c r="C2640" s="48" t="s">
        <v>43</v>
      </c>
      <c r="D2640" s="36" t="s">
        <v>61</v>
      </c>
      <c r="E2640" s="93">
        <v>45703</v>
      </c>
      <c r="F2640" s="90">
        <v>51250</v>
      </c>
      <c r="G2640" s="90">
        <v>51250</v>
      </c>
    </row>
    <row r="2641" spans="1:7">
      <c r="A2641" s="33" t="s">
        <v>343</v>
      </c>
      <c r="B2641" s="33" t="s">
        <v>223</v>
      </c>
      <c r="C2641" s="48" t="s">
        <v>43</v>
      </c>
      <c r="D2641" s="36" t="s">
        <v>61</v>
      </c>
      <c r="E2641" s="93">
        <v>45884</v>
      </c>
      <c r="F2641" s="98">
        <v>51250</v>
      </c>
      <c r="G2641" s="98">
        <v>51250</v>
      </c>
    </row>
    <row r="2642" spans="1:7">
      <c r="A2642" s="33" t="s">
        <v>882</v>
      </c>
      <c r="B2642" s="33" t="s">
        <v>223</v>
      </c>
      <c r="C2642" s="48" t="s">
        <v>43</v>
      </c>
      <c r="D2642" s="36" t="s">
        <v>61</v>
      </c>
      <c r="E2642" s="93">
        <v>46068</v>
      </c>
      <c r="F2642" s="98">
        <v>51250</v>
      </c>
      <c r="G2642" s="98">
        <v>51250</v>
      </c>
    </row>
    <row r="2643" spans="1:7">
      <c r="A2643" s="33" t="s">
        <v>882</v>
      </c>
      <c r="B2643" s="33" t="s">
        <v>223</v>
      </c>
      <c r="C2643" s="48" t="s">
        <v>43</v>
      </c>
      <c r="D2643" s="36" t="s">
        <v>61</v>
      </c>
      <c r="E2643" s="93">
        <v>46249</v>
      </c>
      <c r="F2643" s="98">
        <v>51250</v>
      </c>
      <c r="G2643" s="98">
        <v>51250</v>
      </c>
    </row>
    <row r="2644" spans="1:7">
      <c r="A2644" s="33" t="s">
        <v>882</v>
      </c>
      <c r="B2644" s="33" t="s">
        <v>223</v>
      </c>
      <c r="C2644" s="48" t="s">
        <v>43</v>
      </c>
      <c r="D2644" s="36" t="s">
        <v>61</v>
      </c>
      <c r="E2644" s="93">
        <v>46433</v>
      </c>
      <c r="F2644" s="98">
        <v>51250</v>
      </c>
      <c r="G2644" s="98">
        <v>51250</v>
      </c>
    </row>
    <row r="2645" spans="1:7">
      <c r="A2645" s="33" t="s">
        <v>882</v>
      </c>
      <c r="B2645" s="33" t="s">
        <v>223</v>
      </c>
      <c r="C2645" s="48" t="s">
        <v>43</v>
      </c>
      <c r="D2645" s="36" t="s">
        <v>61</v>
      </c>
      <c r="E2645" s="93">
        <v>46614</v>
      </c>
      <c r="F2645" s="98">
        <v>51250</v>
      </c>
      <c r="G2645" s="98">
        <v>51250</v>
      </c>
    </row>
    <row r="2646" spans="1:7">
      <c r="A2646" s="33" t="s">
        <v>882</v>
      </c>
      <c r="B2646" s="33" t="s">
        <v>223</v>
      </c>
      <c r="C2646" s="48" t="s">
        <v>43</v>
      </c>
      <c r="D2646" s="36" t="s">
        <v>61</v>
      </c>
      <c r="E2646" s="93">
        <v>46798</v>
      </c>
      <c r="F2646" s="98">
        <v>51250</v>
      </c>
      <c r="G2646" s="98">
        <v>51250</v>
      </c>
    </row>
    <row r="2647" spans="1:7">
      <c r="A2647" s="33" t="s">
        <v>882</v>
      </c>
      <c r="B2647" s="33" t="s">
        <v>223</v>
      </c>
      <c r="C2647" s="48" t="s">
        <v>43</v>
      </c>
      <c r="D2647" s="36" t="s">
        <v>61</v>
      </c>
      <c r="E2647" s="93">
        <v>46980</v>
      </c>
      <c r="F2647" s="98">
        <v>51250</v>
      </c>
      <c r="G2647" s="98">
        <v>51250</v>
      </c>
    </row>
    <row r="2648" spans="1:7">
      <c r="A2648" s="33" t="s">
        <v>882</v>
      </c>
      <c r="B2648" s="33" t="s">
        <v>223</v>
      </c>
      <c r="C2648" s="48" t="s">
        <v>43</v>
      </c>
      <c r="D2648" s="36" t="s">
        <v>61</v>
      </c>
      <c r="E2648" s="93">
        <v>47164</v>
      </c>
      <c r="F2648" s="98">
        <v>51250</v>
      </c>
      <c r="G2648" s="98">
        <v>51250</v>
      </c>
    </row>
    <row r="2649" spans="1:7">
      <c r="A2649" s="33" t="s">
        <v>882</v>
      </c>
      <c r="B2649" s="33" t="s">
        <v>223</v>
      </c>
      <c r="C2649" s="48" t="s">
        <v>43</v>
      </c>
      <c r="D2649" s="36" t="s">
        <v>61</v>
      </c>
      <c r="E2649" s="93">
        <v>47345</v>
      </c>
      <c r="F2649" s="98">
        <v>51250</v>
      </c>
      <c r="G2649" s="98">
        <v>51250</v>
      </c>
    </row>
    <row r="2650" spans="1:7">
      <c r="A2650" s="33" t="s">
        <v>882</v>
      </c>
      <c r="B2650" s="33" t="s">
        <v>223</v>
      </c>
      <c r="C2650" s="48" t="s">
        <v>43</v>
      </c>
      <c r="D2650" s="36" t="s">
        <v>61</v>
      </c>
      <c r="E2650" s="93">
        <v>47529</v>
      </c>
      <c r="F2650" s="98">
        <v>51250</v>
      </c>
      <c r="G2650" s="98">
        <v>2051250</v>
      </c>
    </row>
    <row r="2651" spans="1:7">
      <c r="A2651" s="33" t="s">
        <v>407</v>
      </c>
      <c r="B2651" s="33" t="s">
        <v>77</v>
      </c>
      <c r="C2651" s="48" t="s">
        <v>43</v>
      </c>
      <c r="D2651" s="33" t="s">
        <v>309</v>
      </c>
      <c r="E2651" s="93">
        <v>45767</v>
      </c>
      <c r="F2651" s="90">
        <v>36000</v>
      </c>
      <c r="G2651" s="90">
        <v>36000</v>
      </c>
    </row>
    <row r="2652" spans="1:7">
      <c r="A2652" s="33" t="s">
        <v>407</v>
      </c>
      <c r="B2652" s="33" t="s">
        <v>77</v>
      </c>
      <c r="C2652" s="48" t="s">
        <v>43</v>
      </c>
      <c r="D2652" s="33" t="s">
        <v>309</v>
      </c>
      <c r="E2652" s="93">
        <v>45950</v>
      </c>
      <c r="F2652" s="98">
        <v>36000</v>
      </c>
      <c r="G2652" s="98">
        <v>36000</v>
      </c>
    </row>
    <row r="2653" spans="1:7">
      <c r="A2653" s="33" t="s">
        <v>883</v>
      </c>
      <c r="B2653" s="33" t="s">
        <v>77</v>
      </c>
      <c r="C2653" s="48" t="s">
        <v>43</v>
      </c>
      <c r="D2653" s="33" t="s">
        <v>309</v>
      </c>
      <c r="E2653" s="93">
        <v>46132</v>
      </c>
      <c r="F2653" s="98">
        <v>36000</v>
      </c>
      <c r="G2653" s="98">
        <v>36000</v>
      </c>
    </row>
    <row r="2654" spans="1:7">
      <c r="A2654" s="33" t="s">
        <v>883</v>
      </c>
      <c r="B2654" s="33" t="s">
        <v>77</v>
      </c>
      <c r="C2654" s="48" t="s">
        <v>43</v>
      </c>
      <c r="D2654" s="33" t="s">
        <v>309</v>
      </c>
      <c r="E2654" s="93">
        <v>46315</v>
      </c>
      <c r="F2654" s="98">
        <v>36000</v>
      </c>
      <c r="G2654" s="98">
        <v>36000</v>
      </c>
    </row>
    <row r="2655" spans="1:7">
      <c r="A2655" s="33" t="s">
        <v>883</v>
      </c>
      <c r="B2655" s="33" t="s">
        <v>77</v>
      </c>
      <c r="C2655" s="48" t="s">
        <v>43</v>
      </c>
      <c r="D2655" s="33" t="s">
        <v>309</v>
      </c>
      <c r="E2655" s="93">
        <v>46497</v>
      </c>
      <c r="F2655" s="98">
        <v>36000</v>
      </c>
      <c r="G2655" s="98">
        <v>36000</v>
      </c>
    </row>
    <row r="2656" spans="1:7">
      <c r="A2656" s="33" t="s">
        <v>883</v>
      </c>
      <c r="B2656" s="33" t="s">
        <v>77</v>
      </c>
      <c r="C2656" s="48" t="s">
        <v>43</v>
      </c>
      <c r="D2656" s="33" t="s">
        <v>309</v>
      </c>
      <c r="E2656" s="93">
        <v>46680</v>
      </c>
      <c r="F2656" s="98">
        <v>36000</v>
      </c>
      <c r="G2656" s="98">
        <v>36000</v>
      </c>
    </row>
    <row r="2657" spans="1:7">
      <c r="A2657" s="33" t="s">
        <v>883</v>
      </c>
      <c r="B2657" s="33" t="s">
        <v>77</v>
      </c>
      <c r="C2657" s="48" t="s">
        <v>43</v>
      </c>
      <c r="D2657" s="33" t="s">
        <v>309</v>
      </c>
      <c r="E2657" s="93">
        <v>46863</v>
      </c>
      <c r="F2657" s="98">
        <v>36000</v>
      </c>
      <c r="G2657" s="98">
        <v>36000</v>
      </c>
    </row>
    <row r="2658" spans="1:7">
      <c r="A2658" s="33" t="s">
        <v>883</v>
      </c>
      <c r="B2658" s="33" t="s">
        <v>77</v>
      </c>
      <c r="C2658" s="48" t="s">
        <v>43</v>
      </c>
      <c r="D2658" s="33" t="s">
        <v>309</v>
      </c>
      <c r="E2658" s="93">
        <v>47046</v>
      </c>
      <c r="F2658" s="98">
        <v>36000</v>
      </c>
      <c r="G2658" s="98">
        <v>36000</v>
      </c>
    </row>
    <row r="2659" spans="1:7">
      <c r="A2659" s="33" t="s">
        <v>883</v>
      </c>
      <c r="B2659" s="33" t="s">
        <v>77</v>
      </c>
      <c r="C2659" s="48" t="s">
        <v>43</v>
      </c>
      <c r="D2659" s="33" t="s">
        <v>309</v>
      </c>
      <c r="E2659" s="93">
        <v>47228</v>
      </c>
      <c r="F2659" s="98">
        <v>36000</v>
      </c>
      <c r="G2659" s="98">
        <v>36000</v>
      </c>
    </row>
    <row r="2660" spans="1:7">
      <c r="A2660" s="33" t="s">
        <v>883</v>
      </c>
      <c r="B2660" s="33" t="s">
        <v>77</v>
      </c>
      <c r="C2660" s="48" t="s">
        <v>43</v>
      </c>
      <c r="D2660" s="33" t="s">
        <v>309</v>
      </c>
      <c r="E2660" s="93">
        <v>47411</v>
      </c>
      <c r="F2660" s="98">
        <v>36000</v>
      </c>
      <c r="G2660" s="98">
        <v>36000</v>
      </c>
    </row>
    <row r="2661" spans="1:7">
      <c r="A2661" s="33" t="s">
        <v>883</v>
      </c>
      <c r="B2661" s="33" t="s">
        <v>77</v>
      </c>
      <c r="C2661" s="48" t="s">
        <v>43</v>
      </c>
      <c r="D2661" s="33" t="s">
        <v>309</v>
      </c>
      <c r="E2661" s="93">
        <v>47593</v>
      </c>
      <c r="F2661" s="98">
        <v>36000</v>
      </c>
      <c r="G2661" s="98">
        <v>4536000</v>
      </c>
    </row>
    <row r="2662" spans="1:7">
      <c r="A2662" s="33" t="s">
        <v>330</v>
      </c>
      <c r="B2662" s="33" t="s">
        <v>77</v>
      </c>
      <c r="C2662" s="48" t="s">
        <v>67</v>
      </c>
      <c r="D2662" s="33" t="s">
        <v>309</v>
      </c>
      <c r="E2662" s="93">
        <v>45792</v>
      </c>
      <c r="F2662" s="90">
        <v>201450</v>
      </c>
      <c r="G2662" s="90">
        <v>201450</v>
      </c>
    </row>
    <row r="2663" spans="1:7">
      <c r="A2663" s="33" t="s">
        <v>330</v>
      </c>
      <c r="B2663" s="33" t="s">
        <v>77</v>
      </c>
      <c r="C2663" s="48" t="s">
        <v>67</v>
      </c>
      <c r="D2663" s="33" t="s">
        <v>309</v>
      </c>
      <c r="E2663" s="93">
        <v>45976</v>
      </c>
      <c r="F2663" s="98">
        <v>201450</v>
      </c>
      <c r="G2663" s="98">
        <v>201450</v>
      </c>
    </row>
    <row r="2664" spans="1:7">
      <c r="A2664" s="33" t="s">
        <v>884</v>
      </c>
      <c r="B2664" s="33" t="s">
        <v>77</v>
      </c>
      <c r="C2664" s="48" t="s">
        <v>67</v>
      </c>
      <c r="D2664" s="33" t="s">
        <v>309</v>
      </c>
      <c r="E2664" s="93">
        <v>46157</v>
      </c>
      <c r="F2664" s="98">
        <v>201450</v>
      </c>
      <c r="G2664" s="98">
        <v>201450</v>
      </c>
    </row>
    <row r="2665" spans="1:7">
      <c r="A2665" s="33" t="s">
        <v>884</v>
      </c>
      <c r="B2665" s="33" t="s">
        <v>77</v>
      </c>
      <c r="C2665" s="48" t="s">
        <v>67</v>
      </c>
      <c r="D2665" s="33" t="s">
        <v>309</v>
      </c>
      <c r="E2665" s="93">
        <v>46341</v>
      </c>
      <c r="F2665" s="98">
        <v>201450</v>
      </c>
      <c r="G2665" s="98">
        <v>201450</v>
      </c>
    </row>
    <row r="2666" spans="1:7">
      <c r="A2666" s="33" t="s">
        <v>884</v>
      </c>
      <c r="B2666" s="33" t="s">
        <v>77</v>
      </c>
      <c r="C2666" s="48" t="s">
        <v>67</v>
      </c>
      <c r="D2666" s="33" t="s">
        <v>309</v>
      </c>
      <c r="E2666" s="93">
        <v>46522</v>
      </c>
      <c r="F2666" s="98">
        <v>201450</v>
      </c>
      <c r="G2666" s="98">
        <v>201450</v>
      </c>
    </row>
    <row r="2667" spans="1:7">
      <c r="A2667" s="33" t="s">
        <v>884</v>
      </c>
      <c r="B2667" s="33" t="s">
        <v>77</v>
      </c>
      <c r="C2667" s="48" t="s">
        <v>67</v>
      </c>
      <c r="D2667" s="33" t="s">
        <v>309</v>
      </c>
      <c r="E2667" s="93">
        <v>46706</v>
      </c>
      <c r="F2667" s="98">
        <v>201450</v>
      </c>
      <c r="G2667" s="98">
        <v>201450</v>
      </c>
    </row>
    <row r="2668" spans="1:7">
      <c r="A2668" s="33" t="s">
        <v>884</v>
      </c>
      <c r="B2668" s="33" t="s">
        <v>77</v>
      </c>
      <c r="C2668" s="48" t="s">
        <v>67</v>
      </c>
      <c r="D2668" s="33" t="s">
        <v>309</v>
      </c>
      <c r="E2668" s="93">
        <v>46888</v>
      </c>
      <c r="F2668" s="98">
        <v>201450</v>
      </c>
      <c r="G2668" s="98">
        <v>201450</v>
      </c>
    </row>
    <row r="2669" spans="1:7">
      <c r="A2669" s="33" t="s">
        <v>884</v>
      </c>
      <c r="B2669" s="33" t="s">
        <v>77</v>
      </c>
      <c r="C2669" s="48" t="s">
        <v>67</v>
      </c>
      <c r="D2669" s="33" t="s">
        <v>309</v>
      </c>
      <c r="E2669" s="93">
        <v>47072</v>
      </c>
      <c r="F2669" s="98">
        <v>201450</v>
      </c>
      <c r="G2669" s="98">
        <v>201450</v>
      </c>
    </row>
    <row r="2670" spans="1:7">
      <c r="A2670" s="33" t="s">
        <v>884</v>
      </c>
      <c r="B2670" s="33" t="s">
        <v>77</v>
      </c>
      <c r="C2670" s="48" t="s">
        <v>67</v>
      </c>
      <c r="D2670" s="33" t="s">
        <v>309</v>
      </c>
      <c r="E2670" s="93">
        <v>47253</v>
      </c>
      <c r="F2670" s="98">
        <v>201450</v>
      </c>
      <c r="G2670" s="98">
        <v>201450</v>
      </c>
    </row>
    <row r="2671" spans="1:7">
      <c r="A2671" s="33" t="s">
        <v>884</v>
      </c>
      <c r="B2671" s="33" t="s">
        <v>77</v>
      </c>
      <c r="C2671" s="48" t="s">
        <v>67</v>
      </c>
      <c r="D2671" s="33" t="s">
        <v>309</v>
      </c>
      <c r="E2671" s="93">
        <v>47437</v>
      </c>
      <c r="F2671" s="98">
        <v>201450</v>
      </c>
      <c r="G2671" s="98">
        <v>8101450</v>
      </c>
    </row>
    <row r="2672" spans="1:7">
      <c r="A2672" s="107" t="s">
        <v>613</v>
      </c>
      <c r="B2672" s="107" t="s">
        <v>54</v>
      </c>
      <c r="C2672" s="108" t="s">
        <v>43</v>
      </c>
      <c r="D2672" s="109" t="s">
        <v>61</v>
      </c>
      <c r="E2672" s="110">
        <v>45821</v>
      </c>
      <c r="F2672" s="111">
        <v>16608</v>
      </c>
      <c r="G2672" s="111">
        <v>16608</v>
      </c>
    </row>
    <row r="2673" spans="1:7">
      <c r="A2673" s="56" t="s">
        <v>613</v>
      </c>
      <c r="B2673" s="56" t="s">
        <v>54</v>
      </c>
      <c r="C2673" s="48" t="s">
        <v>43</v>
      </c>
      <c r="D2673" s="36" t="s">
        <v>61</v>
      </c>
      <c r="E2673" s="93">
        <v>46004</v>
      </c>
      <c r="F2673" s="98">
        <v>16608</v>
      </c>
      <c r="G2673" s="98">
        <v>16608</v>
      </c>
    </row>
    <row r="2674" spans="1:7">
      <c r="A2674" s="56" t="s">
        <v>613</v>
      </c>
      <c r="B2674" s="56" t="s">
        <v>54</v>
      </c>
      <c r="C2674" s="48" t="s">
        <v>43</v>
      </c>
      <c r="D2674" s="36" t="s">
        <v>61</v>
      </c>
      <c r="E2674" s="93">
        <v>46186</v>
      </c>
      <c r="F2674" s="98">
        <v>16608</v>
      </c>
      <c r="G2674" s="98">
        <v>16608</v>
      </c>
    </row>
    <row r="2675" spans="1:7">
      <c r="A2675" s="56" t="s">
        <v>613</v>
      </c>
      <c r="B2675" s="56" t="s">
        <v>54</v>
      </c>
      <c r="C2675" s="48" t="s">
        <v>43</v>
      </c>
      <c r="D2675" s="36" t="s">
        <v>61</v>
      </c>
      <c r="E2675" s="93">
        <v>46369</v>
      </c>
      <c r="F2675" s="98">
        <v>16608</v>
      </c>
      <c r="G2675" s="98">
        <v>16608</v>
      </c>
    </row>
    <row r="2676" spans="1:7">
      <c r="A2676" s="56" t="s">
        <v>613</v>
      </c>
      <c r="B2676" s="56" t="s">
        <v>54</v>
      </c>
      <c r="C2676" s="48" t="s">
        <v>43</v>
      </c>
      <c r="D2676" s="36" t="s">
        <v>61</v>
      </c>
      <c r="E2676" s="93">
        <v>46551</v>
      </c>
      <c r="F2676" s="98">
        <v>16608</v>
      </c>
      <c r="G2676" s="98">
        <v>16608</v>
      </c>
    </row>
    <row r="2677" spans="1:7">
      <c r="A2677" s="56" t="s">
        <v>613</v>
      </c>
      <c r="B2677" s="56" t="s">
        <v>54</v>
      </c>
      <c r="C2677" s="48" t="s">
        <v>43</v>
      </c>
      <c r="D2677" s="36" t="s">
        <v>61</v>
      </c>
      <c r="E2677" s="93">
        <v>46734</v>
      </c>
      <c r="F2677" s="98">
        <v>16608</v>
      </c>
      <c r="G2677" s="98">
        <v>16608</v>
      </c>
    </row>
    <row r="2678" spans="1:7">
      <c r="A2678" s="56" t="s">
        <v>613</v>
      </c>
      <c r="B2678" s="56" t="s">
        <v>54</v>
      </c>
      <c r="C2678" s="48" t="s">
        <v>43</v>
      </c>
      <c r="D2678" s="36" t="s">
        <v>61</v>
      </c>
      <c r="E2678" s="93">
        <v>46917</v>
      </c>
      <c r="F2678" s="98">
        <v>16608</v>
      </c>
      <c r="G2678" s="98">
        <v>16608</v>
      </c>
    </row>
    <row r="2679" spans="1:7">
      <c r="A2679" s="56" t="s">
        <v>613</v>
      </c>
      <c r="B2679" s="56" t="s">
        <v>54</v>
      </c>
      <c r="C2679" s="48" t="s">
        <v>43</v>
      </c>
      <c r="D2679" s="36" t="s">
        <v>61</v>
      </c>
      <c r="E2679" s="93">
        <v>47100</v>
      </c>
      <c r="F2679" s="98">
        <v>16608</v>
      </c>
      <c r="G2679" s="98">
        <v>16608</v>
      </c>
    </row>
    <row r="2680" spans="1:7">
      <c r="A2680" s="56" t="s">
        <v>613</v>
      </c>
      <c r="B2680" s="56" t="s">
        <v>54</v>
      </c>
      <c r="C2680" s="48" t="s">
        <v>43</v>
      </c>
      <c r="D2680" s="36" t="s">
        <v>61</v>
      </c>
      <c r="E2680" s="93">
        <v>47282</v>
      </c>
      <c r="F2680" s="98">
        <v>16608</v>
      </c>
      <c r="G2680" s="98">
        <v>16608</v>
      </c>
    </row>
    <row r="2681" spans="1:7">
      <c r="A2681" s="56" t="s">
        <v>613</v>
      </c>
      <c r="B2681" s="56" t="s">
        <v>54</v>
      </c>
      <c r="C2681" s="48" t="s">
        <v>43</v>
      </c>
      <c r="D2681" s="36" t="s">
        <v>61</v>
      </c>
      <c r="E2681" s="93">
        <v>47465</v>
      </c>
      <c r="F2681" s="98">
        <v>16608</v>
      </c>
      <c r="G2681" s="98">
        <v>16608</v>
      </c>
    </row>
    <row r="2682" spans="1:7">
      <c r="A2682" s="56" t="s">
        <v>613</v>
      </c>
      <c r="B2682" s="56" t="s">
        <v>54</v>
      </c>
      <c r="C2682" s="48" t="s">
        <v>43</v>
      </c>
      <c r="D2682" s="36" t="s">
        <v>61</v>
      </c>
      <c r="E2682" s="93">
        <v>47647</v>
      </c>
      <c r="F2682" s="98">
        <v>16608</v>
      </c>
      <c r="G2682" s="98">
        <v>16608</v>
      </c>
    </row>
    <row r="2683" spans="1:7">
      <c r="A2683" s="56" t="s">
        <v>613</v>
      </c>
      <c r="B2683" s="56" t="s">
        <v>54</v>
      </c>
      <c r="C2683" s="48" t="s">
        <v>43</v>
      </c>
      <c r="D2683" s="36" t="s">
        <v>61</v>
      </c>
      <c r="E2683" s="93">
        <v>47830</v>
      </c>
      <c r="F2683" s="98">
        <v>16608</v>
      </c>
      <c r="G2683" s="98">
        <v>16608</v>
      </c>
    </row>
    <row r="2684" spans="1:7">
      <c r="A2684" s="56" t="s">
        <v>613</v>
      </c>
      <c r="B2684" s="56" t="s">
        <v>54</v>
      </c>
      <c r="C2684" s="48" t="s">
        <v>43</v>
      </c>
      <c r="D2684" s="36" t="s">
        <v>61</v>
      </c>
      <c r="E2684" s="93">
        <v>48012</v>
      </c>
      <c r="F2684" s="98">
        <v>16608</v>
      </c>
      <c r="G2684" s="98">
        <v>16608</v>
      </c>
    </row>
    <row r="2685" spans="1:7">
      <c r="A2685" s="56" t="s">
        <v>613</v>
      </c>
      <c r="B2685" s="56" t="s">
        <v>54</v>
      </c>
      <c r="C2685" s="48" t="s">
        <v>43</v>
      </c>
      <c r="D2685" s="36" t="s">
        <v>61</v>
      </c>
      <c r="E2685" s="93">
        <v>48195</v>
      </c>
      <c r="F2685" s="98">
        <v>16608</v>
      </c>
      <c r="G2685" s="98">
        <v>1616608</v>
      </c>
    </row>
    <row r="2686" spans="1:7">
      <c r="A2686" s="107" t="s">
        <v>885</v>
      </c>
      <c r="B2686" s="107" t="s">
        <v>77</v>
      </c>
      <c r="C2686" s="108" t="s">
        <v>67</v>
      </c>
      <c r="D2686" s="109" t="s">
        <v>61</v>
      </c>
      <c r="E2686" s="110">
        <v>45756</v>
      </c>
      <c r="F2686" s="111">
        <v>41915</v>
      </c>
      <c r="G2686" s="111">
        <v>41915</v>
      </c>
    </row>
    <row r="2687" spans="1:7">
      <c r="A2687" s="112" t="s">
        <v>885</v>
      </c>
      <c r="B2687" s="112" t="s">
        <v>77</v>
      </c>
      <c r="C2687" s="113" t="s">
        <v>67</v>
      </c>
      <c r="D2687" s="114" t="s">
        <v>61</v>
      </c>
      <c r="E2687" s="93">
        <v>45939</v>
      </c>
      <c r="F2687" s="98">
        <v>41915</v>
      </c>
      <c r="G2687" s="98">
        <v>41915</v>
      </c>
    </row>
    <row r="2688" spans="1:7">
      <c r="A2688" s="112" t="s">
        <v>885</v>
      </c>
      <c r="B2688" s="112" t="s">
        <v>77</v>
      </c>
      <c r="C2688" s="113" t="s">
        <v>67</v>
      </c>
      <c r="D2688" s="114" t="s">
        <v>61</v>
      </c>
      <c r="E2688" s="93">
        <v>46121</v>
      </c>
      <c r="F2688" s="98">
        <v>41915</v>
      </c>
      <c r="G2688" s="98">
        <v>41915</v>
      </c>
    </row>
    <row r="2689" spans="1:7">
      <c r="A2689" s="112" t="s">
        <v>885</v>
      </c>
      <c r="B2689" s="112" t="s">
        <v>77</v>
      </c>
      <c r="C2689" s="113" t="s">
        <v>67</v>
      </c>
      <c r="D2689" s="114" t="s">
        <v>61</v>
      </c>
      <c r="E2689" s="93">
        <v>46304</v>
      </c>
      <c r="F2689" s="98">
        <v>41915</v>
      </c>
      <c r="G2689" s="98">
        <v>41915</v>
      </c>
    </row>
    <row r="2690" spans="1:7">
      <c r="A2690" s="112" t="s">
        <v>885</v>
      </c>
      <c r="B2690" s="112" t="s">
        <v>77</v>
      </c>
      <c r="C2690" s="113" t="s">
        <v>67</v>
      </c>
      <c r="D2690" s="114" t="s">
        <v>61</v>
      </c>
      <c r="E2690" s="93">
        <v>46486</v>
      </c>
      <c r="F2690" s="98">
        <v>41915</v>
      </c>
      <c r="G2690" s="98">
        <v>41915</v>
      </c>
    </row>
    <row r="2691" spans="1:7">
      <c r="A2691" s="112" t="s">
        <v>885</v>
      </c>
      <c r="B2691" s="112" t="s">
        <v>77</v>
      </c>
      <c r="C2691" s="113" t="s">
        <v>67</v>
      </c>
      <c r="D2691" s="114" t="s">
        <v>61</v>
      </c>
      <c r="E2691" s="93">
        <v>46669</v>
      </c>
      <c r="F2691" s="98">
        <v>41915</v>
      </c>
      <c r="G2691" s="98">
        <v>41915</v>
      </c>
    </row>
    <row r="2692" spans="1:7">
      <c r="A2692" s="112" t="s">
        <v>885</v>
      </c>
      <c r="B2692" s="112" t="s">
        <v>77</v>
      </c>
      <c r="C2692" s="113" t="s">
        <v>67</v>
      </c>
      <c r="D2692" s="114" t="s">
        <v>61</v>
      </c>
      <c r="E2692" s="93">
        <v>46852</v>
      </c>
      <c r="F2692" s="98">
        <v>41915</v>
      </c>
      <c r="G2692" s="98">
        <v>41915</v>
      </c>
    </row>
    <row r="2693" spans="1:7">
      <c r="A2693" s="112" t="s">
        <v>885</v>
      </c>
      <c r="B2693" s="112" t="s">
        <v>77</v>
      </c>
      <c r="C2693" s="113" t="s">
        <v>67</v>
      </c>
      <c r="D2693" s="114" t="s">
        <v>61</v>
      </c>
      <c r="E2693" s="93">
        <v>47035</v>
      </c>
      <c r="F2693" s="98">
        <v>41915</v>
      </c>
      <c r="G2693" s="98">
        <v>41915</v>
      </c>
    </row>
    <row r="2694" spans="1:7">
      <c r="A2694" s="112" t="s">
        <v>885</v>
      </c>
      <c r="B2694" s="112" t="s">
        <v>77</v>
      </c>
      <c r="C2694" s="113" t="s">
        <v>67</v>
      </c>
      <c r="D2694" s="114" t="s">
        <v>61</v>
      </c>
      <c r="E2694" s="93">
        <v>47217</v>
      </c>
      <c r="F2694" s="98">
        <v>41915</v>
      </c>
      <c r="G2694" s="98">
        <v>41915</v>
      </c>
    </row>
    <row r="2695" spans="1:7">
      <c r="A2695" s="112" t="s">
        <v>885</v>
      </c>
      <c r="B2695" s="112" t="s">
        <v>77</v>
      </c>
      <c r="C2695" s="113" t="s">
        <v>67</v>
      </c>
      <c r="D2695" s="114" t="s">
        <v>61</v>
      </c>
      <c r="E2695" s="93">
        <v>47400</v>
      </c>
      <c r="F2695" s="98">
        <v>41915</v>
      </c>
      <c r="G2695" s="98">
        <v>41915</v>
      </c>
    </row>
    <row r="2696" spans="1:7">
      <c r="A2696" s="112" t="s">
        <v>885</v>
      </c>
      <c r="B2696" s="112" t="s">
        <v>77</v>
      </c>
      <c r="C2696" s="113" t="s">
        <v>67</v>
      </c>
      <c r="D2696" s="114" t="s">
        <v>61</v>
      </c>
      <c r="E2696" s="93">
        <v>47582</v>
      </c>
      <c r="F2696" s="98">
        <v>41915</v>
      </c>
      <c r="G2696" s="98">
        <v>2061915</v>
      </c>
    </row>
    <row r="2697" spans="1:7">
      <c r="A2697" s="107" t="s">
        <v>523</v>
      </c>
      <c r="B2697" s="107" t="s">
        <v>54</v>
      </c>
      <c r="C2697" s="108" t="s">
        <v>43</v>
      </c>
      <c r="D2697" s="109" t="s">
        <v>61</v>
      </c>
      <c r="E2697" s="110">
        <v>45731</v>
      </c>
      <c r="F2697" s="111">
        <v>30937.5</v>
      </c>
      <c r="G2697" s="111">
        <v>30937.5</v>
      </c>
    </row>
    <row r="2698" spans="1:7">
      <c r="A2698" s="56" t="s">
        <v>523</v>
      </c>
      <c r="B2698" s="56" t="s">
        <v>54</v>
      </c>
      <c r="C2698" s="48" t="s">
        <v>43</v>
      </c>
      <c r="D2698" s="36" t="s">
        <v>61</v>
      </c>
      <c r="E2698" s="93">
        <v>45915</v>
      </c>
      <c r="F2698" s="98">
        <v>30937.5</v>
      </c>
      <c r="G2698" s="98">
        <v>30937.5</v>
      </c>
    </row>
    <row r="2699" spans="1:7">
      <c r="A2699" s="56" t="s">
        <v>886</v>
      </c>
      <c r="B2699" s="56" t="s">
        <v>54</v>
      </c>
      <c r="C2699" s="48" t="s">
        <v>43</v>
      </c>
      <c r="D2699" s="36" t="s">
        <v>61</v>
      </c>
      <c r="E2699" s="93">
        <v>46096</v>
      </c>
      <c r="F2699" s="98">
        <v>30937.5</v>
      </c>
      <c r="G2699" s="98">
        <v>30937.5</v>
      </c>
    </row>
    <row r="2700" spans="1:7">
      <c r="A2700" s="56" t="s">
        <v>886</v>
      </c>
      <c r="B2700" s="56" t="s">
        <v>54</v>
      </c>
      <c r="C2700" s="48" t="s">
        <v>43</v>
      </c>
      <c r="D2700" s="36" t="s">
        <v>61</v>
      </c>
      <c r="E2700" s="93">
        <v>46280</v>
      </c>
      <c r="F2700" s="98">
        <v>30937.5</v>
      </c>
      <c r="G2700" s="98">
        <v>30937.5</v>
      </c>
    </row>
    <row r="2701" spans="1:7">
      <c r="A2701" s="56" t="s">
        <v>886</v>
      </c>
      <c r="B2701" s="56" t="s">
        <v>54</v>
      </c>
      <c r="C2701" s="48" t="s">
        <v>43</v>
      </c>
      <c r="D2701" s="36" t="s">
        <v>61</v>
      </c>
      <c r="E2701" s="93">
        <v>46461</v>
      </c>
      <c r="F2701" s="98">
        <v>30937.5</v>
      </c>
      <c r="G2701" s="98">
        <v>30937.5</v>
      </c>
    </row>
    <row r="2702" spans="1:7">
      <c r="A2702" s="56" t="s">
        <v>886</v>
      </c>
      <c r="B2702" s="56" t="s">
        <v>54</v>
      </c>
      <c r="C2702" s="48" t="s">
        <v>43</v>
      </c>
      <c r="D2702" s="36" t="s">
        <v>61</v>
      </c>
      <c r="E2702" s="93">
        <v>46645</v>
      </c>
      <c r="F2702" s="98">
        <v>30937.5</v>
      </c>
      <c r="G2702" s="98">
        <v>30937.5</v>
      </c>
    </row>
    <row r="2703" spans="1:7">
      <c r="A2703" s="56" t="s">
        <v>886</v>
      </c>
      <c r="B2703" s="56" t="s">
        <v>54</v>
      </c>
      <c r="C2703" s="48" t="s">
        <v>43</v>
      </c>
      <c r="D2703" s="36" t="s">
        <v>61</v>
      </c>
      <c r="E2703" s="93">
        <v>46827</v>
      </c>
      <c r="F2703" s="98">
        <v>30937.5</v>
      </c>
      <c r="G2703" s="98">
        <v>30937.5</v>
      </c>
    </row>
    <row r="2704" spans="1:7">
      <c r="A2704" s="56" t="s">
        <v>886</v>
      </c>
      <c r="B2704" s="56" t="s">
        <v>54</v>
      </c>
      <c r="C2704" s="48" t="s">
        <v>43</v>
      </c>
      <c r="D2704" s="36" t="s">
        <v>61</v>
      </c>
      <c r="E2704" s="93">
        <v>47011</v>
      </c>
      <c r="F2704" s="98">
        <v>30937.5</v>
      </c>
      <c r="G2704" s="98">
        <v>30937.5</v>
      </c>
    </row>
    <row r="2705" spans="1:7">
      <c r="A2705" s="56" t="s">
        <v>886</v>
      </c>
      <c r="B2705" s="56" t="s">
        <v>54</v>
      </c>
      <c r="C2705" s="48" t="s">
        <v>43</v>
      </c>
      <c r="D2705" s="36" t="s">
        <v>61</v>
      </c>
      <c r="E2705" s="93">
        <v>47192</v>
      </c>
      <c r="F2705" s="98">
        <v>30937.5</v>
      </c>
      <c r="G2705" s="98">
        <v>30937.5</v>
      </c>
    </row>
    <row r="2706" spans="1:7">
      <c r="A2706" s="56" t="s">
        <v>886</v>
      </c>
      <c r="B2706" s="56" t="s">
        <v>54</v>
      </c>
      <c r="C2706" s="48" t="s">
        <v>43</v>
      </c>
      <c r="D2706" s="36" t="s">
        <v>61</v>
      </c>
      <c r="E2706" s="93">
        <v>47376</v>
      </c>
      <c r="F2706" s="98">
        <v>30937.5</v>
      </c>
      <c r="G2706" s="98">
        <v>30937.5</v>
      </c>
    </row>
    <row r="2707" spans="1:7">
      <c r="A2707" s="56" t="s">
        <v>886</v>
      </c>
      <c r="B2707" s="56" t="s">
        <v>54</v>
      </c>
      <c r="C2707" s="48" t="s">
        <v>43</v>
      </c>
      <c r="D2707" s="36" t="s">
        <v>61</v>
      </c>
      <c r="E2707" s="93">
        <v>47557</v>
      </c>
      <c r="F2707" s="98">
        <v>30937.5</v>
      </c>
      <c r="G2707" s="98">
        <v>30937.5</v>
      </c>
    </row>
    <row r="2708" spans="1:7">
      <c r="A2708" s="56" t="s">
        <v>886</v>
      </c>
      <c r="B2708" s="56" t="s">
        <v>54</v>
      </c>
      <c r="C2708" s="48" t="s">
        <v>43</v>
      </c>
      <c r="D2708" s="36" t="s">
        <v>61</v>
      </c>
      <c r="E2708" s="93">
        <v>47741</v>
      </c>
      <c r="F2708" s="98">
        <v>30937.5</v>
      </c>
      <c r="G2708" s="98">
        <v>30937.5</v>
      </c>
    </row>
    <row r="2709" spans="1:7">
      <c r="A2709" s="56" t="s">
        <v>886</v>
      </c>
      <c r="B2709" s="56" t="s">
        <v>54</v>
      </c>
      <c r="C2709" s="48" t="s">
        <v>43</v>
      </c>
      <c r="D2709" s="36" t="s">
        <v>61</v>
      </c>
      <c r="E2709" s="93">
        <v>47922</v>
      </c>
      <c r="F2709" s="98">
        <v>30937.5</v>
      </c>
      <c r="G2709" s="98">
        <v>4530937.5</v>
      </c>
    </row>
    <row r="2710" spans="1:7">
      <c r="A2710" s="107" t="s">
        <v>565</v>
      </c>
      <c r="B2710" s="107" t="s">
        <v>77</v>
      </c>
      <c r="C2710" s="108" t="s">
        <v>67</v>
      </c>
      <c r="D2710" s="109" t="s">
        <v>61</v>
      </c>
      <c r="E2710" s="110">
        <v>45832</v>
      </c>
      <c r="F2710" s="115">
        <v>151200</v>
      </c>
      <c r="G2710" s="115">
        <v>151200</v>
      </c>
    </row>
    <row r="2711" spans="1:7">
      <c r="A2711" s="56" t="s">
        <v>565</v>
      </c>
      <c r="B2711" s="56" t="s">
        <v>77</v>
      </c>
      <c r="C2711" s="48" t="s">
        <v>67</v>
      </c>
      <c r="D2711" s="36" t="s">
        <v>61</v>
      </c>
      <c r="E2711" s="93">
        <v>46015</v>
      </c>
      <c r="F2711" s="116">
        <v>151200</v>
      </c>
      <c r="G2711" s="116">
        <v>151200</v>
      </c>
    </row>
    <row r="2712" spans="1:7">
      <c r="A2712" s="56" t="s">
        <v>565</v>
      </c>
      <c r="B2712" s="56" t="s">
        <v>77</v>
      </c>
      <c r="C2712" s="48" t="s">
        <v>67</v>
      </c>
      <c r="D2712" s="36" t="s">
        <v>61</v>
      </c>
      <c r="E2712" s="93">
        <v>46197</v>
      </c>
      <c r="F2712" s="116">
        <v>151200</v>
      </c>
      <c r="G2712" s="116">
        <v>151200</v>
      </c>
    </row>
    <row r="2713" spans="1:7">
      <c r="A2713" s="56" t="s">
        <v>565</v>
      </c>
      <c r="B2713" s="56" t="s">
        <v>77</v>
      </c>
      <c r="C2713" s="48" t="s">
        <v>67</v>
      </c>
      <c r="D2713" s="36" t="s">
        <v>61</v>
      </c>
      <c r="E2713" s="93">
        <v>46380</v>
      </c>
      <c r="F2713" s="116">
        <v>151200</v>
      </c>
      <c r="G2713" s="116">
        <v>151200</v>
      </c>
    </row>
    <row r="2714" spans="1:7">
      <c r="A2714" s="56" t="s">
        <v>565</v>
      </c>
      <c r="B2714" s="56" t="s">
        <v>77</v>
      </c>
      <c r="C2714" s="48" t="s">
        <v>67</v>
      </c>
      <c r="D2714" s="36" t="s">
        <v>61</v>
      </c>
      <c r="E2714" s="93">
        <v>46562</v>
      </c>
      <c r="F2714" s="116">
        <v>151200</v>
      </c>
      <c r="G2714" s="116">
        <v>151200</v>
      </c>
    </row>
    <row r="2715" spans="1:7">
      <c r="A2715" s="56" t="s">
        <v>565</v>
      </c>
      <c r="B2715" s="56" t="s">
        <v>77</v>
      </c>
      <c r="C2715" s="48" t="s">
        <v>67</v>
      </c>
      <c r="D2715" s="36" t="s">
        <v>61</v>
      </c>
      <c r="E2715" s="93">
        <v>46745</v>
      </c>
      <c r="F2715" s="116">
        <v>151200</v>
      </c>
      <c r="G2715" s="116">
        <v>151200</v>
      </c>
    </row>
    <row r="2716" spans="1:7">
      <c r="A2716" s="56" t="s">
        <v>565</v>
      </c>
      <c r="B2716" s="56" t="s">
        <v>77</v>
      </c>
      <c r="C2716" s="48" t="s">
        <v>67</v>
      </c>
      <c r="D2716" s="36" t="s">
        <v>61</v>
      </c>
      <c r="E2716" s="93">
        <v>46928</v>
      </c>
      <c r="F2716" s="116">
        <v>151200</v>
      </c>
      <c r="G2716" s="116">
        <v>151200</v>
      </c>
    </row>
    <row r="2717" spans="1:7">
      <c r="A2717" s="56" t="s">
        <v>565</v>
      </c>
      <c r="B2717" s="56" t="s">
        <v>77</v>
      </c>
      <c r="C2717" s="48" t="s">
        <v>67</v>
      </c>
      <c r="D2717" s="36" t="s">
        <v>61</v>
      </c>
      <c r="E2717" s="93">
        <v>47111</v>
      </c>
      <c r="F2717" s="116">
        <v>151200</v>
      </c>
      <c r="G2717" s="116">
        <v>151200</v>
      </c>
    </row>
    <row r="2718" spans="1:7">
      <c r="A2718" s="56" t="s">
        <v>565</v>
      </c>
      <c r="B2718" s="56" t="s">
        <v>77</v>
      </c>
      <c r="C2718" s="48" t="s">
        <v>67</v>
      </c>
      <c r="D2718" s="36" t="s">
        <v>61</v>
      </c>
      <c r="E2718" s="93">
        <v>47293</v>
      </c>
      <c r="F2718" s="116">
        <v>151200</v>
      </c>
      <c r="G2718" s="116">
        <v>151200</v>
      </c>
    </row>
    <row r="2719" spans="1:7">
      <c r="A2719" s="56" t="s">
        <v>565</v>
      </c>
      <c r="B2719" s="56" t="s">
        <v>77</v>
      </c>
      <c r="C2719" s="48" t="s">
        <v>67</v>
      </c>
      <c r="D2719" s="36" t="s">
        <v>61</v>
      </c>
      <c r="E2719" s="93">
        <v>47476</v>
      </c>
      <c r="F2719" s="116">
        <v>151200</v>
      </c>
      <c r="G2719" s="116">
        <v>151200</v>
      </c>
    </row>
    <row r="2720" spans="1:7">
      <c r="A2720" s="56" t="s">
        <v>565</v>
      </c>
      <c r="B2720" s="56" t="s">
        <v>77</v>
      </c>
      <c r="C2720" s="48" t="s">
        <v>67</v>
      </c>
      <c r="D2720" s="36" t="s">
        <v>61</v>
      </c>
      <c r="E2720" s="93">
        <v>47658</v>
      </c>
      <c r="F2720" s="116">
        <v>151200</v>
      </c>
      <c r="G2720" s="116">
        <v>151200</v>
      </c>
    </row>
    <row r="2721" spans="1:7">
      <c r="A2721" s="56" t="s">
        <v>565</v>
      </c>
      <c r="B2721" s="56" t="s">
        <v>77</v>
      </c>
      <c r="C2721" s="48" t="s">
        <v>67</v>
      </c>
      <c r="D2721" s="36" t="s">
        <v>61</v>
      </c>
      <c r="E2721" s="93">
        <v>47841</v>
      </c>
      <c r="F2721" s="116">
        <v>151200</v>
      </c>
      <c r="G2721" s="116">
        <v>151200</v>
      </c>
    </row>
    <row r="2722" spans="1:7">
      <c r="A2722" s="56" t="s">
        <v>565</v>
      </c>
      <c r="B2722" s="56" t="s">
        <v>77</v>
      </c>
      <c r="C2722" s="48" t="s">
        <v>67</v>
      </c>
      <c r="D2722" s="36" t="s">
        <v>61</v>
      </c>
      <c r="E2722" s="93">
        <v>48023</v>
      </c>
      <c r="F2722" s="116">
        <v>151200</v>
      </c>
      <c r="G2722" s="116">
        <v>5751200</v>
      </c>
    </row>
    <row r="2723" spans="1:7">
      <c r="A2723" s="107" t="s">
        <v>644</v>
      </c>
      <c r="B2723" s="107" t="s">
        <v>77</v>
      </c>
      <c r="C2723" s="108" t="s">
        <v>67</v>
      </c>
      <c r="D2723" s="109" t="s">
        <v>61</v>
      </c>
      <c r="E2723" s="110">
        <v>45890</v>
      </c>
      <c r="F2723" s="115">
        <v>99937.5</v>
      </c>
      <c r="G2723" s="115">
        <v>99937.5</v>
      </c>
    </row>
    <row r="2724" spans="1:7">
      <c r="A2724" s="56" t="s">
        <v>644</v>
      </c>
      <c r="B2724" s="56" t="s">
        <v>77</v>
      </c>
      <c r="C2724" s="48" t="s">
        <v>67</v>
      </c>
      <c r="D2724" s="36" t="s">
        <v>61</v>
      </c>
      <c r="E2724" s="93">
        <v>46074</v>
      </c>
      <c r="F2724" s="116">
        <v>99937.5</v>
      </c>
      <c r="G2724" s="116">
        <v>99937.5</v>
      </c>
    </row>
    <row r="2725" spans="1:7">
      <c r="A2725" s="56" t="s">
        <v>644</v>
      </c>
      <c r="B2725" s="56" t="s">
        <v>77</v>
      </c>
      <c r="C2725" s="48" t="s">
        <v>67</v>
      </c>
      <c r="D2725" s="36" t="s">
        <v>61</v>
      </c>
      <c r="E2725" s="93">
        <v>46255</v>
      </c>
      <c r="F2725" s="116">
        <v>99937.5</v>
      </c>
      <c r="G2725" s="116">
        <v>99937.5</v>
      </c>
    </row>
    <row r="2726" spans="1:7">
      <c r="A2726" s="56" t="s">
        <v>644</v>
      </c>
      <c r="B2726" s="56" t="s">
        <v>77</v>
      </c>
      <c r="C2726" s="48" t="s">
        <v>67</v>
      </c>
      <c r="D2726" s="36" t="s">
        <v>61</v>
      </c>
      <c r="E2726" s="93">
        <v>46439</v>
      </c>
      <c r="F2726" s="116">
        <v>99937.5</v>
      </c>
      <c r="G2726" s="116">
        <v>99937.5</v>
      </c>
    </row>
    <row r="2727" spans="1:7">
      <c r="A2727" s="56" t="s">
        <v>644</v>
      </c>
      <c r="B2727" s="56" t="s">
        <v>77</v>
      </c>
      <c r="C2727" s="48" t="s">
        <v>67</v>
      </c>
      <c r="D2727" s="36" t="s">
        <v>61</v>
      </c>
      <c r="E2727" s="93">
        <v>46620</v>
      </c>
      <c r="F2727" s="116">
        <v>99937.5</v>
      </c>
      <c r="G2727" s="116">
        <v>99937.5</v>
      </c>
    </row>
    <row r="2728" spans="1:7">
      <c r="A2728" s="56" t="s">
        <v>644</v>
      </c>
      <c r="B2728" s="56" t="s">
        <v>77</v>
      </c>
      <c r="C2728" s="48" t="s">
        <v>67</v>
      </c>
      <c r="D2728" s="36" t="s">
        <v>61</v>
      </c>
      <c r="E2728" s="93">
        <v>46804</v>
      </c>
      <c r="F2728" s="116">
        <v>99937.5</v>
      </c>
      <c r="G2728" s="116">
        <v>99937.5</v>
      </c>
    </row>
    <row r="2729" spans="1:7">
      <c r="A2729" s="56" t="s">
        <v>644</v>
      </c>
      <c r="B2729" s="56" t="s">
        <v>77</v>
      </c>
      <c r="C2729" s="48" t="s">
        <v>67</v>
      </c>
      <c r="D2729" s="36" t="s">
        <v>61</v>
      </c>
      <c r="E2729" s="93">
        <v>46986</v>
      </c>
      <c r="F2729" s="116">
        <v>99937.5</v>
      </c>
      <c r="G2729" s="116">
        <v>99937.5</v>
      </c>
    </row>
    <row r="2730" spans="1:7">
      <c r="A2730" s="56" t="s">
        <v>644</v>
      </c>
      <c r="B2730" s="56" t="s">
        <v>77</v>
      </c>
      <c r="C2730" s="48" t="s">
        <v>67</v>
      </c>
      <c r="D2730" s="36" t="s">
        <v>61</v>
      </c>
      <c r="E2730" s="93">
        <v>47170</v>
      </c>
      <c r="F2730" s="116">
        <v>99937.5</v>
      </c>
      <c r="G2730" s="116">
        <v>99937.5</v>
      </c>
    </row>
    <row r="2731" spans="1:7">
      <c r="A2731" s="56" t="s">
        <v>644</v>
      </c>
      <c r="B2731" s="56" t="s">
        <v>77</v>
      </c>
      <c r="C2731" s="48" t="s">
        <v>67</v>
      </c>
      <c r="D2731" s="36" t="s">
        <v>61</v>
      </c>
      <c r="E2731" s="93">
        <v>47351</v>
      </c>
      <c r="F2731" s="116">
        <v>99937.5</v>
      </c>
      <c r="G2731" s="116">
        <v>99937.5</v>
      </c>
    </row>
    <row r="2732" spans="1:7">
      <c r="A2732" s="56" t="s">
        <v>644</v>
      </c>
      <c r="B2732" s="56" t="s">
        <v>77</v>
      </c>
      <c r="C2732" s="48" t="s">
        <v>67</v>
      </c>
      <c r="D2732" s="36" t="s">
        <v>61</v>
      </c>
      <c r="E2732" s="93">
        <v>47535</v>
      </c>
      <c r="F2732" s="116">
        <v>99937.5</v>
      </c>
      <c r="G2732" s="116">
        <v>99937.5</v>
      </c>
    </row>
    <row r="2733" spans="1:7">
      <c r="A2733" s="56" t="s">
        <v>644</v>
      </c>
      <c r="B2733" s="56" t="s">
        <v>77</v>
      </c>
      <c r="C2733" s="48" t="s">
        <v>67</v>
      </c>
      <c r="D2733" s="36" t="s">
        <v>61</v>
      </c>
      <c r="E2733" s="93">
        <v>47716</v>
      </c>
      <c r="F2733" s="116">
        <v>99937.5</v>
      </c>
      <c r="G2733" s="116">
        <v>99937.5</v>
      </c>
    </row>
    <row r="2734" spans="1:7">
      <c r="A2734" s="56" t="s">
        <v>644</v>
      </c>
      <c r="B2734" s="56" t="s">
        <v>77</v>
      </c>
      <c r="C2734" s="48" t="s">
        <v>67</v>
      </c>
      <c r="D2734" s="36" t="s">
        <v>61</v>
      </c>
      <c r="E2734" s="93">
        <v>47900</v>
      </c>
      <c r="F2734" s="116">
        <v>99937.5</v>
      </c>
      <c r="G2734" s="116">
        <v>99937.5</v>
      </c>
    </row>
    <row r="2735" spans="1:7">
      <c r="A2735" s="56" t="s">
        <v>644</v>
      </c>
      <c r="B2735" s="56" t="s">
        <v>77</v>
      </c>
      <c r="C2735" s="48" t="s">
        <v>67</v>
      </c>
      <c r="D2735" s="36" t="s">
        <v>61</v>
      </c>
      <c r="E2735" s="93">
        <v>48081</v>
      </c>
      <c r="F2735" s="116">
        <v>99937.5</v>
      </c>
      <c r="G2735" s="116">
        <v>99937.5</v>
      </c>
    </row>
    <row r="2736" spans="1:7">
      <c r="A2736" s="56" t="s">
        <v>644</v>
      </c>
      <c r="B2736" s="56" t="s">
        <v>77</v>
      </c>
      <c r="C2736" s="48" t="s">
        <v>67</v>
      </c>
      <c r="D2736" s="36" t="s">
        <v>61</v>
      </c>
      <c r="E2736" s="93">
        <v>48265</v>
      </c>
      <c r="F2736" s="116">
        <v>99937.5</v>
      </c>
      <c r="G2736" s="116">
        <v>3999937.5</v>
      </c>
    </row>
    <row r="2737" spans="1:7">
      <c r="A2737" s="107" t="s">
        <v>644</v>
      </c>
      <c r="B2737" s="107" t="s">
        <v>54</v>
      </c>
      <c r="C2737" s="108" t="s">
        <v>67</v>
      </c>
      <c r="D2737" s="109" t="s">
        <v>61</v>
      </c>
      <c r="E2737" s="110">
        <v>45890</v>
      </c>
      <c r="F2737" s="115">
        <v>205000</v>
      </c>
      <c r="G2737" s="115">
        <v>205000</v>
      </c>
    </row>
    <row r="2738" spans="1:7">
      <c r="A2738" s="56" t="s">
        <v>644</v>
      </c>
      <c r="B2738" s="56" t="s">
        <v>54</v>
      </c>
      <c r="C2738" s="48" t="s">
        <v>67</v>
      </c>
      <c r="D2738" s="36" t="s">
        <v>61</v>
      </c>
      <c r="E2738" s="93">
        <v>46074</v>
      </c>
      <c r="F2738" s="116">
        <v>205000</v>
      </c>
      <c r="G2738" s="116">
        <v>205000</v>
      </c>
    </row>
    <row r="2739" spans="1:7">
      <c r="A2739" s="56" t="s">
        <v>644</v>
      </c>
      <c r="B2739" s="56" t="s">
        <v>54</v>
      </c>
      <c r="C2739" s="48" t="s">
        <v>67</v>
      </c>
      <c r="D2739" s="36" t="s">
        <v>61</v>
      </c>
      <c r="E2739" s="93">
        <v>46255</v>
      </c>
      <c r="F2739" s="116">
        <v>205000</v>
      </c>
      <c r="G2739" s="116">
        <v>205000</v>
      </c>
    </row>
    <row r="2740" spans="1:7">
      <c r="A2740" s="56" t="s">
        <v>644</v>
      </c>
      <c r="B2740" s="56" t="s">
        <v>54</v>
      </c>
      <c r="C2740" s="48" t="s">
        <v>67</v>
      </c>
      <c r="D2740" s="36" t="s">
        <v>61</v>
      </c>
      <c r="E2740" s="93">
        <v>46439</v>
      </c>
      <c r="F2740" s="116">
        <v>205000</v>
      </c>
      <c r="G2740" s="116">
        <v>205000</v>
      </c>
    </row>
    <row r="2741" spans="1:7">
      <c r="A2741" s="56" t="s">
        <v>644</v>
      </c>
      <c r="B2741" s="56" t="s">
        <v>54</v>
      </c>
      <c r="C2741" s="48" t="s">
        <v>67</v>
      </c>
      <c r="D2741" s="36" t="s">
        <v>61</v>
      </c>
      <c r="E2741" s="93">
        <v>46620</v>
      </c>
      <c r="F2741" s="116">
        <v>205000</v>
      </c>
      <c r="G2741" s="116">
        <v>205000</v>
      </c>
    </row>
    <row r="2742" spans="1:7">
      <c r="A2742" s="56" t="s">
        <v>644</v>
      </c>
      <c r="B2742" s="56" t="s">
        <v>54</v>
      </c>
      <c r="C2742" s="48" t="s">
        <v>67</v>
      </c>
      <c r="D2742" s="36" t="s">
        <v>61</v>
      </c>
      <c r="E2742" s="93">
        <v>46804</v>
      </c>
      <c r="F2742" s="116">
        <v>205000</v>
      </c>
      <c r="G2742" s="116">
        <v>205000</v>
      </c>
    </row>
    <row r="2743" spans="1:7">
      <c r="A2743" s="56" t="s">
        <v>644</v>
      </c>
      <c r="B2743" s="56" t="s">
        <v>54</v>
      </c>
      <c r="C2743" s="48" t="s">
        <v>67</v>
      </c>
      <c r="D2743" s="36" t="s">
        <v>61</v>
      </c>
      <c r="E2743" s="93">
        <v>46986</v>
      </c>
      <c r="F2743" s="116">
        <v>205000</v>
      </c>
      <c r="G2743" s="116">
        <v>205000</v>
      </c>
    </row>
    <row r="2744" spans="1:7">
      <c r="A2744" s="56" t="s">
        <v>644</v>
      </c>
      <c r="B2744" s="56" t="s">
        <v>54</v>
      </c>
      <c r="C2744" s="48" t="s">
        <v>67</v>
      </c>
      <c r="D2744" s="36" t="s">
        <v>61</v>
      </c>
      <c r="E2744" s="93">
        <v>47170</v>
      </c>
      <c r="F2744" s="116">
        <v>205000</v>
      </c>
      <c r="G2744" s="116">
        <v>205000</v>
      </c>
    </row>
    <row r="2745" spans="1:7">
      <c r="A2745" s="56" t="s">
        <v>644</v>
      </c>
      <c r="B2745" s="56" t="s">
        <v>54</v>
      </c>
      <c r="C2745" s="48" t="s">
        <v>67</v>
      </c>
      <c r="D2745" s="36" t="s">
        <v>61</v>
      </c>
      <c r="E2745" s="93">
        <v>47351</v>
      </c>
      <c r="F2745" s="116">
        <v>205000</v>
      </c>
      <c r="G2745" s="116">
        <v>205000</v>
      </c>
    </row>
    <row r="2746" spans="1:7">
      <c r="A2746" s="56" t="s">
        <v>644</v>
      </c>
      <c r="B2746" s="56" t="s">
        <v>54</v>
      </c>
      <c r="C2746" s="48" t="s">
        <v>67</v>
      </c>
      <c r="D2746" s="36" t="s">
        <v>61</v>
      </c>
      <c r="E2746" s="93">
        <v>47535</v>
      </c>
      <c r="F2746" s="116">
        <v>205000</v>
      </c>
      <c r="G2746" s="116">
        <v>205000</v>
      </c>
    </row>
    <row r="2747" spans="1:7">
      <c r="A2747" s="56" t="s">
        <v>644</v>
      </c>
      <c r="B2747" s="56" t="s">
        <v>54</v>
      </c>
      <c r="C2747" s="48" t="s">
        <v>67</v>
      </c>
      <c r="D2747" s="36" t="s">
        <v>61</v>
      </c>
      <c r="E2747" s="93">
        <v>47716</v>
      </c>
      <c r="F2747" s="116">
        <v>205000</v>
      </c>
      <c r="G2747" s="116">
        <v>205000</v>
      </c>
    </row>
    <row r="2748" spans="1:7">
      <c r="A2748" s="56" t="s">
        <v>644</v>
      </c>
      <c r="B2748" s="56" t="s">
        <v>54</v>
      </c>
      <c r="C2748" s="48" t="s">
        <v>67</v>
      </c>
      <c r="D2748" s="36" t="s">
        <v>61</v>
      </c>
      <c r="E2748" s="93">
        <v>47900</v>
      </c>
      <c r="F2748" s="116">
        <v>205000</v>
      </c>
      <c r="G2748" s="116">
        <v>205000</v>
      </c>
    </row>
    <row r="2749" spans="1:7">
      <c r="A2749" s="56" t="s">
        <v>644</v>
      </c>
      <c r="B2749" s="56" t="s">
        <v>54</v>
      </c>
      <c r="C2749" s="48" t="s">
        <v>67</v>
      </c>
      <c r="D2749" s="36" t="s">
        <v>61</v>
      </c>
      <c r="E2749" s="93">
        <v>48081</v>
      </c>
      <c r="F2749" s="116">
        <v>205000</v>
      </c>
      <c r="G2749" s="116">
        <v>205000</v>
      </c>
    </row>
    <row r="2750" spans="1:7">
      <c r="A2750" s="56" t="s">
        <v>644</v>
      </c>
      <c r="B2750" s="56" t="s">
        <v>54</v>
      </c>
      <c r="C2750" s="48" t="s">
        <v>67</v>
      </c>
      <c r="D2750" s="36" t="s">
        <v>61</v>
      </c>
      <c r="E2750" s="93">
        <v>48265</v>
      </c>
      <c r="F2750" s="116">
        <v>205000</v>
      </c>
      <c r="G2750" s="116">
        <v>8205000</v>
      </c>
    </row>
    <row r="2751" spans="1:7">
      <c r="A2751" s="117" t="s">
        <v>689</v>
      </c>
      <c r="B2751" s="117" t="s">
        <v>77</v>
      </c>
      <c r="C2751" s="108" t="s">
        <v>67</v>
      </c>
      <c r="D2751" s="117" t="s">
        <v>61</v>
      </c>
      <c r="E2751" s="110">
        <v>45853</v>
      </c>
      <c r="F2751" s="115">
        <v>245812.49999999997</v>
      </c>
      <c r="G2751" s="115">
        <v>245812.49999999997</v>
      </c>
    </row>
    <row r="2752" spans="1:7">
      <c r="A2752" s="33" t="s">
        <v>689</v>
      </c>
      <c r="B2752" s="33" t="s">
        <v>77</v>
      </c>
      <c r="C2752" s="48" t="s">
        <v>67</v>
      </c>
      <c r="D2752" s="33" t="s">
        <v>61</v>
      </c>
      <c r="E2752" s="93">
        <v>46037</v>
      </c>
      <c r="F2752" s="116">
        <v>245812.49999999997</v>
      </c>
      <c r="G2752" s="116">
        <v>245812.49999999997</v>
      </c>
    </row>
    <row r="2753" spans="1:7">
      <c r="A2753" s="33" t="s">
        <v>689</v>
      </c>
      <c r="B2753" s="33" t="s">
        <v>77</v>
      </c>
      <c r="C2753" s="48" t="s">
        <v>67</v>
      </c>
      <c r="D2753" s="33" t="s">
        <v>61</v>
      </c>
      <c r="E2753" s="93">
        <v>46218</v>
      </c>
      <c r="F2753" s="116">
        <v>245812.49999999997</v>
      </c>
      <c r="G2753" s="116">
        <v>245812.49999999997</v>
      </c>
    </row>
    <row r="2754" spans="1:7">
      <c r="A2754" s="33" t="s">
        <v>689</v>
      </c>
      <c r="B2754" s="33" t="s">
        <v>77</v>
      </c>
      <c r="C2754" s="48" t="s">
        <v>67</v>
      </c>
      <c r="D2754" s="33" t="s">
        <v>61</v>
      </c>
      <c r="E2754" s="93">
        <v>46402</v>
      </c>
      <c r="F2754" s="116">
        <v>245812.49999999997</v>
      </c>
      <c r="G2754" s="116">
        <v>245812.49999999997</v>
      </c>
    </row>
    <row r="2755" spans="1:7">
      <c r="A2755" s="33" t="s">
        <v>689</v>
      </c>
      <c r="B2755" s="33" t="s">
        <v>77</v>
      </c>
      <c r="C2755" s="48" t="s">
        <v>67</v>
      </c>
      <c r="D2755" s="33" t="s">
        <v>61</v>
      </c>
      <c r="E2755" s="93">
        <v>46583</v>
      </c>
      <c r="F2755" s="116">
        <v>245812.49999999997</v>
      </c>
      <c r="G2755" s="116">
        <v>245812.49999999997</v>
      </c>
    </row>
    <row r="2756" spans="1:7">
      <c r="A2756" s="33" t="s">
        <v>689</v>
      </c>
      <c r="B2756" s="33" t="s">
        <v>77</v>
      </c>
      <c r="C2756" s="48" t="s">
        <v>67</v>
      </c>
      <c r="D2756" s="33" t="s">
        <v>61</v>
      </c>
      <c r="E2756" s="93">
        <v>46767</v>
      </c>
      <c r="F2756" s="116">
        <v>245812.49999999997</v>
      </c>
      <c r="G2756" s="116">
        <v>245812.49999999997</v>
      </c>
    </row>
    <row r="2757" spans="1:7">
      <c r="A2757" s="33" t="s">
        <v>689</v>
      </c>
      <c r="B2757" s="33" t="s">
        <v>77</v>
      </c>
      <c r="C2757" s="48" t="s">
        <v>67</v>
      </c>
      <c r="D2757" s="33" t="s">
        <v>61</v>
      </c>
      <c r="E2757" s="93">
        <v>46949</v>
      </c>
      <c r="F2757" s="116">
        <v>245812.49999999997</v>
      </c>
      <c r="G2757" s="116">
        <v>245812.49999999997</v>
      </c>
    </row>
    <row r="2758" spans="1:7">
      <c r="A2758" s="33" t="s">
        <v>689</v>
      </c>
      <c r="B2758" s="33" t="s">
        <v>77</v>
      </c>
      <c r="C2758" s="48" t="s">
        <v>67</v>
      </c>
      <c r="D2758" s="33" t="s">
        <v>61</v>
      </c>
      <c r="E2758" s="93">
        <v>47133</v>
      </c>
      <c r="F2758" s="116">
        <v>245812.49999999997</v>
      </c>
      <c r="G2758" s="116">
        <v>245812.49999999997</v>
      </c>
    </row>
    <row r="2759" spans="1:7">
      <c r="A2759" s="33" t="s">
        <v>689</v>
      </c>
      <c r="B2759" s="33" t="s">
        <v>77</v>
      </c>
      <c r="C2759" s="48" t="s">
        <v>67</v>
      </c>
      <c r="D2759" s="33" t="s">
        <v>61</v>
      </c>
      <c r="E2759" s="93">
        <v>47314</v>
      </c>
      <c r="F2759" s="116">
        <v>245812.49999999997</v>
      </c>
      <c r="G2759" s="116">
        <v>245812.49999999997</v>
      </c>
    </row>
    <row r="2760" spans="1:7">
      <c r="A2760" s="33" t="s">
        <v>689</v>
      </c>
      <c r="B2760" s="33" t="s">
        <v>77</v>
      </c>
      <c r="C2760" s="48" t="s">
        <v>67</v>
      </c>
      <c r="D2760" s="33" t="s">
        <v>61</v>
      </c>
      <c r="E2760" s="93">
        <v>47498</v>
      </c>
      <c r="F2760" s="116">
        <v>245812.49999999997</v>
      </c>
      <c r="G2760" s="116">
        <v>245812.49999999997</v>
      </c>
    </row>
    <row r="2761" spans="1:7">
      <c r="A2761" s="33" t="s">
        <v>689</v>
      </c>
      <c r="B2761" s="33" t="s">
        <v>77</v>
      </c>
      <c r="C2761" s="48" t="s">
        <v>67</v>
      </c>
      <c r="D2761" s="33" t="s">
        <v>61</v>
      </c>
      <c r="E2761" s="93">
        <v>47679</v>
      </c>
      <c r="F2761" s="116">
        <v>245812.49999999997</v>
      </c>
      <c r="G2761" s="116">
        <v>245812.49999999997</v>
      </c>
    </row>
    <row r="2762" spans="1:7">
      <c r="A2762" s="33" t="s">
        <v>689</v>
      </c>
      <c r="B2762" s="33" t="s">
        <v>77</v>
      </c>
      <c r="C2762" s="48" t="s">
        <v>67</v>
      </c>
      <c r="D2762" s="33" t="s">
        <v>61</v>
      </c>
      <c r="E2762" s="93">
        <v>47863</v>
      </c>
      <c r="F2762" s="116">
        <v>245812.49999999997</v>
      </c>
      <c r="G2762" s="116">
        <v>245812.49999999997</v>
      </c>
    </row>
    <row r="2763" spans="1:7">
      <c r="A2763" s="33" t="s">
        <v>689</v>
      </c>
      <c r="B2763" s="33" t="s">
        <v>77</v>
      </c>
      <c r="C2763" s="48" t="s">
        <v>67</v>
      </c>
      <c r="D2763" s="33" t="s">
        <v>61</v>
      </c>
      <c r="E2763" s="93">
        <v>48044</v>
      </c>
      <c r="F2763" s="116">
        <v>245812.49999999997</v>
      </c>
      <c r="G2763" s="116">
        <v>245812.49999999997</v>
      </c>
    </row>
    <row r="2764" spans="1:7">
      <c r="A2764" s="33" t="s">
        <v>689</v>
      </c>
      <c r="B2764" s="33" t="s">
        <v>77</v>
      </c>
      <c r="C2764" s="48" t="s">
        <v>67</v>
      </c>
      <c r="D2764" s="33" t="s">
        <v>61</v>
      </c>
      <c r="E2764" s="93">
        <v>48228</v>
      </c>
      <c r="F2764" s="116">
        <v>245812.49999999997</v>
      </c>
      <c r="G2764" s="116">
        <v>245812.49999999997</v>
      </c>
    </row>
    <row r="2765" spans="1:7">
      <c r="A2765" s="33" t="s">
        <v>689</v>
      </c>
      <c r="B2765" s="33" t="s">
        <v>77</v>
      </c>
      <c r="C2765" s="48" t="s">
        <v>67</v>
      </c>
      <c r="D2765" s="33" t="s">
        <v>61</v>
      </c>
      <c r="E2765" s="93">
        <v>48410</v>
      </c>
      <c r="F2765" s="116">
        <v>245812.49999999997</v>
      </c>
      <c r="G2765" s="116">
        <v>7145812.5</v>
      </c>
    </row>
    <row r="2766" spans="1:7">
      <c r="A2766" s="117" t="s">
        <v>504</v>
      </c>
      <c r="B2766" s="117" t="s">
        <v>54</v>
      </c>
      <c r="C2766" s="108" t="s">
        <v>67</v>
      </c>
      <c r="D2766" s="117" t="s">
        <v>61</v>
      </c>
      <c r="E2766" s="118">
        <v>45856</v>
      </c>
      <c r="F2766" s="115">
        <v>85000</v>
      </c>
      <c r="G2766" s="115">
        <v>85000</v>
      </c>
    </row>
    <row r="2767" spans="1:7">
      <c r="A2767" s="33" t="s">
        <v>504</v>
      </c>
      <c r="B2767" s="33" t="s">
        <v>54</v>
      </c>
      <c r="C2767" s="48" t="s">
        <v>67</v>
      </c>
      <c r="D2767" s="33" t="s">
        <v>61</v>
      </c>
      <c r="E2767" s="91">
        <v>46040</v>
      </c>
      <c r="F2767" s="116">
        <v>85000</v>
      </c>
      <c r="G2767" s="116">
        <v>85000</v>
      </c>
    </row>
    <row r="2768" spans="1:7">
      <c r="A2768" s="33" t="s">
        <v>504</v>
      </c>
      <c r="B2768" s="33" t="s">
        <v>54</v>
      </c>
      <c r="C2768" s="48" t="s">
        <v>67</v>
      </c>
      <c r="D2768" s="33" t="s">
        <v>61</v>
      </c>
      <c r="E2768" s="91">
        <v>46221</v>
      </c>
      <c r="F2768" s="116">
        <v>85000</v>
      </c>
      <c r="G2768" s="116">
        <v>85000</v>
      </c>
    </row>
    <row r="2769" spans="1:7">
      <c r="A2769" s="33" t="s">
        <v>504</v>
      </c>
      <c r="B2769" s="33" t="s">
        <v>54</v>
      </c>
      <c r="C2769" s="48" t="s">
        <v>67</v>
      </c>
      <c r="D2769" s="33" t="s">
        <v>61</v>
      </c>
      <c r="E2769" s="91">
        <v>46405</v>
      </c>
      <c r="F2769" s="116">
        <v>85000</v>
      </c>
      <c r="G2769" s="116">
        <v>85000</v>
      </c>
    </row>
    <row r="2770" spans="1:7">
      <c r="A2770" s="33" t="s">
        <v>504</v>
      </c>
      <c r="B2770" s="33" t="s">
        <v>54</v>
      </c>
      <c r="C2770" s="48" t="s">
        <v>67</v>
      </c>
      <c r="D2770" s="33" t="s">
        <v>61</v>
      </c>
      <c r="E2770" s="91">
        <v>46586</v>
      </c>
      <c r="F2770" s="116">
        <v>85000</v>
      </c>
      <c r="G2770" s="116">
        <v>85000</v>
      </c>
    </row>
    <row r="2771" spans="1:7">
      <c r="A2771" s="33" t="s">
        <v>504</v>
      </c>
      <c r="B2771" s="33" t="s">
        <v>54</v>
      </c>
      <c r="C2771" s="48" t="s">
        <v>67</v>
      </c>
      <c r="D2771" s="33" t="s">
        <v>61</v>
      </c>
      <c r="E2771" s="91">
        <v>46770</v>
      </c>
      <c r="F2771" s="116">
        <v>85000</v>
      </c>
      <c r="G2771" s="116">
        <v>85000</v>
      </c>
    </row>
    <row r="2772" spans="1:7">
      <c r="A2772" s="33" t="s">
        <v>504</v>
      </c>
      <c r="B2772" s="33" t="s">
        <v>54</v>
      </c>
      <c r="C2772" s="48" t="s">
        <v>67</v>
      </c>
      <c r="D2772" s="33" t="s">
        <v>61</v>
      </c>
      <c r="E2772" s="91">
        <v>46952</v>
      </c>
      <c r="F2772" s="116">
        <v>85000</v>
      </c>
      <c r="G2772" s="116">
        <v>85000</v>
      </c>
    </row>
    <row r="2773" spans="1:7">
      <c r="A2773" s="33" t="s">
        <v>504</v>
      </c>
      <c r="B2773" s="33" t="s">
        <v>54</v>
      </c>
      <c r="C2773" s="48" t="s">
        <v>67</v>
      </c>
      <c r="D2773" s="33" t="s">
        <v>61</v>
      </c>
      <c r="E2773" s="91">
        <v>47136</v>
      </c>
      <c r="F2773" s="116">
        <v>85000</v>
      </c>
      <c r="G2773" s="116">
        <v>85000</v>
      </c>
    </row>
    <row r="2774" spans="1:7">
      <c r="A2774" s="33" t="s">
        <v>504</v>
      </c>
      <c r="B2774" s="33" t="s">
        <v>54</v>
      </c>
      <c r="C2774" s="48" t="s">
        <v>67</v>
      </c>
      <c r="D2774" s="33" t="s">
        <v>61</v>
      </c>
      <c r="E2774" s="91">
        <v>47317</v>
      </c>
      <c r="F2774" s="116">
        <v>85000</v>
      </c>
      <c r="G2774" s="116">
        <v>85000</v>
      </c>
    </row>
    <row r="2775" spans="1:7">
      <c r="A2775" s="33" t="s">
        <v>504</v>
      </c>
      <c r="B2775" s="33" t="s">
        <v>54</v>
      </c>
      <c r="C2775" s="48" t="s">
        <v>67</v>
      </c>
      <c r="D2775" s="33" t="s">
        <v>61</v>
      </c>
      <c r="E2775" s="91">
        <v>47501</v>
      </c>
      <c r="F2775" s="116">
        <v>85000</v>
      </c>
      <c r="G2775" s="116">
        <v>85000</v>
      </c>
    </row>
    <row r="2776" spans="1:7">
      <c r="A2776" s="33" t="s">
        <v>504</v>
      </c>
      <c r="B2776" s="33" t="s">
        <v>54</v>
      </c>
      <c r="C2776" s="48" t="s">
        <v>67</v>
      </c>
      <c r="D2776" s="33" t="s">
        <v>61</v>
      </c>
      <c r="E2776" s="91">
        <v>47682</v>
      </c>
      <c r="F2776" s="116">
        <v>85000</v>
      </c>
      <c r="G2776" s="116">
        <v>85000</v>
      </c>
    </row>
    <row r="2777" spans="1:7">
      <c r="A2777" s="33" t="s">
        <v>504</v>
      </c>
      <c r="B2777" s="33" t="s">
        <v>54</v>
      </c>
      <c r="C2777" s="48" t="s">
        <v>67</v>
      </c>
      <c r="D2777" s="33" t="s">
        <v>61</v>
      </c>
      <c r="E2777" s="91">
        <v>47866</v>
      </c>
      <c r="F2777" s="116">
        <v>85000</v>
      </c>
      <c r="G2777" s="116">
        <v>2085000</v>
      </c>
    </row>
    <row r="2778" spans="1:7">
      <c r="A2778" s="117" t="s">
        <v>689</v>
      </c>
      <c r="B2778" s="107" t="s">
        <v>321</v>
      </c>
      <c r="C2778" s="108" t="s">
        <v>67</v>
      </c>
      <c r="D2778" s="117" t="s">
        <v>61</v>
      </c>
      <c r="E2778" s="110">
        <v>45853</v>
      </c>
      <c r="F2778" s="115">
        <v>113999.99999999999</v>
      </c>
      <c r="G2778" s="115">
        <v>113999.99999999999</v>
      </c>
    </row>
    <row r="2779" spans="1:7">
      <c r="A2779" s="33" t="s">
        <v>689</v>
      </c>
      <c r="B2779" s="56" t="s">
        <v>321</v>
      </c>
      <c r="C2779" s="48" t="s">
        <v>67</v>
      </c>
      <c r="D2779" s="33" t="s">
        <v>61</v>
      </c>
      <c r="E2779" s="93">
        <v>46037</v>
      </c>
      <c r="F2779" s="116">
        <v>113999.99999999999</v>
      </c>
      <c r="G2779" s="116">
        <v>113999.99999999999</v>
      </c>
    </row>
    <row r="2780" spans="1:7">
      <c r="A2780" s="33" t="s">
        <v>689</v>
      </c>
      <c r="B2780" s="56" t="s">
        <v>321</v>
      </c>
      <c r="C2780" s="48" t="s">
        <v>67</v>
      </c>
      <c r="D2780" s="33" t="s">
        <v>61</v>
      </c>
      <c r="E2780" s="93">
        <v>46218</v>
      </c>
      <c r="F2780" s="116">
        <v>113999.99999999999</v>
      </c>
      <c r="G2780" s="116">
        <v>113999.99999999999</v>
      </c>
    </row>
    <row r="2781" spans="1:7">
      <c r="A2781" s="33" t="s">
        <v>689</v>
      </c>
      <c r="B2781" s="56" t="s">
        <v>321</v>
      </c>
      <c r="C2781" s="48" t="s">
        <v>67</v>
      </c>
      <c r="D2781" s="33" t="s">
        <v>61</v>
      </c>
      <c r="E2781" s="93">
        <v>46402</v>
      </c>
      <c r="F2781" s="116">
        <v>113999.99999999999</v>
      </c>
      <c r="G2781" s="116">
        <v>113999.99999999999</v>
      </c>
    </row>
    <row r="2782" spans="1:7">
      <c r="A2782" s="33" t="s">
        <v>689</v>
      </c>
      <c r="B2782" s="56" t="s">
        <v>321</v>
      </c>
      <c r="C2782" s="48" t="s">
        <v>67</v>
      </c>
      <c r="D2782" s="33" t="s">
        <v>61</v>
      </c>
      <c r="E2782" s="93">
        <v>46583</v>
      </c>
      <c r="F2782" s="116">
        <v>113999.99999999999</v>
      </c>
      <c r="G2782" s="116">
        <v>113999.99999999999</v>
      </c>
    </row>
    <row r="2783" spans="1:7">
      <c r="A2783" s="33" t="s">
        <v>689</v>
      </c>
      <c r="B2783" s="56" t="s">
        <v>321</v>
      </c>
      <c r="C2783" s="48" t="s">
        <v>67</v>
      </c>
      <c r="D2783" s="33" t="s">
        <v>61</v>
      </c>
      <c r="E2783" s="93">
        <v>46767</v>
      </c>
      <c r="F2783" s="116">
        <v>113999.99999999999</v>
      </c>
      <c r="G2783" s="116">
        <v>113999.99999999999</v>
      </c>
    </row>
    <row r="2784" spans="1:7">
      <c r="A2784" s="33" t="s">
        <v>689</v>
      </c>
      <c r="B2784" s="56" t="s">
        <v>321</v>
      </c>
      <c r="C2784" s="48" t="s">
        <v>67</v>
      </c>
      <c r="D2784" s="33" t="s">
        <v>61</v>
      </c>
      <c r="E2784" s="93">
        <v>46949</v>
      </c>
      <c r="F2784" s="116">
        <v>113999.99999999999</v>
      </c>
      <c r="G2784" s="116">
        <v>113999.99999999999</v>
      </c>
    </row>
    <row r="2785" spans="1:7">
      <c r="A2785" s="33" t="s">
        <v>689</v>
      </c>
      <c r="B2785" s="56" t="s">
        <v>321</v>
      </c>
      <c r="C2785" s="48" t="s">
        <v>67</v>
      </c>
      <c r="D2785" s="33" t="s">
        <v>61</v>
      </c>
      <c r="E2785" s="93">
        <v>47133</v>
      </c>
      <c r="F2785" s="116">
        <v>113999.99999999999</v>
      </c>
      <c r="G2785" s="116">
        <v>113999.99999999999</v>
      </c>
    </row>
    <row r="2786" spans="1:7">
      <c r="A2786" s="33" t="s">
        <v>689</v>
      </c>
      <c r="B2786" s="56" t="s">
        <v>321</v>
      </c>
      <c r="C2786" s="48" t="s">
        <v>67</v>
      </c>
      <c r="D2786" s="33" t="s">
        <v>61</v>
      </c>
      <c r="E2786" s="93">
        <v>47314</v>
      </c>
      <c r="F2786" s="116">
        <v>113999.99999999999</v>
      </c>
      <c r="G2786" s="116">
        <v>113999.99999999999</v>
      </c>
    </row>
    <row r="2787" spans="1:7">
      <c r="A2787" s="33" t="s">
        <v>689</v>
      </c>
      <c r="B2787" s="56" t="s">
        <v>321</v>
      </c>
      <c r="C2787" s="48" t="s">
        <v>67</v>
      </c>
      <c r="D2787" s="33" t="s">
        <v>61</v>
      </c>
      <c r="E2787" s="93">
        <v>47498</v>
      </c>
      <c r="F2787" s="116">
        <v>113999.99999999999</v>
      </c>
      <c r="G2787" s="116">
        <v>113999.99999999999</v>
      </c>
    </row>
    <row r="2788" spans="1:7">
      <c r="A2788" s="33" t="s">
        <v>689</v>
      </c>
      <c r="B2788" s="56" t="s">
        <v>321</v>
      </c>
      <c r="C2788" s="48" t="s">
        <v>67</v>
      </c>
      <c r="D2788" s="33" t="s">
        <v>61</v>
      </c>
      <c r="E2788" s="93">
        <v>47679</v>
      </c>
      <c r="F2788" s="116">
        <v>113999.99999999999</v>
      </c>
      <c r="G2788" s="116">
        <v>113999.99999999999</v>
      </c>
    </row>
    <row r="2789" spans="1:7">
      <c r="A2789" s="33" t="s">
        <v>689</v>
      </c>
      <c r="B2789" s="56" t="s">
        <v>321</v>
      </c>
      <c r="C2789" s="48" t="s">
        <v>67</v>
      </c>
      <c r="D2789" s="33" t="s">
        <v>61</v>
      </c>
      <c r="E2789" s="93">
        <v>47863</v>
      </c>
      <c r="F2789" s="116">
        <v>113999.99999999999</v>
      </c>
      <c r="G2789" s="116">
        <v>113999.99999999999</v>
      </c>
    </row>
    <row r="2790" spans="1:7">
      <c r="A2790" s="33" t="s">
        <v>689</v>
      </c>
      <c r="B2790" s="56" t="s">
        <v>321</v>
      </c>
      <c r="C2790" s="48" t="s">
        <v>67</v>
      </c>
      <c r="D2790" s="33" t="s">
        <v>61</v>
      </c>
      <c r="E2790" s="93">
        <v>48044</v>
      </c>
      <c r="F2790" s="116">
        <v>113999.99999999999</v>
      </c>
      <c r="G2790" s="116">
        <v>113999.99999999999</v>
      </c>
    </row>
    <row r="2791" spans="1:7">
      <c r="A2791" s="33" t="s">
        <v>689</v>
      </c>
      <c r="B2791" s="56" t="s">
        <v>321</v>
      </c>
      <c r="C2791" s="48" t="s">
        <v>67</v>
      </c>
      <c r="D2791" s="33" t="s">
        <v>61</v>
      </c>
      <c r="E2791" s="93">
        <v>48228</v>
      </c>
      <c r="F2791" s="116">
        <v>113999.99999999999</v>
      </c>
      <c r="G2791" s="116">
        <v>113999.99999999999</v>
      </c>
    </row>
    <row r="2792" spans="1:7">
      <c r="A2792" s="33" t="s">
        <v>689</v>
      </c>
      <c r="B2792" s="56" t="s">
        <v>321</v>
      </c>
      <c r="C2792" s="48" t="s">
        <v>67</v>
      </c>
      <c r="D2792" s="33" t="s">
        <v>61</v>
      </c>
      <c r="E2792" s="93">
        <v>48410</v>
      </c>
      <c r="F2792" s="116">
        <v>113999.99999999999</v>
      </c>
      <c r="G2792" s="116">
        <v>3314000</v>
      </c>
    </row>
    <row r="2793" spans="1:7">
      <c r="A2793" s="107" t="s">
        <v>600</v>
      </c>
      <c r="B2793" s="117" t="s">
        <v>77</v>
      </c>
      <c r="C2793" s="117" t="s">
        <v>35</v>
      </c>
      <c r="D2793" s="109" t="s">
        <v>61</v>
      </c>
      <c r="E2793" s="110">
        <v>45770</v>
      </c>
      <c r="F2793" s="115">
        <v>94575</v>
      </c>
      <c r="G2793" s="115">
        <v>94575</v>
      </c>
    </row>
    <row r="2794" spans="1:7">
      <c r="A2794" s="56" t="s">
        <v>600</v>
      </c>
      <c r="B2794" s="33" t="s">
        <v>77</v>
      </c>
      <c r="C2794" s="33" t="s">
        <v>35</v>
      </c>
      <c r="D2794" s="36" t="s">
        <v>61</v>
      </c>
      <c r="E2794" s="93">
        <v>45953</v>
      </c>
      <c r="F2794" s="116">
        <v>94575</v>
      </c>
      <c r="G2794" s="116">
        <v>94575</v>
      </c>
    </row>
    <row r="2795" spans="1:7">
      <c r="A2795" s="56" t="s">
        <v>600</v>
      </c>
      <c r="B2795" s="33" t="s">
        <v>77</v>
      </c>
      <c r="C2795" s="33" t="s">
        <v>35</v>
      </c>
      <c r="D2795" s="36" t="s">
        <v>61</v>
      </c>
      <c r="E2795" s="93">
        <v>46135</v>
      </c>
      <c r="F2795" s="116">
        <v>94575</v>
      </c>
      <c r="G2795" s="116">
        <v>94575</v>
      </c>
    </row>
    <row r="2796" spans="1:7">
      <c r="A2796" s="56" t="s">
        <v>600</v>
      </c>
      <c r="B2796" s="33" t="s">
        <v>77</v>
      </c>
      <c r="C2796" s="33" t="s">
        <v>35</v>
      </c>
      <c r="D2796" s="36" t="s">
        <v>61</v>
      </c>
      <c r="E2796" s="93">
        <v>46318</v>
      </c>
      <c r="F2796" s="116">
        <v>94575</v>
      </c>
      <c r="G2796" s="116">
        <v>94575</v>
      </c>
    </row>
    <row r="2797" spans="1:7">
      <c r="A2797" s="56" t="s">
        <v>600</v>
      </c>
      <c r="B2797" s="33" t="s">
        <v>77</v>
      </c>
      <c r="C2797" s="33" t="s">
        <v>35</v>
      </c>
      <c r="D2797" s="36" t="s">
        <v>61</v>
      </c>
      <c r="E2797" s="93">
        <v>46500</v>
      </c>
      <c r="F2797" s="116">
        <v>94575</v>
      </c>
      <c r="G2797" s="116">
        <v>94575</v>
      </c>
    </row>
    <row r="2798" spans="1:7">
      <c r="A2798" s="56" t="s">
        <v>600</v>
      </c>
      <c r="B2798" s="33" t="s">
        <v>77</v>
      </c>
      <c r="C2798" s="33" t="s">
        <v>35</v>
      </c>
      <c r="D2798" s="36" t="s">
        <v>61</v>
      </c>
      <c r="E2798" s="93">
        <v>46683</v>
      </c>
      <c r="F2798" s="116">
        <v>94575</v>
      </c>
      <c r="G2798" s="116">
        <v>94575</v>
      </c>
    </row>
    <row r="2799" spans="1:7">
      <c r="A2799" s="56" t="s">
        <v>600</v>
      </c>
      <c r="B2799" s="33" t="s">
        <v>77</v>
      </c>
      <c r="C2799" s="33" t="s">
        <v>35</v>
      </c>
      <c r="D2799" s="36" t="s">
        <v>61</v>
      </c>
      <c r="E2799" s="93">
        <v>46866</v>
      </c>
      <c r="F2799" s="116">
        <v>94575</v>
      </c>
      <c r="G2799" s="116">
        <v>94575</v>
      </c>
    </row>
    <row r="2800" spans="1:7">
      <c r="A2800" s="56" t="s">
        <v>600</v>
      </c>
      <c r="B2800" s="33" t="s">
        <v>77</v>
      </c>
      <c r="C2800" s="33" t="s">
        <v>35</v>
      </c>
      <c r="D2800" s="36" t="s">
        <v>61</v>
      </c>
      <c r="E2800" s="93">
        <v>47049</v>
      </c>
      <c r="F2800" s="116">
        <v>94575</v>
      </c>
      <c r="G2800" s="116">
        <v>94575</v>
      </c>
    </row>
    <row r="2801" spans="1:7">
      <c r="A2801" s="56" t="s">
        <v>600</v>
      </c>
      <c r="B2801" s="33" t="s">
        <v>77</v>
      </c>
      <c r="C2801" s="33" t="s">
        <v>35</v>
      </c>
      <c r="D2801" s="36" t="s">
        <v>61</v>
      </c>
      <c r="E2801" s="93">
        <v>47231</v>
      </c>
      <c r="F2801" s="116">
        <v>94575</v>
      </c>
      <c r="G2801" s="116">
        <v>94575</v>
      </c>
    </row>
    <row r="2802" spans="1:7">
      <c r="A2802" s="56" t="s">
        <v>600</v>
      </c>
      <c r="B2802" s="33" t="s">
        <v>77</v>
      </c>
      <c r="C2802" s="33" t="s">
        <v>35</v>
      </c>
      <c r="D2802" s="36" t="s">
        <v>61</v>
      </c>
      <c r="E2802" s="93">
        <v>47414</v>
      </c>
      <c r="F2802" s="116">
        <v>94575</v>
      </c>
      <c r="G2802" s="116">
        <v>94575</v>
      </c>
    </row>
    <row r="2803" spans="1:7">
      <c r="A2803" s="56" t="s">
        <v>600</v>
      </c>
      <c r="B2803" s="33" t="s">
        <v>77</v>
      </c>
      <c r="C2803" s="33" t="s">
        <v>35</v>
      </c>
      <c r="D2803" s="36" t="s">
        <v>61</v>
      </c>
      <c r="E2803" s="93">
        <v>47596</v>
      </c>
      <c r="F2803" s="116">
        <v>94575</v>
      </c>
      <c r="G2803" s="116">
        <v>94575</v>
      </c>
    </row>
    <row r="2804" spans="1:7">
      <c r="A2804" s="56" t="s">
        <v>600</v>
      </c>
      <c r="B2804" s="33" t="s">
        <v>77</v>
      </c>
      <c r="C2804" s="33" t="s">
        <v>35</v>
      </c>
      <c r="D2804" s="36" t="s">
        <v>61</v>
      </c>
      <c r="E2804" s="93">
        <v>47779</v>
      </c>
      <c r="F2804" s="116">
        <v>94575</v>
      </c>
      <c r="G2804" s="116">
        <v>94575</v>
      </c>
    </row>
    <row r="2805" spans="1:7">
      <c r="A2805" s="56" t="s">
        <v>600</v>
      </c>
      <c r="B2805" s="33" t="s">
        <v>77</v>
      </c>
      <c r="C2805" s="33" t="s">
        <v>35</v>
      </c>
      <c r="D2805" s="36" t="s">
        <v>61</v>
      </c>
      <c r="E2805" s="93">
        <v>47961</v>
      </c>
      <c r="F2805" s="116">
        <v>94575</v>
      </c>
      <c r="G2805" s="116">
        <v>94575</v>
      </c>
    </row>
    <row r="2806" spans="1:7">
      <c r="A2806" s="56" t="s">
        <v>600</v>
      </c>
      <c r="B2806" s="33" t="s">
        <v>77</v>
      </c>
      <c r="C2806" s="33" t="s">
        <v>35</v>
      </c>
      <c r="D2806" s="36" t="s">
        <v>61</v>
      </c>
      <c r="E2806" s="93">
        <v>48144</v>
      </c>
      <c r="F2806" s="116">
        <v>94575</v>
      </c>
      <c r="G2806" s="116">
        <v>3994575</v>
      </c>
    </row>
    <row r="2807" spans="1:7">
      <c r="A2807" s="107" t="s">
        <v>657</v>
      </c>
      <c r="B2807" s="117" t="s">
        <v>77</v>
      </c>
      <c r="C2807" s="117" t="s">
        <v>35</v>
      </c>
      <c r="D2807" s="109" t="s">
        <v>61</v>
      </c>
      <c r="E2807" s="110">
        <v>45914</v>
      </c>
      <c r="F2807" s="115">
        <v>98500</v>
      </c>
      <c r="G2807" s="115">
        <v>98500</v>
      </c>
    </row>
    <row r="2808" spans="1:7">
      <c r="A2808" s="56" t="s">
        <v>657</v>
      </c>
      <c r="B2808" s="33" t="s">
        <v>77</v>
      </c>
      <c r="C2808" s="33" t="s">
        <v>35</v>
      </c>
      <c r="D2808" s="36" t="s">
        <v>61</v>
      </c>
      <c r="E2808" s="93">
        <v>46095</v>
      </c>
      <c r="F2808" s="116">
        <v>98500</v>
      </c>
      <c r="G2808" s="116">
        <v>98500</v>
      </c>
    </row>
    <row r="2809" spans="1:7">
      <c r="A2809" s="56" t="s">
        <v>657</v>
      </c>
      <c r="B2809" s="33" t="s">
        <v>77</v>
      </c>
      <c r="C2809" s="33" t="s">
        <v>35</v>
      </c>
      <c r="D2809" s="36" t="s">
        <v>61</v>
      </c>
      <c r="E2809" s="93">
        <v>46279</v>
      </c>
      <c r="F2809" s="116">
        <v>98500</v>
      </c>
      <c r="G2809" s="116">
        <v>98500</v>
      </c>
    </row>
    <row r="2810" spans="1:7">
      <c r="A2810" s="56" t="s">
        <v>657</v>
      </c>
      <c r="B2810" s="33" t="s">
        <v>77</v>
      </c>
      <c r="C2810" s="33" t="s">
        <v>35</v>
      </c>
      <c r="D2810" s="36" t="s">
        <v>61</v>
      </c>
      <c r="E2810" s="93">
        <v>46460</v>
      </c>
      <c r="F2810" s="116">
        <v>98500</v>
      </c>
      <c r="G2810" s="116">
        <v>98500</v>
      </c>
    </row>
    <row r="2811" spans="1:7">
      <c r="A2811" s="56" t="s">
        <v>657</v>
      </c>
      <c r="B2811" s="33" t="s">
        <v>77</v>
      </c>
      <c r="C2811" s="33" t="s">
        <v>35</v>
      </c>
      <c r="D2811" s="36" t="s">
        <v>61</v>
      </c>
      <c r="E2811" s="93">
        <v>46644</v>
      </c>
      <c r="F2811" s="116">
        <v>98500</v>
      </c>
      <c r="G2811" s="116">
        <v>98500</v>
      </c>
    </row>
    <row r="2812" spans="1:7">
      <c r="A2812" s="56" t="s">
        <v>657</v>
      </c>
      <c r="B2812" s="33" t="s">
        <v>77</v>
      </c>
      <c r="C2812" s="33" t="s">
        <v>35</v>
      </c>
      <c r="D2812" s="36" t="s">
        <v>61</v>
      </c>
      <c r="E2812" s="93">
        <v>46826</v>
      </c>
      <c r="F2812" s="116">
        <v>98500</v>
      </c>
      <c r="G2812" s="116">
        <v>98500</v>
      </c>
    </row>
    <row r="2813" spans="1:7">
      <c r="A2813" s="56" t="s">
        <v>657</v>
      </c>
      <c r="B2813" s="33" t="s">
        <v>77</v>
      </c>
      <c r="C2813" s="33" t="s">
        <v>35</v>
      </c>
      <c r="D2813" s="36" t="s">
        <v>61</v>
      </c>
      <c r="E2813" s="93">
        <v>47010</v>
      </c>
      <c r="F2813" s="116">
        <v>98500</v>
      </c>
      <c r="G2813" s="116">
        <v>98500</v>
      </c>
    </row>
    <row r="2814" spans="1:7">
      <c r="A2814" s="56" t="s">
        <v>657</v>
      </c>
      <c r="B2814" s="33" t="s">
        <v>77</v>
      </c>
      <c r="C2814" s="33" t="s">
        <v>35</v>
      </c>
      <c r="D2814" s="36" t="s">
        <v>61</v>
      </c>
      <c r="E2814" s="93">
        <v>47191</v>
      </c>
      <c r="F2814" s="116">
        <v>98500</v>
      </c>
      <c r="G2814" s="116">
        <v>98500</v>
      </c>
    </row>
    <row r="2815" spans="1:7">
      <c r="A2815" s="56" t="s">
        <v>657</v>
      </c>
      <c r="B2815" s="33" t="s">
        <v>77</v>
      </c>
      <c r="C2815" s="33" t="s">
        <v>35</v>
      </c>
      <c r="D2815" s="36" t="s">
        <v>61</v>
      </c>
      <c r="E2815" s="93">
        <v>47375</v>
      </c>
      <c r="F2815" s="116">
        <v>98500</v>
      </c>
      <c r="G2815" s="116">
        <v>98500</v>
      </c>
    </row>
    <row r="2816" spans="1:7">
      <c r="A2816" s="56" t="s">
        <v>657</v>
      </c>
      <c r="B2816" s="33" t="s">
        <v>77</v>
      </c>
      <c r="C2816" s="33" t="s">
        <v>35</v>
      </c>
      <c r="D2816" s="36" t="s">
        <v>61</v>
      </c>
      <c r="E2816" s="93">
        <v>47556</v>
      </c>
      <c r="F2816" s="116">
        <v>98500</v>
      </c>
      <c r="G2816" s="116">
        <v>98500</v>
      </c>
    </row>
    <row r="2817" spans="1:7">
      <c r="A2817" s="56" t="s">
        <v>657</v>
      </c>
      <c r="B2817" s="33" t="s">
        <v>77</v>
      </c>
      <c r="C2817" s="33" t="s">
        <v>35</v>
      </c>
      <c r="D2817" s="36" t="s">
        <v>61</v>
      </c>
      <c r="E2817" s="93">
        <v>47740</v>
      </c>
      <c r="F2817" s="116">
        <v>98500</v>
      </c>
      <c r="G2817" s="116">
        <v>98500</v>
      </c>
    </row>
    <row r="2818" spans="1:7">
      <c r="A2818" s="56" t="s">
        <v>657</v>
      </c>
      <c r="B2818" s="33" t="s">
        <v>77</v>
      </c>
      <c r="C2818" s="33" t="s">
        <v>35</v>
      </c>
      <c r="D2818" s="36" t="s">
        <v>61</v>
      </c>
      <c r="E2818" s="93">
        <v>47921</v>
      </c>
      <c r="F2818" s="116">
        <v>98500</v>
      </c>
      <c r="G2818" s="116">
        <v>98500</v>
      </c>
    </row>
    <row r="2819" spans="1:7">
      <c r="A2819" s="56" t="s">
        <v>657</v>
      </c>
      <c r="B2819" s="33" t="s">
        <v>77</v>
      </c>
      <c r="C2819" s="33" t="s">
        <v>35</v>
      </c>
      <c r="D2819" s="36" t="s">
        <v>61</v>
      </c>
      <c r="E2819" s="93">
        <v>48105</v>
      </c>
      <c r="F2819" s="116">
        <v>98500</v>
      </c>
      <c r="G2819" s="116">
        <v>98500</v>
      </c>
    </row>
    <row r="2820" spans="1:7">
      <c r="A2820" s="56" t="s">
        <v>657</v>
      </c>
      <c r="B2820" s="33" t="s">
        <v>77</v>
      </c>
      <c r="C2820" s="33" t="s">
        <v>35</v>
      </c>
      <c r="D2820" s="36" t="s">
        <v>61</v>
      </c>
      <c r="E2820" s="93">
        <v>48287</v>
      </c>
      <c r="F2820" s="116">
        <v>98500</v>
      </c>
      <c r="G2820" s="116">
        <v>4038500</v>
      </c>
    </row>
    <row r="2821" spans="1:7">
      <c r="A2821" s="107" t="s">
        <v>642</v>
      </c>
      <c r="B2821" s="117" t="s">
        <v>77</v>
      </c>
      <c r="C2821" s="117" t="s">
        <v>60</v>
      </c>
      <c r="D2821" s="109" t="s">
        <v>61</v>
      </c>
      <c r="E2821" s="110">
        <v>45879</v>
      </c>
      <c r="F2821" s="115">
        <v>97500</v>
      </c>
      <c r="G2821" s="115">
        <v>97500</v>
      </c>
    </row>
    <row r="2822" spans="1:7">
      <c r="A2822" s="56" t="s">
        <v>642</v>
      </c>
      <c r="B2822" s="33" t="s">
        <v>77</v>
      </c>
      <c r="C2822" s="33" t="s">
        <v>60</v>
      </c>
      <c r="D2822" s="36" t="s">
        <v>61</v>
      </c>
      <c r="E2822" s="93">
        <v>46063</v>
      </c>
      <c r="F2822" s="116">
        <v>97500</v>
      </c>
      <c r="G2822" s="116">
        <v>97500</v>
      </c>
    </row>
    <row r="2823" spans="1:7">
      <c r="A2823" s="56" t="s">
        <v>642</v>
      </c>
      <c r="B2823" s="33" t="s">
        <v>77</v>
      </c>
      <c r="C2823" s="33" t="s">
        <v>60</v>
      </c>
      <c r="D2823" s="36" t="s">
        <v>61</v>
      </c>
      <c r="E2823" s="93">
        <v>46244</v>
      </c>
      <c r="F2823" s="116">
        <v>97500</v>
      </c>
      <c r="G2823" s="116">
        <v>97500</v>
      </c>
    </row>
    <row r="2824" spans="1:7">
      <c r="A2824" s="56" t="s">
        <v>642</v>
      </c>
      <c r="B2824" s="33" t="s">
        <v>77</v>
      </c>
      <c r="C2824" s="33" t="s">
        <v>60</v>
      </c>
      <c r="D2824" s="36" t="s">
        <v>61</v>
      </c>
      <c r="E2824" s="93">
        <v>46428</v>
      </c>
      <c r="F2824" s="116">
        <v>97500</v>
      </c>
      <c r="G2824" s="116">
        <v>97500</v>
      </c>
    </row>
    <row r="2825" spans="1:7">
      <c r="A2825" s="56" t="s">
        <v>642</v>
      </c>
      <c r="B2825" s="33" t="s">
        <v>77</v>
      </c>
      <c r="C2825" s="33" t="s">
        <v>60</v>
      </c>
      <c r="D2825" s="36" t="s">
        <v>61</v>
      </c>
      <c r="E2825" s="93">
        <v>46609</v>
      </c>
      <c r="F2825" s="116">
        <v>97500</v>
      </c>
      <c r="G2825" s="116">
        <v>97500</v>
      </c>
    </row>
    <row r="2826" spans="1:7">
      <c r="A2826" s="56" t="s">
        <v>642</v>
      </c>
      <c r="B2826" s="33" t="s">
        <v>77</v>
      </c>
      <c r="C2826" s="33" t="s">
        <v>60</v>
      </c>
      <c r="D2826" s="36" t="s">
        <v>61</v>
      </c>
      <c r="E2826" s="93">
        <v>46793</v>
      </c>
      <c r="F2826" s="116">
        <v>97500</v>
      </c>
      <c r="G2826" s="116">
        <v>97500</v>
      </c>
    </row>
    <row r="2827" spans="1:7">
      <c r="A2827" s="56" t="s">
        <v>642</v>
      </c>
      <c r="B2827" s="33" t="s">
        <v>77</v>
      </c>
      <c r="C2827" s="33" t="s">
        <v>60</v>
      </c>
      <c r="D2827" s="36" t="s">
        <v>61</v>
      </c>
      <c r="E2827" s="93">
        <v>46975</v>
      </c>
      <c r="F2827" s="116">
        <v>97500</v>
      </c>
      <c r="G2827" s="116">
        <v>97500</v>
      </c>
    </row>
    <row r="2828" spans="1:7">
      <c r="A2828" s="56" t="s">
        <v>642</v>
      </c>
      <c r="B2828" s="33" t="s">
        <v>77</v>
      </c>
      <c r="C2828" s="33" t="s">
        <v>60</v>
      </c>
      <c r="D2828" s="36" t="s">
        <v>61</v>
      </c>
      <c r="E2828" s="93">
        <v>47159</v>
      </c>
      <c r="F2828" s="116">
        <v>97500</v>
      </c>
      <c r="G2828" s="116">
        <v>97500</v>
      </c>
    </row>
    <row r="2829" spans="1:7">
      <c r="A2829" s="56" t="s">
        <v>642</v>
      </c>
      <c r="B2829" s="33" t="s">
        <v>77</v>
      </c>
      <c r="C2829" s="33" t="s">
        <v>60</v>
      </c>
      <c r="D2829" s="36" t="s">
        <v>61</v>
      </c>
      <c r="E2829" s="93">
        <v>47340</v>
      </c>
      <c r="F2829" s="116">
        <v>97500</v>
      </c>
      <c r="G2829" s="116">
        <v>97500</v>
      </c>
    </row>
    <row r="2830" spans="1:7">
      <c r="A2830" s="56" t="s">
        <v>642</v>
      </c>
      <c r="B2830" s="33" t="s">
        <v>77</v>
      </c>
      <c r="C2830" s="33" t="s">
        <v>60</v>
      </c>
      <c r="D2830" s="36" t="s">
        <v>61</v>
      </c>
      <c r="E2830" s="93">
        <v>47524</v>
      </c>
      <c r="F2830" s="116">
        <v>97500</v>
      </c>
      <c r="G2830" s="116">
        <v>97500</v>
      </c>
    </row>
    <row r="2831" spans="1:7">
      <c r="A2831" s="56" t="s">
        <v>642</v>
      </c>
      <c r="B2831" s="33" t="s">
        <v>77</v>
      </c>
      <c r="C2831" s="33" t="s">
        <v>60</v>
      </c>
      <c r="D2831" s="36" t="s">
        <v>61</v>
      </c>
      <c r="E2831" s="93">
        <v>47705</v>
      </c>
      <c r="F2831" s="116">
        <v>97500</v>
      </c>
      <c r="G2831" s="116">
        <v>97500</v>
      </c>
    </row>
    <row r="2832" spans="1:7">
      <c r="A2832" s="56" t="s">
        <v>642</v>
      </c>
      <c r="B2832" s="33" t="s">
        <v>77</v>
      </c>
      <c r="C2832" s="33" t="s">
        <v>60</v>
      </c>
      <c r="D2832" s="36" t="s">
        <v>61</v>
      </c>
      <c r="E2832" s="93">
        <v>47889</v>
      </c>
      <c r="F2832" s="116">
        <v>97500</v>
      </c>
      <c r="G2832" s="116">
        <v>97500</v>
      </c>
    </row>
    <row r="2833" spans="1:7">
      <c r="A2833" s="56" t="s">
        <v>642</v>
      </c>
      <c r="B2833" s="33" t="s">
        <v>77</v>
      </c>
      <c r="C2833" s="33" t="s">
        <v>60</v>
      </c>
      <c r="D2833" s="36" t="s">
        <v>61</v>
      </c>
      <c r="E2833" s="93">
        <v>48070</v>
      </c>
      <c r="F2833" s="116">
        <v>97500</v>
      </c>
      <c r="G2833" s="116">
        <v>97500</v>
      </c>
    </row>
    <row r="2834" spans="1:7">
      <c r="A2834" s="56" t="s">
        <v>642</v>
      </c>
      <c r="B2834" s="33" t="s">
        <v>77</v>
      </c>
      <c r="C2834" s="33" t="s">
        <v>60</v>
      </c>
      <c r="D2834" s="36" t="s">
        <v>61</v>
      </c>
      <c r="E2834" s="93">
        <v>48254</v>
      </c>
      <c r="F2834" s="116">
        <v>97500</v>
      </c>
      <c r="G2834" s="116">
        <v>3997500</v>
      </c>
    </row>
    <row r="2835" spans="1:7">
      <c r="A2835" s="107" t="s">
        <v>657</v>
      </c>
      <c r="B2835" s="117" t="s">
        <v>77</v>
      </c>
      <c r="C2835" s="117" t="s">
        <v>35</v>
      </c>
      <c r="D2835" s="109" t="s">
        <v>61</v>
      </c>
      <c r="E2835" s="110">
        <v>45914</v>
      </c>
      <c r="F2835" s="115">
        <v>40000</v>
      </c>
      <c r="G2835" s="115">
        <v>40000</v>
      </c>
    </row>
    <row r="2836" spans="1:7">
      <c r="A2836" s="56" t="s">
        <v>657</v>
      </c>
      <c r="B2836" s="33" t="s">
        <v>77</v>
      </c>
      <c r="C2836" s="33" t="s">
        <v>35</v>
      </c>
      <c r="D2836" s="36" t="s">
        <v>61</v>
      </c>
      <c r="E2836" s="93">
        <v>46095</v>
      </c>
      <c r="F2836" s="116">
        <v>40000</v>
      </c>
      <c r="G2836" s="116">
        <v>40000</v>
      </c>
    </row>
    <row r="2837" spans="1:7">
      <c r="A2837" s="56" t="s">
        <v>657</v>
      </c>
      <c r="B2837" s="33" t="s">
        <v>77</v>
      </c>
      <c r="C2837" s="33" t="s">
        <v>35</v>
      </c>
      <c r="D2837" s="36" t="s">
        <v>61</v>
      </c>
      <c r="E2837" s="93">
        <v>46279</v>
      </c>
      <c r="F2837" s="116">
        <v>40000</v>
      </c>
      <c r="G2837" s="116">
        <v>40000</v>
      </c>
    </row>
    <row r="2838" spans="1:7">
      <c r="A2838" s="56" t="s">
        <v>887</v>
      </c>
      <c r="B2838" s="33" t="s">
        <v>77</v>
      </c>
      <c r="C2838" s="33" t="s">
        <v>35</v>
      </c>
      <c r="D2838" s="36" t="s">
        <v>61</v>
      </c>
      <c r="E2838" s="93">
        <v>46460</v>
      </c>
      <c r="F2838" s="116">
        <v>40000</v>
      </c>
      <c r="G2838" s="116">
        <v>40000</v>
      </c>
    </row>
    <row r="2839" spans="1:7">
      <c r="A2839" s="56" t="s">
        <v>887</v>
      </c>
      <c r="B2839" s="33" t="s">
        <v>77</v>
      </c>
      <c r="C2839" s="33" t="s">
        <v>35</v>
      </c>
      <c r="D2839" s="36" t="s">
        <v>61</v>
      </c>
      <c r="E2839" s="93">
        <v>46644</v>
      </c>
      <c r="F2839" s="116">
        <v>40000</v>
      </c>
      <c r="G2839" s="116">
        <v>40000</v>
      </c>
    </row>
    <row r="2840" spans="1:7">
      <c r="A2840" s="56" t="s">
        <v>887</v>
      </c>
      <c r="B2840" s="33" t="s">
        <v>77</v>
      </c>
      <c r="C2840" s="33" t="s">
        <v>35</v>
      </c>
      <c r="D2840" s="36" t="s">
        <v>61</v>
      </c>
      <c r="E2840" s="93">
        <v>46826</v>
      </c>
      <c r="F2840" s="116">
        <v>40000</v>
      </c>
      <c r="G2840" s="116">
        <v>40000</v>
      </c>
    </row>
    <row r="2841" spans="1:7">
      <c r="A2841" s="56" t="s">
        <v>887</v>
      </c>
      <c r="B2841" s="33" t="s">
        <v>77</v>
      </c>
      <c r="C2841" s="33" t="s">
        <v>35</v>
      </c>
      <c r="D2841" s="36" t="s">
        <v>61</v>
      </c>
      <c r="E2841" s="93">
        <v>47010</v>
      </c>
      <c r="F2841" s="116">
        <v>40000</v>
      </c>
      <c r="G2841" s="116">
        <v>40000</v>
      </c>
    </row>
    <row r="2842" spans="1:7">
      <c r="A2842" s="56" t="s">
        <v>887</v>
      </c>
      <c r="B2842" s="33" t="s">
        <v>77</v>
      </c>
      <c r="C2842" s="33" t="s">
        <v>35</v>
      </c>
      <c r="D2842" s="36" t="s">
        <v>61</v>
      </c>
      <c r="E2842" s="93">
        <v>47191</v>
      </c>
      <c r="F2842" s="116">
        <v>40000</v>
      </c>
      <c r="G2842" s="116">
        <v>40000</v>
      </c>
    </row>
    <row r="2843" spans="1:7">
      <c r="A2843" s="56" t="s">
        <v>887</v>
      </c>
      <c r="B2843" s="33" t="s">
        <v>77</v>
      </c>
      <c r="C2843" s="33" t="s">
        <v>35</v>
      </c>
      <c r="D2843" s="36" t="s">
        <v>61</v>
      </c>
      <c r="E2843" s="93">
        <v>47375</v>
      </c>
      <c r="F2843" s="116">
        <v>40000</v>
      </c>
      <c r="G2843" s="116">
        <v>40000</v>
      </c>
    </row>
    <row r="2844" spans="1:7">
      <c r="A2844" s="56" t="s">
        <v>887</v>
      </c>
      <c r="B2844" s="33" t="s">
        <v>77</v>
      </c>
      <c r="C2844" s="33" t="s">
        <v>35</v>
      </c>
      <c r="D2844" s="36" t="s">
        <v>61</v>
      </c>
      <c r="E2844" s="93">
        <v>47556</v>
      </c>
      <c r="F2844" s="116">
        <v>40000</v>
      </c>
      <c r="G2844" s="116">
        <v>40000</v>
      </c>
    </row>
    <row r="2845" spans="1:7">
      <c r="A2845" s="56" t="s">
        <v>887</v>
      </c>
      <c r="B2845" s="33" t="s">
        <v>77</v>
      </c>
      <c r="C2845" s="33" t="s">
        <v>35</v>
      </c>
      <c r="D2845" s="36" t="s">
        <v>61</v>
      </c>
      <c r="E2845" s="93">
        <v>47740</v>
      </c>
      <c r="F2845" s="116">
        <v>40000</v>
      </c>
      <c r="G2845" s="116">
        <v>40000</v>
      </c>
    </row>
    <row r="2846" spans="1:7">
      <c r="A2846" s="56" t="s">
        <v>887</v>
      </c>
      <c r="B2846" s="33" t="s">
        <v>77</v>
      </c>
      <c r="C2846" s="33" t="s">
        <v>35</v>
      </c>
      <c r="D2846" s="36" t="s">
        <v>61</v>
      </c>
      <c r="E2846" s="93">
        <v>47921</v>
      </c>
      <c r="F2846" s="116">
        <v>40000</v>
      </c>
      <c r="G2846" s="116">
        <v>40000</v>
      </c>
    </row>
    <row r="2847" spans="1:7">
      <c r="A2847" s="56" t="s">
        <v>887</v>
      </c>
      <c r="B2847" s="33" t="s">
        <v>77</v>
      </c>
      <c r="C2847" s="33" t="s">
        <v>35</v>
      </c>
      <c r="D2847" s="36" t="s">
        <v>61</v>
      </c>
      <c r="E2847" s="93">
        <v>48105</v>
      </c>
      <c r="F2847" s="116">
        <v>40000</v>
      </c>
      <c r="G2847" s="116">
        <v>40000</v>
      </c>
    </row>
    <row r="2848" spans="1:7">
      <c r="A2848" s="56" t="s">
        <v>887</v>
      </c>
      <c r="B2848" s="33" t="s">
        <v>77</v>
      </c>
      <c r="C2848" s="33" t="s">
        <v>35</v>
      </c>
      <c r="D2848" s="36" t="s">
        <v>61</v>
      </c>
      <c r="E2848" s="93">
        <v>48287</v>
      </c>
      <c r="F2848" s="116">
        <v>40000</v>
      </c>
      <c r="G2848" s="116">
        <v>1640000</v>
      </c>
    </row>
    <row r="2849" spans="1:7">
      <c r="A2849" s="107" t="s">
        <v>657</v>
      </c>
      <c r="B2849" s="117" t="s">
        <v>54</v>
      </c>
      <c r="C2849" s="117" t="s">
        <v>35</v>
      </c>
      <c r="D2849" s="109" t="s">
        <v>61</v>
      </c>
      <c r="E2849" s="110">
        <v>45914</v>
      </c>
      <c r="F2849" s="115">
        <v>33750</v>
      </c>
      <c r="G2849" s="115">
        <v>33750</v>
      </c>
    </row>
    <row r="2850" spans="1:7">
      <c r="A2850" s="56" t="s">
        <v>657</v>
      </c>
      <c r="B2850" s="33" t="s">
        <v>54</v>
      </c>
      <c r="C2850" s="33" t="s">
        <v>35</v>
      </c>
      <c r="D2850" s="36" t="s">
        <v>61</v>
      </c>
      <c r="E2850" s="93">
        <v>46095</v>
      </c>
      <c r="F2850" s="116">
        <v>33750</v>
      </c>
      <c r="G2850" s="116">
        <v>33750</v>
      </c>
    </row>
    <row r="2851" spans="1:7">
      <c r="A2851" s="56" t="s">
        <v>657</v>
      </c>
      <c r="B2851" s="33" t="s">
        <v>54</v>
      </c>
      <c r="C2851" s="33" t="s">
        <v>35</v>
      </c>
      <c r="D2851" s="36" t="s">
        <v>61</v>
      </c>
      <c r="E2851" s="93">
        <v>46279</v>
      </c>
      <c r="F2851" s="116">
        <v>33750</v>
      </c>
      <c r="G2851" s="116">
        <v>33750</v>
      </c>
    </row>
    <row r="2852" spans="1:7">
      <c r="A2852" s="56" t="s">
        <v>887</v>
      </c>
      <c r="B2852" s="33" t="s">
        <v>54</v>
      </c>
      <c r="C2852" s="33" t="s">
        <v>35</v>
      </c>
      <c r="D2852" s="36" t="s">
        <v>61</v>
      </c>
      <c r="E2852" s="93">
        <v>46460</v>
      </c>
      <c r="F2852" s="116">
        <v>33750</v>
      </c>
      <c r="G2852" s="116">
        <v>33750</v>
      </c>
    </row>
    <row r="2853" spans="1:7">
      <c r="A2853" s="56" t="s">
        <v>887</v>
      </c>
      <c r="B2853" s="33" t="s">
        <v>54</v>
      </c>
      <c r="C2853" s="33" t="s">
        <v>35</v>
      </c>
      <c r="D2853" s="36" t="s">
        <v>61</v>
      </c>
      <c r="E2853" s="93">
        <v>46644</v>
      </c>
      <c r="F2853" s="116">
        <v>33750</v>
      </c>
      <c r="G2853" s="116">
        <v>33750</v>
      </c>
    </row>
    <row r="2854" spans="1:7">
      <c r="A2854" s="56" t="s">
        <v>887</v>
      </c>
      <c r="B2854" s="33" t="s">
        <v>54</v>
      </c>
      <c r="C2854" s="33" t="s">
        <v>35</v>
      </c>
      <c r="D2854" s="36" t="s">
        <v>61</v>
      </c>
      <c r="E2854" s="93">
        <v>46826</v>
      </c>
      <c r="F2854" s="116">
        <v>33750</v>
      </c>
      <c r="G2854" s="116">
        <v>33750</v>
      </c>
    </row>
    <row r="2855" spans="1:7">
      <c r="A2855" s="56" t="s">
        <v>887</v>
      </c>
      <c r="B2855" s="33" t="s">
        <v>54</v>
      </c>
      <c r="C2855" s="33" t="s">
        <v>35</v>
      </c>
      <c r="D2855" s="36" t="s">
        <v>61</v>
      </c>
      <c r="E2855" s="93">
        <v>47010</v>
      </c>
      <c r="F2855" s="116">
        <v>33750</v>
      </c>
      <c r="G2855" s="116">
        <v>33750</v>
      </c>
    </row>
    <row r="2856" spans="1:7">
      <c r="A2856" s="56" t="s">
        <v>887</v>
      </c>
      <c r="B2856" s="33" t="s">
        <v>54</v>
      </c>
      <c r="C2856" s="33" t="s">
        <v>35</v>
      </c>
      <c r="D2856" s="36" t="s">
        <v>61</v>
      </c>
      <c r="E2856" s="93">
        <v>47191</v>
      </c>
      <c r="F2856" s="116">
        <v>33750</v>
      </c>
      <c r="G2856" s="116">
        <v>33750</v>
      </c>
    </row>
    <row r="2857" spans="1:7">
      <c r="A2857" s="56" t="s">
        <v>887</v>
      </c>
      <c r="B2857" s="33" t="s">
        <v>54</v>
      </c>
      <c r="C2857" s="33" t="s">
        <v>35</v>
      </c>
      <c r="D2857" s="36" t="s">
        <v>61</v>
      </c>
      <c r="E2857" s="93">
        <v>47375</v>
      </c>
      <c r="F2857" s="116">
        <v>33750</v>
      </c>
      <c r="G2857" s="116">
        <v>33750</v>
      </c>
    </row>
    <row r="2858" spans="1:7">
      <c r="A2858" s="56" t="s">
        <v>887</v>
      </c>
      <c r="B2858" s="33" t="s">
        <v>54</v>
      </c>
      <c r="C2858" s="33" t="s">
        <v>35</v>
      </c>
      <c r="D2858" s="36" t="s">
        <v>61</v>
      </c>
      <c r="E2858" s="93">
        <v>47556</v>
      </c>
      <c r="F2858" s="116">
        <v>33750</v>
      </c>
      <c r="G2858" s="116">
        <v>33750</v>
      </c>
    </row>
    <row r="2859" spans="1:7">
      <c r="A2859" s="56" t="s">
        <v>887</v>
      </c>
      <c r="B2859" s="33" t="s">
        <v>54</v>
      </c>
      <c r="C2859" s="33" t="s">
        <v>35</v>
      </c>
      <c r="D2859" s="36" t="s">
        <v>61</v>
      </c>
      <c r="E2859" s="93">
        <v>47740</v>
      </c>
      <c r="F2859" s="116">
        <v>33750</v>
      </c>
      <c r="G2859" s="116">
        <v>33750</v>
      </c>
    </row>
    <row r="2860" spans="1:7">
      <c r="A2860" s="56" t="s">
        <v>887</v>
      </c>
      <c r="B2860" s="33" t="s">
        <v>54</v>
      </c>
      <c r="C2860" s="33" t="s">
        <v>35</v>
      </c>
      <c r="D2860" s="36" t="s">
        <v>61</v>
      </c>
      <c r="E2860" s="93">
        <v>47921</v>
      </c>
      <c r="F2860" s="116">
        <v>33750</v>
      </c>
      <c r="G2860" s="116">
        <v>33750</v>
      </c>
    </row>
    <row r="2861" spans="1:7">
      <c r="A2861" s="56" t="s">
        <v>887</v>
      </c>
      <c r="B2861" s="33" t="s">
        <v>54</v>
      </c>
      <c r="C2861" s="33" t="s">
        <v>35</v>
      </c>
      <c r="D2861" s="36" t="s">
        <v>61</v>
      </c>
      <c r="E2861" s="93">
        <v>48105</v>
      </c>
      <c r="F2861" s="116">
        <v>33750</v>
      </c>
      <c r="G2861" s="116">
        <v>33750</v>
      </c>
    </row>
    <row r="2862" spans="1:7">
      <c r="A2862" s="56" t="s">
        <v>887</v>
      </c>
      <c r="B2862" s="33" t="s">
        <v>54</v>
      </c>
      <c r="C2862" s="33" t="s">
        <v>35</v>
      </c>
      <c r="D2862" s="36" t="s">
        <v>61</v>
      </c>
      <c r="E2862" s="93">
        <v>48287</v>
      </c>
      <c r="F2862" s="116">
        <v>33750</v>
      </c>
      <c r="G2862" s="116">
        <v>1383750</v>
      </c>
    </row>
    <row r="2863" spans="1:7">
      <c r="A2863" s="107" t="s">
        <v>657</v>
      </c>
      <c r="B2863" s="117" t="s">
        <v>54</v>
      </c>
      <c r="C2863" s="117" t="s">
        <v>35</v>
      </c>
      <c r="D2863" s="109" t="s">
        <v>61</v>
      </c>
      <c r="E2863" s="110">
        <v>45914</v>
      </c>
      <c r="F2863" s="115">
        <v>50000</v>
      </c>
      <c r="G2863" s="115">
        <v>50000</v>
      </c>
    </row>
    <row r="2864" spans="1:7">
      <c r="A2864" s="56" t="s">
        <v>657</v>
      </c>
      <c r="B2864" s="33" t="s">
        <v>54</v>
      </c>
      <c r="C2864" s="33" t="s">
        <v>35</v>
      </c>
      <c r="D2864" s="36" t="s">
        <v>61</v>
      </c>
      <c r="E2864" s="93">
        <v>46095</v>
      </c>
      <c r="F2864" s="116">
        <v>50000</v>
      </c>
      <c r="G2864" s="116">
        <v>50000</v>
      </c>
    </row>
    <row r="2865" spans="1:7">
      <c r="A2865" s="56" t="s">
        <v>657</v>
      </c>
      <c r="B2865" s="33" t="s">
        <v>54</v>
      </c>
      <c r="C2865" s="33" t="s">
        <v>35</v>
      </c>
      <c r="D2865" s="36" t="s">
        <v>61</v>
      </c>
      <c r="E2865" s="93">
        <v>46279</v>
      </c>
      <c r="F2865" s="116">
        <v>50000</v>
      </c>
      <c r="G2865" s="116">
        <v>50000</v>
      </c>
    </row>
    <row r="2866" spans="1:7">
      <c r="A2866" s="56" t="s">
        <v>887</v>
      </c>
      <c r="B2866" s="33" t="s">
        <v>54</v>
      </c>
      <c r="C2866" s="33" t="s">
        <v>35</v>
      </c>
      <c r="D2866" s="36" t="s">
        <v>61</v>
      </c>
      <c r="E2866" s="93">
        <v>46460</v>
      </c>
      <c r="F2866" s="116">
        <v>50000</v>
      </c>
      <c r="G2866" s="116">
        <v>50000</v>
      </c>
    </row>
    <row r="2867" spans="1:7">
      <c r="A2867" s="56" t="s">
        <v>887</v>
      </c>
      <c r="B2867" s="33" t="s">
        <v>54</v>
      </c>
      <c r="C2867" s="33" t="s">
        <v>35</v>
      </c>
      <c r="D2867" s="36" t="s">
        <v>61</v>
      </c>
      <c r="E2867" s="93">
        <v>46644</v>
      </c>
      <c r="F2867" s="116">
        <v>50000</v>
      </c>
      <c r="G2867" s="116">
        <v>50000</v>
      </c>
    </row>
    <row r="2868" spans="1:7">
      <c r="A2868" s="56" t="s">
        <v>887</v>
      </c>
      <c r="B2868" s="33" t="s">
        <v>54</v>
      </c>
      <c r="C2868" s="33" t="s">
        <v>35</v>
      </c>
      <c r="D2868" s="36" t="s">
        <v>61</v>
      </c>
      <c r="E2868" s="93">
        <v>46826</v>
      </c>
      <c r="F2868" s="116">
        <v>50000</v>
      </c>
      <c r="G2868" s="116">
        <v>50000</v>
      </c>
    </row>
    <row r="2869" spans="1:7">
      <c r="A2869" s="56" t="s">
        <v>887</v>
      </c>
      <c r="B2869" s="33" t="s">
        <v>54</v>
      </c>
      <c r="C2869" s="33" t="s">
        <v>35</v>
      </c>
      <c r="D2869" s="36" t="s">
        <v>61</v>
      </c>
      <c r="E2869" s="93">
        <v>47010</v>
      </c>
      <c r="F2869" s="116">
        <v>50000</v>
      </c>
      <c r="G2869" s="116">
        <v>50000</v>
      </c>
    </row>
    <row r="2870" spans="1:7">
      <c r="A2870" s="56" t="s">
        <v>887</v>
      </c>
      <c r="B2870" s="33" t="s">
        <v>54</v>
      </c>
      <c r="C2870" s="33" t="s">
        <v>35</v>
      </c>
      <c r="D2870" s="36" t="s">
        <v>61</v>
      </c>
      <c r="E2870" s="93">
        <v>47191</v>
      </c>
      <c r="F2870" s="116">
        <v>50000</v>
      </c>
      <c r="G2870" s="116">
        <v>50000</v>
      </c>
    </row>
    <row r="2871" spans="1:7">
      <c r="A2871" s="56" t="s">
        <v>887</v>
      </c>
      <c r="B2871" s="33" t="s">
        <v>54</v>
      </c>
      <c r="C2871" s="33" t="s">
        <v>35</v>
      </c>
      <c r="D2871" s="36" t="s">
        <v>61</v>
      </c>
      <c r="E2871" s="93">
        <v>47375</v>
      </c>
      <c r="F2871" s="116">
        <v>50000</v>
      </c>
      <c r="G2871" s="116">
        <v>50000</v>
      </c>
    </row>
    <row r="2872" spans="1:7">
      <c r="A2872" s="56" t="s">
        <v>887</v>
      </c>
      <c r="B2872" s="33" t="s">
        <v>54</v>
      </c>
      <c r="C2872" s="33" t="s">
        <v>35</v>
      </c>
      <c r="D2872" s="36" t="s">
        <v>61</v>
      </c>
      <c r="E2872" s="93">
        <v>47556</v>
      </c>
      <c r="F2872" s="116">
        <v>50000</v>
      </c>
      <c r="G2872" s="116">
        <v>50000</v>
      </c>
    </row>
    <row r="2873" spans="1:7">
      <c r="A2873" s="56" t="s">
        <v>887</v>
      </c>
      <c r="B2873" s="33" t="s">
        <v>54</v>
      </c>
      <c r="C2873" s="33" t="s">
        <v>35</v>
      </c>
      <c r="D2873" s="36" t="s">
        <v>61</v>
      </c>
      <c r="E2873" s="93">
        <v>47740</v>
      </c>
      <c r="F2873" s="116">
        <v>50000</v>
      </c>
      <c r="G2873" s="116">
        <v>50000</v>
      </c>
    </row>
    <row r="2874" spans="1:7">
      <c r="A2874" s="56" t="s">
        <v>887</v>
      </c>
      <c r="B2874" s="33" t="s">
        <v>54</v>
      </c>
      <c r="C2874" s="33" t="s">
        <v>35</v>
      </c>
      <c r="D2874" s="36" t="s">
        <v>61</v>
      </c>
      <c r="E2874" s="93">
        <v>47921</v>
      </c>
      <c r="F2874" s="116">
        <v>50000</v>
      </c>
      <c r="G2874" s="116">
        <v>50000</v>
      </c>
    </row>
    <row r="2875" spans="1:7">
      <c r="A2875" s="56" t="s">
        <v>887</v>
      </c>
      <c r="B2875" s="33" t="s">
        <v>54</v>
      </c>
      <c r="C2875" s="33" t="s">
        <v>35</v>
      </c>
      <c r="D2875" s="36" t="s">
        <v>61</v>
      </c>
      <c r="E2875" s="93">
        <v>48105</v>
      </c>
      <c r="F2875" s="116">
        <v>50000</v>
      </c>
      <c r="G2875" s="116">
        <v>50000</v>
      </c>
    </row>
    <row r="2876" spans="1:7">
      <c r="A2876" s="56" t="s">
        <v>887</v>
      </c>
      <c r="B2876" s="33" t="s">
        <v>54</v>
      </c>
      <c r="C2876" s="33" t="s">
        <v>35</v>
      </c>
      <c r="D2876" s="36" t="s">
        <v>61</v>
      </c>
      <c r="E2876" s="93">
        <v>48287</v>
      </c>
      <c r="F2876" s="116">
        <v>50000</v>
      </c>
      <c r="G2876" s="116">
        <v>2050000</v>
      </c>
    </row>
    <row r="2877" spans="1:7">
      <c r="A2877" s="107" t="s">
        <v>657</v>
      </c>
      <c r="B2877" s="117" t="s">
        <v>54</v>
      </c>
      <c r="C2877" s="117" t="s">
        <v>35</v>
      </c>
      <c r="D2877" s="109" t="s">
        <v>338</v>
      </c>
      <c r="E2877" s="110">
        <v>45914</v>
      </c>
      <c r="F2877" s="115">
        <v>85000</v>
      </c>
      <c r="G2877" s="115">
        <v>85000</v>
      </c>
    </row>
    <row r="2878" spans="1:7">
      <c r="A2878" s="56" t="s">
        <v>657</v>
      </c>
      <c r="B2878" s="33" t="s">
        <v>54</v>
      </c>
      <c r="C2878" s="33" t="s">
        <v>35</v>
      </c>
      <c r="D2878" s="36" t="s">
        <v>61</v>
      </c>
      <c r="E2878" s="93">
        <v>46095</v>
      </c>
      <c r="F2878" s="116">
        <v>85000</v>
      </c>
      <c r="G2878" s="116">
        <v>85000</v>
      </c>
    </row>
    <row r="2879" spans="1:7">
      <c r="A2879" s="56" t="s">
        <v>657</v>
      </c>
      <c r="B2879" s="33" t="s">
        <v>54</v>
      </c>
      <c r="C2879" s="33" t="s">
        <v>35</v>
      </c>
      <c r="D2879" s="36" t="s">
        <v>61</v>
      </c>
      <c r="E2879" s="93">
        <v>46279</v>
      </c>
      <c r="F2879" s="116">
        <v>85000</v>
      </c>
      <c r="G2879" s="116">
        <v>85000</v>
      </c>
    </row>
    <row r="2880" spans="1:7">
      <c r="A2880" s="56" t="s">
        <v>887</v>
      </c>
      <c r="B2880" s="33" t="s">
        <v>54</v>
      </c>
      <c r="C2880" s="33" t="s">
        <v>35</v>
      </c>
      <c r="D2880" s="36" t="s">
        <v>61</v>
      </c>
      <c r="E2880" s="93">
        <v>46460</v>
      </c>
      <c r="F2880" s="116">
        <v>85000</v>
      </c>
      <c r="G2880" s="116">
        <v>85000</v>
      </c>
    </row>
    <row r="2881" spans="1:7">
      <c r="A2881" s="56" t="s">
        <v>887</v>
      </c>
      <c r="B2881" s="33" t="s">
        <v>54</v>
      </c>
      <c r="C2881" s="33" t="s">
        <v>35</v>
      </c>
      <c r="D2881" s="36" t="s">
        <v>61</v>
      </c>
      <c r="E2881" s="93">
        <v>46644</v>
      </c>
      <c r="F2881" s="116">
        <v>85000</v>
      </c>
      <c r="G2881" s="116">
        <v>85000</v>
      </c>
    </row>
    <row r="2882" spans="1:7">
      <c r="A2882" s="56" t="s">
        <v>887</v>
      </c>
      <c r="B2882" s="33" t="s">
        <v>54</v>
      </c>
      <c r="C2882" s="33" t="s">
        <v>35</v>
      </c>
      <c r="D2882" s="36" t="s">
        <v>61</v>
      </c>
      <c r="E2882" s="93">
        <v>46826</v>
      </c>
      <c r="F2882" s="116">
        <v>85000</v>
      </c>
      <c r="G2882" s="116">
        <v>85000</v>
      </c>
    </row>
    <row r="2883" spans="1:7">
      <c r="A2883" s="56" t="s">
        <v>887</v>
      </c>
      <c r="B2883" s="33" t="s">
        <v>54</v>
      </c>
      <c r="C2883" s="33" t="s">
        <v>35</v>
      </c>
      <c r="D2883" s="36" t="s">
        <v>61</v>
      </c>
      <c r="E2883" s="93">
        <v>47010</v>
      </c>
      <c r="F2883" s="116">
        <v>85000</v>
      </c>
      <c r="G2883" s="116">
        <v>85000</v>
      </c>
    </row>
    <row r="2884" spans="1:7">
      <c r="A2884" s="56" t="s">
        <v>887</v>
      </c>
      <c r="B2884" s="33" t="s">
        <v>54</v>
      </c>
      <c r="C2884" s="33" t="s">
        <v>35</v>
      </c>
      <c r="D2884" s="36" t="s">
        <v>61</v>
      </c>
      <c r="E2884" s="93">
        <v>47191</v>
      </c>
      <c r="F2884" s="116">
        <v>85000</v>
      </c>
      <c r="G2884" s="116">
        <v>85000</v>
      </c>
    </row>
    <row r="2885" spans="1:7">
      <c r="A2885" s="56" t="s">
        <v>887</v>
      </c>
      <c r="B2885" s="33" t="s">
        <v>54</v>
      </c>
      <c r="C2885" s="33" t="s">
        <v>35</v>
      </c>
      <c r="D2885" s="36" t="s">
        <v>61</v>
      </c>
      <c r="E2885" s="93">
        <v>47375</v>
      </c>
      <c r="F2885" s="116">
        <v>85000</v>
      </c>
      <c r="G2885" s="116">
        <v>85000</v>
      </c>
    </row>
    <row r="2886" spans="1:7">
      <c r="A2886" s="56" t="s">
        <v>887</v>
      </c>
      <c r="B2886" s="33" t="s">
        <v>54</v>
      </c>
      <c r="C2886" s="33" t="s">
        <v>35</v>
      </c>
      <c r="D2886" s="36" t="s">
        <v>61</v>
      </c>
      <c r="E2886" s="93">
        <v>47556</v>
      </c>
      <c r="F2886" s="116">
        <v>85000</v>
      </c>
      <c r="G2886" s="116">
        <v>85000</v>
      </c>
    </row>
    <row r="2887" spans="1:7">
      <c r="A2887" s="56" t="s">
        <v>887</v>
      </c>
      <c r="B2887" s="33" t="s">
        <v>54</v>
      </c>
      <c r="C2887" s="33" t="s">
        <v>35</v>
      </c>
      <c r="D2887" s="36" t="s">
        <v>61</v>
      </c>
      <c r="E2887" s="93">
        <v>47740</v>
      </c>
      <c r="F2887" s="116">
        <v>85000</v>
      </c>
      <c r="G2887" s="116">
        <v>85000</v>
      </c>
    </row>
    <row r="2888" spans="1:7">
      <c r="A2888" s="56" t="s">
        <v>887</v>
      </c>
      <c r="B2888" s="33" t="s">
        <v>54</v>
      </c>
      <c r="C2888" s="33" t="s">
        <v>35</v>
      </c>
      <c r="D2888" s="36" t="s">
        <v>61</v>
      </c>
      <c r="E2888" s="93">
        <v>47921</v>
      </c>
      <c r="F2888" s="116">
        <v>85000</v>
      </c>
      <c r="G2888" s="116">
        <v>85000</v>
      </c>
    </row>
    <row r="2889" spans="1:7">
      <c r="A2889" s="56" t="s">
        <v>887</v>
      </c>
      <c r="B2889" s="33" t="s">
        <v>54</v>
      </c>
      <c r="C2889" s="33" t="s">
        <v>35</v>
      </c>
      <c r="D2889" s="36" t="s">
        <v>61</v>
      </c>
      <c r="E2889" s="93">
        <v>48105</v>
      </c>
      <c r="F2889" s="116">
        <v>85000</v>
      </c>
      <c r="G2889" s="116">
        <v>85000</v>
      </c>
    </row>
    <row r="2890" spans="1:7">
      <c r="A2890" s="56" t="s">
        <v>887</v>
      </c>
      <c r="B2890" s="33" t="s">
        <v>54</v>
      </c>
      <c r="C2890" s="33" t="s">
        <v>35</v>
      </c>
      <c r="D2890" s="36" t="s">
        <v>61</v>
      </c>
      <c r="E2890" s="93">
        <v>48287</v>
      </c>
      <c r="F2890" s="116">
        <v>85000</v>
      </c>
      <c r="G2890" s="116">
        <v>3485000</v>
      </c>
    </row>
    <row r="2891" spans="1:7">
      <c r="A2891" s="107" t="s">
        <v>888</v>
      </c>
      <c r="B2891" s="117" t="s">
        <v>54</v>
      </c>
      <c r="C2891" s="117" t="s">
        <v>35</v>
      </c>
      <c r="D2891" s="109" t="s">
        <v>338</v>
      </c>
      <c r="E2891" s="110">
        <v>45882</v>
      </c>
      <c r="F2891" s="115">
        <v>120300.00000000001</v>
      </c>
      <c r="G2891" s="115">
        <v>120300.00000000001</v>
      </c>
    </row>
    <row r="2892" spans="1:7">
      <c r="A2892" s="56" t="s">
        <v>888</v>
      </c>
      <c r="B2892" s="33" t="s">
        <v>54</v>
      </c>
      <c r="C2892" s="33" t="s">
        <v>35</v>
      </c>
      <c r="D2892" s="36" t="s">
        <v>889</v>
      </c>
      <c r="E2892" s="93">
        <v>46066</v>
      </c>
      <c r="F2892" s="116">
        <v>120300.00000000001</v>
      </c>
      <c r="G2892" s="116">
        <v>120300.00000000001</v>
      </c>
    </row>
    <row r="2893" spans="1:7">
      <c r="A2893" s="56" t="s">
        <v>888</v>
      </c>
      <c r="B2893" s="33" t="s">
        <v>54</v>
      </c>
      <c r="C2893" s="33" t="s">
        <v>35</v>
      </c>
      <c r="D2893" s="36" t="s">
        <v>889</v>
      </c>
      <c r="E2893" s="93">
        <v>46247</v>
      </c>
      <c r="F2893" s="116">
        <v>120300.00000000001</v>
      </c>
      <c r="G2893" s="116">
        <v>120300.00000000001</v>
      </c>
    </row>
    <row r="2894" spans="1:7">
      <c r="A2894" s="56" t="s">
        <v>888</v>
      </c>
      <c r="B2894" s="33" t="s">
        <v>54</v>
      </c>
      <c r="C2894" s="33" t="s">
        <v>35</v>
      </c>
      <c r="D2894" s="36" t="s">
        <v>889</v>
      </c>
      <c r="E2894" s="93">
        <v>46431</v>
      </c>
      <c r="F2894" s="116">
        <v>120300.00000000001</v>
      </c>
      <c r="G2894" s="116">
        <v>120300.00000000001</v>
      </c>
    </row>
    <row r="2895" spans="1:7">
      <c r="A2895" s="56" t="s">
        <v>888</v>
      </c>
      <c r="B2895" s="33" t="s">
        <v>54</v>
      </c>
      <c r="C2895" s="33" t="s">
        <v>35</v>
      </c>
      <c r="D2895" s="36" t="s">
        <v>889</v>
      </c>
      <c r="E2895" s="93">
        <v>46612</v>
      </c>
      <c r="F2895" s="116">
        <v>120300.00000000001</v>
      </c>
      <c r="G2895" s="116">
        <v>120300.00000000001</v>
      </c>
    </row>
    <row r="2896" spans="1:7">
      <c r="A2896" s="56" t="s">
        <v>888</v>
      </c>
      <c r="B2896" s="33" t="s">
        <v>54</v>
      </c>
      <c r="C2896" s="33" t="s">
        <v>35</v>
      </c>
      <c r="D2896" s="36" t="s">
        <v>889</v>
      </c>
      <c r="E2896" s="93">
        <v>46796</v>
      </c>
      <c r="F2896" s="116">
        <v>120300.00000000001</v>
      </c>
      <c r="G2896" s="116">
        <v>120300.00000000001</v>
      </c>
    </row>
    <row r="2897" spans="1:7">
      <c r="A2897" s="56" t="s">
        <v>888</v>
      </c>
      <c r="B2897" s="33" t="s">
        <v>54</v>
      </c>
      <c r="C2897" s="33" t="s">
        <v>35</v>
      </c>
      <c r="D2897" s="36" t="s">
        <v>889</v>
      </c>
      <c r="E2897" s="93">
        <v>46978</v>
      </c>
      <c r="F2897" s="116">
        <v>120300.00000000001</v>
      </c>
      <c r="G2897" s="116">
        <v>120300.00000000001</v>
      </c>
    </row>
    <row r="2898" spans="1:7">
      <c r="A2898" s="56" t="s">
        <v>888</v>
      </c>
      <c r="B2898" s="33" t="s">
        <v>54</v>
      </c>
      <c r="C2898" s="33" t="s">
        <v>35</v>
      </c>
      <c r="D2898" s="36" t="s">
        <v>889</v>
      </c>
      <c r="E2898" s="93">
        <v>47162</v>
      </c>
      <c r="F2898" s="116">
        <v>120300.00000000001</v>
      </c>
      <c r="G2898" s="116">
        <v>120300.00000000001</v>
      </c>
    </row>
    <row r="2899" spans="1:7">
      <c r="A2899" s="56" t="s">
        <v>888</v>
      </c>
      <c r="B2899" s="33" t="s">
        <v>54</v>
      </c>
      <c r="C2899" s="33" t="s">
        <v>35</v>
      </c>
      <c r="D2899" s="36" t="s">
        <v>889</v>
      </c>
      <c r="E2899" s="93">
        <v>47343</v>
      </c>
      <c r="F2899" s="116">
        <v>120300.00000000001</v>
      </c>
      <c r="G2899" s="116">
        <v>120300.00000000001</v>
      </c>
    </row>
    <row r="2900" spans="1:7">
      <c r="A2900" s="56" t="s">
        <v>888</v>
      </c>
      <c r="B2900" s="33" t="s">
        <v>54</v>
      </c>
      <c r="C2900" s="33" t="s">
        <v>35</v>
      </c>
      <c r="D2900" s="36" t="s">
        <v>889</v>
      </c>
      <c r="E2900" s="93">
        <v>47527</v>
      </c>
      <c r="F2900" s="116">
        <v>120300.00000000001</v>
      </c>
      <c r="G2900" s="116">
        <v>120300.00000000001</v>
      </c>
    </row>
    <row r="2901" spans="1:7">
      <c r="A2901" s="56" t="s">
        <v>888</v>
      </c>
      <c r="B2901" s="33" t="s">
        <v>54</v>
      </c>
      <c r="C2901" s="33" t="s">
        <v>35</v>
      </c>
      <c r="D2901" s="36" t="s">
        <v>889</v>
      </c>
      <c r="E2901" s="93">
        <v>47708</v>
      </c>
      <c r="F2901" s="116">
        <v>120300.00000000001</v>
      </c>
      <c r="G2901" s="116">
        <v>120300.00000000001</v>
      </c>
    </row>
    <row r="2902" spans="1:7">
      <c r="A2902" s="56" t="s">
        <v>888</v>
      </c>
      <c r="B2902" s="33" t="s">
        <v>54</v>
      </c>
      <c r="C2902" s="33" t="s">
        <v>35</v>
      </c>
      <c r="D2902" s="36" t="s">
        <v>889</v>
      </c>
      <c r="E2902" s="93">
        <v>47892</v>
      </c>
      <c r="F2902" s="116">
        <v>120300.00000000001</v>
      </c>
      <c r="G2902" s="116">
        <v>120300.00000000001</v>
      </c>
    </row>
    <row r="2903" spans="1:7">
      <c r="A2903" s="56" t="s">
        <v>888</v>
      </c>
      <c r="B2903" s="33" t="s">
        <v>54</v>
      </c>
      <c r="C2903" s="33" t="s">
        <v>35</v>
      </c>
      <c r="D2903" s="36" t="s">
        <v>889</v>
      </c>
      <c r="E2903" s="93">
        <v>48073</v>
      </c>
      <c r="F2903" s="116">
        <v>120300.00000000001</v>
      </c>
      <c r="G2903" s="116">
        <v>120300.00000000001</v>
      </c>
    </row>
    <row r="2904" spans="1:7">
      <c r="A2904" s="56" t="s">
        <v>888</v>
      </c>
      <c r="B2904" s="33" t="s">
        <v>54</v>
      </c>
      <c r="C2904" s="33" t="s">
        <v>35</v>
      </c>
      <c r="D2904" s="36" t="s">
        <v>889</v>
      </c>
      <c r="E2904" s="93">
        <v>48257</v>
      </c>
      <c r="F2904" s="116">
        <v>120300.00000000001</v>
      </c>
      <c r="G2904" s="116">
        <v>120300.00000000001</v>
      </c>
    </row>
    <row r="2905" spans="1:7">
      <c r="A2905" s="56" t="s">
        <v>888</v>
      </c>
      <c r="B2905" s="33" t="s">
        <v>54</v>
      </c>
      <c r="C2905" s="33" t="s">
        <v>35</v>
      </c>
      <c r="D2905" s="36" t="s">
        <v>889</v>
      </c>
      <c r="E2905" s="93">
        <v>48439</v>
      </c>
      <c r="F2905" s="116">
        <v>120300.00000000001</v>
      </c>
      <c r="G2905" s="116">
        <v>120300.00000000001</v>
      </c>
    </row>
    <row r="2906" spans="1:7">
      <c r="A2906" s="56" t="s">
        <v>888</v>
      </c>
      <c r="B2906" s="33" t="s">
        <v>54</v>
      </c>
      <c r="C2906" s="33" t="s">
        <v>35</v>
      </c>
      <c r="D2906" s="36" t="s">
        <v>889</v>
      </c>
      <c r="E2906" s="93">
        <v>48623</v>
      </c>
      <c r="F2906" s="116">
        <v>120300.00000000001</v>
      </c>
      <c r="G2906" s="116">
        <v>5120300</v>
      </c>
    </row>
    <row r="2907" spans="1:7">
      <c r="A2907" s="107" t="s">
        <v>504</v>
      </c>
      <c r="B2907" s="117" t="s">
        <v>77</v>
      </c>
      <c r="C2907" s="117" t="s">
        <v>35</v>
      </c>
      <c r="D2907" s="109" t="s">
        <v>61</v>
      </c>
      <c r="E2907" s="110">
        <v>45856</v>
      </c>
      <c r="F2907" s="115">
        <v>138125</v>
      </c>
      <c r="G2907" s="115">
        <v>138125</v>
      </c>
    </row>
    <row r="2908" spans="1:7">
      <c r="A2908" s="56" t="s">
        <v>504</v>
      </c>
      <c r="B2908" s="33" t="s">
        <v>77</v>
      </c>
      <c r="C2908" s="33" t="s">
        <v>35</v>
      </c>
      <c r="D2908" s="36" t="s">
        <v>61</v>
      </c>
      <c r="E2908" s="93">
        <v>46040</v>
      </c>
      <c r="F2908" s="116">
        <v>138125</v>
      </c>
      <c r="G2908" s="116">
        <v>138125</v>
      </c>
    </row>
    <row r="2909" spans="1:7">
      <c r="A2909" s="56" t="s">
        <v>504</v>
      </c>
      <c r="B2909" s="33" t="s">
        <v>77</v>
      </c>
      <c r="C2909" s="33" t="s">
        <v>35</v>
      </c>
      <c r="D2909" s="36" t="s">
        <v>61</v>
      </c>
      <c r="E2909" s="93">
        <v>46221</v>
      </c>
      <c r="F2909" s="116">
        <v>138125</v>
      </c>
      <c r="G2909" s="116">
        <v>138125</v>
      </c>
    </row>
    <row r="2910" spans="1:7">
      <c r="A2910" s="56" t="s">
        <v>504</v>
      </c>
      <c r="B2910" s="33" t="s">
        <v>77</v>
      </c>
      <c r="C2910" s="33" t="s">
        <v>35</v>
      </c>
      <c r="D2910" s="36" t="s">
        <v>61</v>
      </c>
      <c r="E2910" s="93">
        <v>46405</v>
      </c>
      <c r="F2910" s="116">
        <v>138125</v>
      </c>
      <c r="G2910" s="116">
        <v>138125</v>
      </c>
    </row>
    <row r="2911" spans="1:7">
      <c r="A2911" s="56" t="s">
        <v>504</v>
      </c>
      <c r="B2911" s="33" t="s">
        <v>77</v>
      </c>
      <c r="C2911" s="33" t="s">
        <v>35</v>
      </c>
      <c r="D2911" s="36" t="s">
        <v>61</v>
      </c>
      <c r="E2911" s="93">
        <v>46586</v>
      </c>
      <c r="F2911" s="116">
        <v>138125</v>
      </c>
      <c r="G2911" s="116">
        <v>138125</v>
      </c>
    </row>
    <row r="2912" spans="1:7">
      <c r="A2912" s="56" t="s">
        <v>504</v>
      </c>
      <c r="B2912" s="33" t="s">
        <v>77</v>
      </c>
      <c r="C2912" s="33" t="s">
        <v>35</v>
      </c>
      <c r="D2912" s="36" t="s">
        <v>61</v>
      </c>
      <c r="E2912" s="93">
        <v>46770</v>
      </c>
      <c r="F2912" s="116">
        <v>138125</v>
      </c>
      <c r="G2912" s="116">
        <v>138125</v>
      </c>
    </row>
    <row r="2913" spans="1:7">
      <c r="A2913" s="56" t="s">
        <v>504</v>
      </c>
      <c r="B2913" s="33" t="s">
        <v>77</v>
      </c>
      <c r="C2913" s="33" t="s">
        <v>35</v>
      </c>
      <c r="D2913" s="36" t="s">
        <v>61</v>
      </c>
      <c r="E2913" s="93">
        <v>46952</v>
      </c>
      <c r="F2913" s="116">
        <v>138125</v>
      </c>
      <c r="G2913" s="116">
        <v>138125</v>
      </c>
    </row>
    <row r="2914" spans="1:7">
      <c r="A2914" s="56" t="s">
        <v>504</v>
      </c>
      <c r="B2914" s="33" t="s">
        <v>77</v>
      </c>
      <c r="C2914" s="33" t="s">
        <v>35</v>
      </c>
      <c r="D2914" s="36" t="s">
        <v>61</v>
      </c>
      <c r="E2914" s="93">
        <v>47136</v>
      </c>
      <c r="F2914" s="116">
        <v>138125</v>
      </c>
      <c r="G2914" s="116">
        <v>138125</v>
      </c>
    </row>
    <row r="2915" spans="1:7">
      <c r="A2915" s="56" t="s">
        <v>504</v>
      </c>
      <c r="B2915" s="33" t="s">
        <v>77</v>
      </c>
      <c r="C2915" s="33" t="s">
        <v>35</v>
      </c>
      <c r="D2915" s="36" t="s">
        <v>61</v>
      </c>
      <c r="E2915" s="93">
        <v>47317</v>
      </c>
      <c r="F2915" s="116">
        <v>138125</v>
      </c>
      <c r="G2915" s="116">
        <v>138125</v>
      </c>
    </row>
    <row r="2916" spans="1:7">
      <c r="A2916" s="56" t="s">
        <v>504</v>
      </c>
      <c r="B2916" s="33" t="s">
        <v>77</v>
      </c>
      <c r="C2916" s="33" t="s">
        <v>35</v>
      </c>
      <c r="D2916" s="36" t="s">
        <v>61</v>
      </c>
      <c r="E2916" s="93">
        <v>47501</v>
      </c>
      <c r="F2916" s="116">
        <v>138125</v>
      </c>
      <c r="G2916" s="116">
        <v>138125</v>
      </c>
    </row>
    <row r="2917" spans="1:7">
      <c r="A2917" s="56" t="s">
        <v>504</v>
      </c>
      <c r="B2917" s="33" t="s">
        <v>77</v>
      </c>
      <c r="C2917" s="33" t="s">
        <v>35</v>
      </c>
      <c r="D2917" s="36" t="s">
        <v>61</v>
      </c>
      <c r="E2917" s="93">
        <v>47682</v>
      </c>
      <c r="F2917" s="116">
        <v>138125</v>
      </c>
      <c r="G2917" s="116">
        <v>138125</v>
      </c>
    </row>
    <row r="2918" spans="1:7">
      <c r="A2918" s="56" t="s">
        <v>504</v>
      </c>
      <c r="B2918" s="33" t="s">
        <v>77</v>
      </c>
      <c r="C2918" s="33" t="s">
        <v>35</v>
      </c>
      <c r="D2918" s="36" t="s">
        <v>61</v>
      </c>
      <c r="E2918" s="93">
        <v>47866</v>
      </c>
      <c r="F2918" s="116">
        <v>138125</v>
      </c>
      <c r="G2918" s="116">
        <v>3388125</v>
      </c>
    </row>
    <row r="2919" spans="1:7">
      <c r="A2919" s="119" t="s">
        <v>890</v>
      </c>
      <c r="B2919" s="17" t="s">
        <v>54</v>
      </c>
      <c r="C2919" s="17" t="s">
        <v>60</v>
      </c>
      <c r="D2919" s="18" t="s">
        <v>889</v>
      </c>
      <c r="E2919" s="110">
        <v>45884</v>
      </c>
      <c r="F2919" s="115">
        <v>103790</v>
      </c>
      <c r="G2919" s="115">
        <v>103790</v>
      </c>
    </row>
    <row r="2920" spans="1:7">
      <c r="A2920" s="120" t="s">
        <v>890</v>
      </c>
      <c r="B2920" s="33" t="s">
        <v>54</v>
      </c>
      <c r="C2920" s="33" t="s">
        <v>60</v>
      </c>
      <c r="D2920" s="36" t="s">
        <v>889</v>
      </c>
      <c r="E2920" s="93">
        <v>46068</v>
      </c>
      <c r="F2920" s="116">
        <v>103790</v>
      </c>
      <c r="G2920" s="116">
        <v>103790</v>
      </c>
    </row>
    <row r="2921" spans="1:7">
      <c r="A2921" s="120" t="s">
        <v>890</v>
      </c>
      <c r="B2921" s="33" t="s">
        <v>54</v>
      </c>
      <c r="C2921" s="33" t="s">
        <v>60</v>
      </c>
      <c r="D2921" s="36" t="s">
        <v>889</v>
      </c>
      <c r="E2921" s="93">
        <v>46249</v>
      </c>
      <c r="F2921" s="116">
        <v>103790</v>
      </c>
      <c r="G2921" s="116">
        <v>103790</v>
      </c>
    </row>
    <row r="2922" spans="1:7">
      <c r="A2922" s="120" t="s">
        <v>890</v>
      </c>
      <c r="B2922" s="33" t="s">
        <v>54</v>
      </c>
      <c r="C2922" s="33" t="s">
        <v>60</v>
      </c>
      <c r="D2922" s="36" t="s">
        <v>889</v>
      </c>
      <c r="E2922" s="93">
        <v>46433</v>
      </c>
      <c r="F2922" s="116">
        <v>103790</v>
      </c>
      <c r="G2922" s="116">
        <v>103790</v>
      </c>
    </row>
    <row r="2923" spans="1:7">
      <c r="A2923" s="120" t="s">
        <v>890</v>
      </c>
      <c r="B2923" s="33" t="s">
        <v>54</v>
      </c>
      <c r="C2923" s="33" t="s">
        <v>60</v>
      </c>
      <c r="D2923" s="36" t="s">
        <v>889</v>
      </c>
      <c r="E2923" s="93">
        <v>46614</v>
      </c>
      <c r="F2923" s="116">
        <v>103790</v>
      </c>
      <c r="G2923" s="116">
        <v>103790</v>
      </c>
    </row>
    <row r="2924" spans="1:7">
      <c r="A2924" s="120" t="s">
        <v>890</v>
      </c>
      <c r="B2924" s="33" t="s">
        <v>54</v>
      </c>
      <c r="C2924" s="33" t="s">
        <v>60</v>
      </c>
      <c r="D2924" s="36" t="s">
        <v>889</v>
      </c>
      <c r="E2924" s="93">
        <v>46798</v>
      </c>
      <c r="F2924" s="116">
        <v>103790</v>
      </c>
      <c r="G2924" s="116">
        <v>103790</v>
      </c>
    </row>
    <row r="2925" spans="1:7">
      <c r="A2925" s="120" t="s">
        <v>890</v>
      </c>
      <c r="B2925" s="33" t="s">
        <v>54</v>
      </c>
      <c r="C2925" s="33" t="s">
        <v>60</v>
      </c>
      <c r="D2925" s="36" t="s">
        <v>889</v>
      </c>
      <c r="E2925" s="93">
        <v>46980</v>
      </c>
      <c r="F2925" s="116">
        <v>103790</v>
      </c>
      <c r="G2925" s="116">
        <v>103790</v>
      </c>
    </row>
    <row r="2926" spans="1:7">
      <c r="A2926" s="120" t="s">
        <v>890</v>
      </c>
      <c r="B2926" s="33" t="s">
        <v>54</v>
      </c>
      <c r="C2926" s="33" t="s">
        <v>60</v>
      </c>
      <c r="D2926" s="36" t="s">
        <v>889</v>
      </c>
      <c r="E2926" s="93">
        <v>47164</v>
      </c>
      <c r="F2926" s="116">
        <v>103790</v>
      </c>
      <c r="G2926" s="116">
        <v>103790</v>
      </c>
    </row>
    <row r="2927" spans="1:7">
      <c r="A2927" s="120" t="s">
        <v>890</v>
      </c>
      <c r="B2927" s="33" t="s">
        <v>54</v>
      </c>
      <c r="C2927" s="33" t="s">
        <v>60</v>
      </c>
      <c r="D2927" s="36" t="s">
        <v>889</v>
      </c>
      <c r="E2927" s="93">
        <v>47345</v>
      </c>
      <c r="F2927" s="116">
        <v>103790</v>
      </c>
      <c r="G2927" s="116">
        <v>103790</v>
      </c>
    </row>
    <row r="2928" spans="1:7">
      <c r="A2928" s="120" t="s">
        <v>890</v>
      </c>
      <c r="B2928" s="33" t="s">
        <v>54</v>
      </c>
      <c r="C2928" s="33" t="s">
        <v>60</v>
      </c>
      <c r="D2928" s="36" t="s">
        <v>889</v>
      </c>
      <c r="E2928" s="93">
        <v>47529</v>
      </c>
      <c r="F2928" s="116">
        <v>103790</v>
      </c>
      <c r="G2928" s="116">
        <v>103790</v>
      </c>
    </row>
    <row r="2929" spans="1:7">
      <c r="A2929" s="120" t="s">
        <v>890</v>
      </c>
      <c r="B2929" s="33" t="s">
        <v>54</v>
      </c>
      <c r="C2929" s="33" t="s">
        <v>60</v>
      </c>
      <c r="D2929" s="36" t="s">
        <v>889</v>
      </c>
      <c r="E2929" s="93">
        <v>47710</v>
      </c>
      <c r="F2929" s="116">
        <v>103790</v>
      </c>
      <c r="G2929" s="116">
        <v>103790</v>
      </c>
    </row>
    <row r="2930" spans="1:7">
      <c r="A2930" s="120" t="s">
        <v>890</v>
      </c>
      <c r="B2930" s="33" t="s">
        <v>54</v>
      </c>
      <c r="C2930" s="33" t="s">
        <v>60</v>
      </c>
      <c r="D2930" s="36" t="s">
        <v>889</v>
      </c>
      <c r="E2930" s="93">
        <v>47894</v>
      </c>
      <c r="F2930" s="116">
        <v>103790</v>
      </c>
      <c r="G2930" s="116">
        <v>103790</v>
      </c>
    </row>
    <row r="2931" spans="1:7">
      <c r="A2931" s="120" t="s">
        <v>890</v>
      </c>
      <c r="B2931" s="33" t="s">
        <v>54</v>
      </c>
      <c r="C2931" s="33" t="s">
        <v>60</v>
      </c>
      <c r="D2931" s="36" t="s">
        <v>889</v>
      </c>
      <c r="E2931" s="93">
        <v>48075</v>
      </c>
      <c r="F2931" s="116">
        <v>103790</v>
      </c>
      <c r="G2931" s="116">
        <v>103790</v>
      </c>
    </row>
    <row r="2932" spans="1:7">
      <c r="A2932" s="120" t="s">
        <v>890</v>
      </c>
      <c r="B2932" s="33" t="s">
        <v>54</v>
      </c>
      <c r="C2932" s="33" t="s">
        <v>60</v>
      </c>
      <c r="D2932" s="36" t="s">
        <v>889</v>
      </c>
      <c r="E2932" s="93">
        <v>48259</v>
      </c>
      <c r="F2932" s="116">
        <v>103790</v>
      </c>
      <c r="G2932" s="116">
        <v>103790</v>
      </c>
    </row>
    <row r="2933" spans="1:7">
      <c r="A2933" s="120" t="s">
        <v>890</v>
      </c>
      <c r="B2933" s="33" t="s">
        <v>54</v>
      </c>
      <c r="C2933" s="33" t="s">
        <v>60</v>
      </c>
      <c r="D2933" s="36" t="s">
        <v>889</v>
      </c>
      <c r="E2933" s="93">
        <v>48441</v>
      </c>
      <c r="F2933" s="116">
        <v>103790</v>
      </c>
      <c r="G2933" s="116">
        <v>103790</v>
      </c>
    </row>
    <row r="2934" spans="1:7">
      <c r="A2934" s="120" t="s">
        <v>890</v>
      </c>
      <c r="B2934" s="33" t="s">
        <v>54</v>
      </c>
      <c r="C2934" s="33" t="s">
        <v>60</v>
      </c>
      <c r="D2934" s="36" t="s">
        <v>889</v>
      </c>
      <c r="E2934" s="93">
        <v>48625</v>
      </c>
      <c r="F2934" s="116">
        <v>103790</v>
      </c>
      <c r="G2934" s="116">
        <v>3983790</v>
      </c>
    </row>
    <row r="2935" spans="1:7">
      <c r="A2935" s="87" t="s">
        <v>575</v>
      </c>
      <c r="B2935" s="87" t="s">
        <v>54</v>
      </c>
      <c r="C2935" s="88" t="s">
        <v>67</v>
      </c>
      <c r="D2935" s="87" t="s">
        <v>61</v>
      </c>
      <c r="E2935" s="93">
        <v>45853</v>
      </c>
      <c r="F2935" s="115">
        <v>130536</v>
      </c>
      <c r="G2935" s="115">
        <v>130536</v>
      </c>
    </row>
    <row r="2936" spans="1:7">
      <c r="A2936" s="56" t="s">
        <v>758</v>
      </c>
      <c r="B2936" s="56" t="s">
        <v>54</v>
      </c>
      <c r="C2936" s="57" t="s">
        <v>35</v>
      </c>
      <c r="D2936" s="36" t="s">
        <v>61</v>
      </c>
      <c r="E2936" s="93">
        <v>46037</v>
      </c>
      <c r="F2936" s="116">
        <v>130536</v>
      </c>
      <c r="G2936" s="116">
        <v>130536</v>
      </c>
    </row>
    <row r="2937" spans="1:7">
      <c r="A2937" s="56" t="s">
        <v>758</v>
      </c>
      <c r="B2937" s="56" t="s">
        <v>54</v>
      </c>
      <c r="C2937" s="57" t="s">
        <v>35</v>
      </c>
      <c r="D2937" s="36" t="s">
        <v>61</v>
      </c>
      <c r="E2937" s="93">
        <v>46218</v>
      </c>
      <c r="F2937" s="116">
        <v>130536</v>
      </c>
      <c r="G2937" s="116">
        <v>130536</v>
      </c>
    </row>
    <row r="2938" spans="1:7">
      <c r="A2938" s="56" t="s">
        <v>758</v>
      </c>
      <c r="B2938" s="56" t="s">
        <v>54</v>
      </c>
      <c r="C2938" s="57" t="s">
        <v>35</v>
      </c>
      <c r="D2938" s="36" t="s">
        <v>61</v>
      </c>
      <c r="E2938" s="93">
        <v>46402</v>
      </c>
      <c r="F2938" s="116">
        <v>130536</v>
      </c>
      <c r="G2938" s="116">
        <v>130536</v>
      </c>
    </row>
    <row r="2939" spans="1:7">
      <c r="A2939" s="56" t="s">
        <v>758</v>
      </c>
      <c r="B2939" s="56" t="s">
        <v>54</v>
      </c>
      <c r="C2939" s="57" t="s">
        <v>35</v>
      </c>
      <c r="D2939" s="36" t="s">
        <v>61</v>
      </c>
      <c r="E2939" s="93">
        <v>46583</v>
      </c>
      <c r="F2939" s="116">
        <v>130536</v>
      </c>
      <c r="G2939" s="116">
        <v>130536</v>
      </c>
    </row>
    <row r="2940" spans="1:7">
      <c r="A2940" s="56" t="s">
        <v>758</v>
      </c>
      <c r="B2940" s="56" t="s">
        <v>54</v>
      </c>
      <c r="C2940" s="57" t="s">
        <v>35</v>
      </c>
      <c r="D2940" s="36" t="s">
        <v>61</v>
      </c>
      <c r="E2940" s="93">
        <v>46767</v>
      </c>
      <c r="F2940" s="116">
        <v>130536</v>
      </c>
      <c r="G2940" s="116">
        <v>130536</v>
      </c>
    </row>
    <row r="2941" spans="1:7">
      <c r="A2941" s="56" t="s">
        <v>758</v>
      </c>
      <c r="B2941" s="56" t="s">
        <v>54</v>
      </c>
      <c r="C2941" s="57" t="s">
        <v>35</v>
      </c>
      <c r="D2941" s="36" t="s">
        <v>61</v>
      </c>
      <c r="E2941" s="93">
        <v>46949</v>
      </c>
      <c r="F2941" s="116">
        <v>130536</v>
      </c>
      <c r="G2941" s="116">
        <v>130536</v>
      </c>
    </row>
    <row r="2942" spans="1:7">
      <c r="A2942" s="56" t="s">
        <v>758</v>
      </c>
      <c r="B2942" s="56" t="s">
        <v>54</v>
      </c>
      <c r="C2942" s="57" t="s">
        <v>35</v>
      </c>
      <c r="D2942" s="36" t="s">
        <v>61</v>
      </c>
      <c r="E2942" s="93">
        <v>47133</v>
      </c>
      <c r="F2942" s="116">
        <v>130536</v>
      </c>
      <c r="G2942" s="116">
        <v>130536</v>
      </c>
    </row>
    <row r="2943" spans="1:7">
      <c r="A2943" s="56" t="s">
        <v>758</v>
      </c>
      <c r="B2943" s="56" t="s">
        <v>54</v>
      </c>
      <c r="C2943" s="57" t="s">
        <v>35</v>
      </c>
      <c r="D2943" s="36" t="s">
        <v>61</v>
      </c>
      <c r="E2943" s="93">
        <v>47314</v>
      </c>
      <c r="F2943" s="116">
        <v>130536</v>
      </c>
      <c r="G2943" s="116">
        <v>130536</v>
      </c>
    </row>
    <row r="2944" spans="1:7">
      <c r="A2944" s="56" t="s">
        <v>758</v>
      </c>
      <c r="B2944" s="56" t="s">
        <v>54</v>
      </c>
      <c r="C2944" s="57" t="s">
        <v>35</v>
      </c>
      <c r="D2944" s="36" t="s">
        <v>61</v>
      </c>
      <c r="E2944" s="93">
        <v>47498</v>
      </c>
      <c r="F2944" s="116">
        <v>130536</v>
      </c>
      <c r="G2944" s="116">
        <v>130536</v>
      </c>
    </row>
    <row r="2945" spans="1:7">
      <c r="A2945" s="56" t="s">
        <v>758</v>
      </c>
      <c r="B2945" s="56" t="s">
        <v>54</v>
      </c>
      <c r="C2945" s="57" t="s">
        <v>35</v>
      </c>
      <c r="D2945" s="36" t="s">
        <v>61</v>
      </c>
      <c r="E2945" s="93">
        <v>47679</v>
      </c>
      <c r="F2945" s="116">
        <v>130536</v>
      </c>
      <c r="G2945" s="116">
        <v>130536</v>
      </c>
    </row>
    <row r="2946" spans="1:7">
      <c r="A2946" s="56" t="s">
        <v>758</v>
      </c>
      <c r="B2946" s="56" t="s">
        <v>54</v>
      </c>
      <c r="C2946" s="57" t="s">
        <v>35</v>
      </c>
      <c r="D2946" s="36" t="s">
        <v>61</v>
      </c>
      <c r="E2946" s="93">
        <v>47863</v>
      </c>
      <c r="F2946" s="116">
        <v>130536</v>
      </c>
      <c r="G2946" s="116">
        <v>130536</v>
      </c>
    </row>
    <row r="2947" spans="1:7">
      <c r="A2947" s="56" t="s">
        <v>758</v>
      </c>
      <c r="B2947" s="56" t="s">
        <v>54</v>
      </c>
      <c r="C2947" s="57" t="s">
        <v>35</v>
      </c>
      <c r="D2947" s="36" t="s">
        <v>61</v>
      </c>
      <c r="E2947" s="93">
        <v>48044</v>
      </c>
      <c r="F2947" s="98">
        <v>130536</v>
      </c>
      <c r="G2947" s="98">
        <v>4930536</v>
      </c>
    </row>
    <row r="2948" spans="1:7">
      <c r="A2948" s="107" t="s">
        <v>891</v>
      </c>
      <c r="B2948" s="117" t="s">
        <v>54</v>
      </c>
      <c r="C2948" s="117" t="s">
        <v>60</v>
      </c>
      <c r="D2948" s="109" t="s">
        <v>61</v>
      </c>
      <c r="E2948" s="93">
        <v>45865</v>
      </c>
      <c r="F2948" s="115">
        <v>72600</v>
      </c>
      <c r="G2948" s="115">
        <v>72600</v>
      </c>
    </row>
    <row r="2949" spans="1:7">
      <c r="A2949" s="56" t="s">
        <v>891</v>
      </c>
      <c r="B2949" s="33" t="s">
        <v>54</v>
      </c>
      <c r="C2949" s="33" t="s">
        <v>60</v>
      </c>
      <c r="D2949" s="36" t="s">
        <v>61</v>
      </c>
      <c r="E2949" s="93">
        <v>46037</v>
      </c>
      <c r="F2949" s="116">
        <v>72600</v>
      </c>
      <c r="G2949" s="116">
        <v>72600</v>
      </c>
    </row>
    <row r="2950" spans="1:7">
      <c r="A2950" s="56" t="s">
        <v>891</v>
      </c>
      <c r="B2950" s="33" t="s">
        <v>54</v>
      </c>
      <c r="C2950" s="33" t="s">
        <v>60</v>
      </c>
      <c r="D2950" s="36" t="s">
        <v>61</v>
      </c>
      <c r="E2950" s="93">
        <v>46230</v>
      </c>
      <c r="F2950" s="116">
        <v>72600</v>
      </c>
      <c r="G2950" s="116">
        <v>72600</v>
      </c>
    </row>
    <row r="2951" spans="1:7">
      <c r="A2951" s="56" t="s">
        <v>892</v>
      </c>
      <c r="B2951" s="33" t="s">
        <v>54</v>
      </c>
      <c r="C2951" s="33" t="s">
        <v>60</v>
      </c>
      <c r="D2951" s="36" t="s">
        <v>61</v>
      </c>
      <c r="E2951" s="93">
        <v>46402</v>
      </c>
      <c r="F2951" s="116">
        <v>72600</v>
      </c>
      <c r="G2951" s="116">
        <v>72600</v>
      </c>
    </row>
    <row r="2952" spans="1:7">
      <c r="A2952" s="56" t="s">
        <v>892</v>
      </c>
      <c r="B2952" s="33" t="s">
        <v>54</v>
      </c>
      <c r="C2952" s="33" t="s">
        <v>60</v>
      </c>
      <c r="D2952" s="36" t="s">
        <v>61</v>
      </c>
      <c r="E2952" s="93">
        <v>46595</v>
      </c>
      <c r="F2952" s="116">
        <v>72600</v>
      </c>
      <c r="G2952" s="116">
        <v>72600</v>
      </c>
    </row>
    <row r="2953" spans="1:7">
      <c r="A2953" s="56" t="s">
        <v>892</v>
      </c>
      <c r="B2953" s="33" t="s">
        <v>54</v>
      </c>
      <c r="C2953" s="33" t="s">
        <v>60</v>
      </c>
      <c r="D2953" s="36" t="s">
        <v>61</v>
      </c>
      <c r="E2953" s="93">
        <v>46767</v>
      </c>
      <c r="F2953" s="116">
        <v>72600</v>
      </c>
      <c r="G2953" s="116">
        <v>72600</v>
      </c>
    </row>
    <row r="2954" spans="1:7">
      <c r="A2954" s="56" t="s">
        <v>892</v>
      </c>
      <c r="B2954" s="33" t="s">
        <v>54</v>
      </c>
      <c r="C2954" s="33" t="s">
        <v>60</v>
      </c>
      <c r="D2954" s="36" t="s">
        <v>61</v>
      </c>
      <c r="E2954" s="93">
        <v>46961</v>
      </c>
      <c r="F2954" s="116">
        <v>72600</v>
      </c>
      <c r="G2954" s="116">
        <v>72600</v>
      </c>
    </row>
    <row r="2955" spans="1:7">
      <c r="A2955" s="56" t="s">
        <v>892</v>
      </c>
      <c r="B2955" s="33" t="s">
        <v>54</v>
      </c>
      <c r="C2955" s="33" t="s">
        <v>60</v>
      </c>
      <c r="D2955" s="36" t="s">
        <v>61</v>
      </c>
      <c r="E2955" s="93">
        <v>47133</v>
      </c>
      <c r="F2955" s="116">
        <v>72600</v>
      </c>
      <c r="G2955" s="116">
        <v>72600</v>
      </c>
    </row>
    <row r="2956" spans="1:7">
      <c r="A2956" s="56" t="s">
        <v>892</v>
      </c>
      <c r="B2956" s="33" t="s">
        <v>54</v>
      </c>
      <c r="C2956" s="33" t="s">
        <v>60</v>
      </c>
      <c r="D2956" s="36" t="s">
        <v>61</v>
      </c>
      <c r="E2956" s="93">
        <v>47326</v>
      </c>
      <c r="F2956" s="116">
        <v>72600</v>
      </c>
      <c r="G2956" s="116">
        <v>72600</v>
      </c>
    </row>
    <row r="2957" spans="1:7">
      <c r="A2957" s="56" t="s">
        <v>892</v>
      </c>
      <c r="B2957" s="33" t="s">
        <v>54</v>
      </c>
      <c r="C2957" s="33" t="s">
        <v>60</v>
      </c>
      <c r="D2957" s="36" t="s">
        <v>61</v>
      </c>
      <c r="E2957" s="93">
        <v>47498</v>
      </c>
      <c r="F2957" s="116">
        <v>72600</v>
      </c>
      <c r="G2957" s="116">
        <v>72600</v>
      </c>
    </row>
    <row r="2958" spans="1:7">
      <c r="A2958" s="56" t="s">
        <v>892</v>
      </c>
      <c r="B2958" s="33" t="s">
        <v>54</v>
      </c>
      <c r="C2958" s="33" t="s">
        <v>60</v>
      </c>
      <c r="D2958" s="36" t="s">
        <v>61</v>
      </c>
      <c r="E2958" s="93">
        <v>47691</v>
      </c>
      <c r="F2958" s="116">
        <v>72600</v>
      </c>
      <c r="G2958" s="116">
        <v>72600</v>
      </c>
    </row>
    <row r="2959" spans="1:7">
      <c r="A2959" s="56" t="s">
        <v>892</v>
      </c>
      <c r="B2959" s="33" t="s">
        <v>54</v>
      </c>
      <c r="C2959" s="33" t="s">
        <v>60</v>
      </c>
      <c r="D2959" s="36" t="s">
        <v>61</v>
      </c>
      <c r="E2959" s="93">
        <v>47863</v>
      </c>
      <c r="F2959" s="116">
        <v>72600</v>
      </c>
      <c r="G2959" s="116">
        <v>72600</v>
      </c>
    </row>
    <row r="2960" spans="1:7">
      <c r="A2960" s="56" t="s">
        <v>892</v>
      </c>
      <c r="B2960" s="33" t="s">
        <v>54</v>
      </c>
      <c r="C2960" s="33" t="s">
        <v>60</v>
      </c>
      <c r="D2960" s="36" t="s">
        <v>61</v>
      </c>
      <c r="E2960" s="93">
        <v>48056</v>
      </c>
      <c r="F2960" s="116">
        <v>72600</v>
      </c>
      <c r="G2960" s="116">
        <v>72600</v>
      </c>
    </row>
    <row r="2961" spans="1:7">
      <c r="A2961" s="56" t="s">
        <v>892</v>
      </c>
      <c r="B2961" s="33" t="s">
        <v>54</v>
      </c>
      <c r="C2961" s="33" t="s">
        <v>60</v>
      </c>
      <c r="D2961" s="36" t="s">
        <v>61</v>
      </c>
      <c r="E2961" s="93">
        <v>48228</v>
      </c>
      <c r="F2961" s="116">
        <v>72600</v>
      </c>
      <c r="G2961" s="116">
        <v>72600</v>
      </c>
    </row>
    <row r="2962" spans="1:7">
      <c r="A2962" s="56" t="s">
        <v>892</v>
      </c>
      <c r="B2962" s="33" t="s">
        <v>54</v>
      </c>
      <c r="C2962" s="33" t="s">
        <v>60</v>
      </c>
      <c r="D2962" s="36" t="s">
        <v>61</v>
      </c>
      <c r="E2962" s="93">
        <v>48422</v>
      </c>
      <c r="F2962" s="116">
        <v>72600</v>
      </c>
      <c r="G2962" s="116">
        <v>3372600</v>
      </c>
    </row>
    <row r="2963" spans="1:7">
      <c r="A2963" s="107" t="s">
        <v>891</v>
      </c>
      <c r="B2963" s="117" t="s">
        <v>54</v>
      </c>
      <c r="C2963" s="117" t="s">
        <v>60</v>
      </c>
      <c r="D2963" s="109" t="s">
        <v>61</v>
      </c>
      <c r="E2963" s="93">
        <v>45865</v>
      </c>
      <c r="F2963" s="115">
        <v>23320</v>
      </c>
      <c r="G2963" s="115">
        <v>23320</v>
      </c>
    </row>
    <row r="2964" spans="1:7">
      <c r="A2964" s="56" t="s">
        <v>892</v>
      </c>
      <c r="B2964" s="33" t="s">
        <v>54</v>
      </c>
      <c r="C2964" s="33" t="s">
        <v>60</v>
      </c>
      <c r="D2964" s="36" t="s">
        <v>61</v>
      </c>
      <c r="E2964" s="93">
        <v>46037</v>
      </c>
      <c r="F2964" s="116">
        <v>23320</v>
      </c>
      <c r="G2964" s="116">
        <v>23320</v>
      </c>
    </row>
    <row r="2965" spans="1:7">
      <c r="A2965" s="56" t="s">
        <v>892</v>
      </c>
      <c r="B2965" s="33" t="s">
        <v>54</v>
      </c>
      <c r="C2965" s="33" t="s">
        <v>60</v>
      </c>
      <c r="D2965" s="36" t="s">
        <v>61</v>
      </c>
      <c r="E2965" s="93">
        <v>46230</v>
      </c>
      <c r="F2965" s="116">
        <v>23320</v>
      </c>
      <c r="G2965" s="116">
        <v>23320</v>
      </c>
    </row>
    <row r="2966" spans="1:7">
      <c r="A2966" s="56" t="s">
        <v>892</v>
      </c>
      <c r="B2966" s="33" t="s">
        <v>54</v>
      </c>
      <c r="C2966" s="33" t="s">
        <v>60</v>
      </c>
      <c r="D2966" s="36" t="s">
        <v>61</v>
      </c>
      <c r="E2966" s="93">
        <v>46402</v>
      </c>
      <c r="F2966" s="116">
        <v>23320</v>
      </c>
      <c r="G2966" s="116">
        <v>23320</v>
      </c>
    </row>
    <row r="2967" spans="1:7">
      <c r="A2967" s="56" t="s">
        <v>892</v>
      </c>
      <c r="B2967" s="33" t="s">
        <v>54</v>
      </c>
      <c r="C2967" s="33" t="s">
        <v>60</v>
      </c>
      <c r="D2967" s="36" t="s">
        <v>61</v>
      </c>
      <c r="E2967" s="93">
        <v>46595</v>
      </c>
      <c r="F2967" s="116">
        <v>23320</v>
      </c>
      <c r="G2967" s="116">
        <v>23320</v>
      </c>
    </row>
    <row r="2968" spans="1:7">
      <c r="A2968" s="56" t="s">
        <v>892</v>
      </c>
      <c r="B2968" s="33" t="s">
        <v>54</v>
      </c>
      <c r="C2968" s="33" t="s">
        <v>60</v>
      </c>
      <c r="D2968" s="36" t="s">
        <v>61</v>
      </c>
      <c r="E2968" s="93">
        <v>46767</v>
      </c>
      <c r="F2968" s="116">
        <v>23320</v>
      </c>
      <c r="G2968" s="116">
        <v>23320</v>
      </c>
    </row>
    <row r="2969" spans="1:7">
      <c r="A2969" s="56" t="s">
        <v>892</v>
      </c>
      <c r="B2969" s="33" t="s">
        <v>54</v>
      </c>
      <c r="C2969" s="33" t="s">
        <v>60</v>
      </c>
      <c r="D2969" s="36" t="s">
        <v>61</v>
      </c>
      <c r="E2969" s="93">
        <v>46961</v>
      </c>
      <c r="F2969" s="116">
        <v>23320</v>
      </c>
      <c r="G2969" s="116">
        <v>23320</v>
      </c>
    </row>
    <row r="2970" spans="1:7">
      <c r="A2970" s="56" t="s">
        <v>892</v>
      </c>
      <c r="B2970" s="33" t="s">
        <v>54</v>
      </c>
      <c r="C2970" s="33" t="s">
        <v>60</v>
      </c>
      <c r="D2970" s="36" t="s">
        <v>61</v>
      </c>
      <c r="E2970" s="93">
        <v>47133</v>
      </c>
      <c r="F2970" s="116">
        <v>23320</v>
      </c>
      <c r="G2970" s="116">
        <v>23320</v>
      </c>
    </row>
    <row r="2971" spans="1:7">
      <c r="A2971" s="56" t="s">
        <v>892</v>
      </c>
      <c r="B2971" s="33" t="s">
        <v>54</v>
      </c>
      <c r="C2971" s="33" t="s">
        <v>60</v>
      </c>
      <c r="D2971" s="36" t="s">
        <v>61</v>
      </c>
      <c r="E2971" s="93">
        <v>47326</v>
      </c>
      <c r="F2971" s="116">
        <v>23320</v>
      </c>
      <c r="G2971" s="116">
        <v>23320</v>
      </c>
    </row>
    <row r="2972" spans="1:7">
      <c r="A2972" s="56" t="s">
        <v>892</v>
      </c>
      <c r="B2972" s="33" t="s">
        <v>54</v>
      </c>
      <c r="C2972" s="33" t="s">
        <v>60</v>
      </c>
      <c r="D2972" s="36" t="s">
        <v>61</v>
      </c>
      <c r="E2972" s="93">
        <v>47498</v>
      </c>
      <c r="F2972" s="116">
        <v>23320</v>
      </c>
      <c r="G2972" s="116">
        <v>23320</v>
      </c>
    </row>
    <row r="2973" spans="1:7">
      <c r="A2973" s="56" t="s">
        <v>892</v>
      </c>
      <c r="B2973" s="33" t="s">
        <v>54</v>
      </c>
      <c r="C2973" s="33" t="s">
        <v>60</v>
      </c>
      <c r="D2973" s="36" t="s">
        <v>61</v>
      </c>
      <c r="E2973" s="93">
        <v>47691</v>
      </c>
      <c r="F2973" s="116">
        <v>23320</v>
      </c>
      <c r="G2973" s="116">
        <v>23320</v>
      </c>
    </row>
    <row r="2974" spans="1:7">
      <c r="A2974" s="56" t="s">
        <v>892</v>
      </c>
      <c r="B2974" s="33" t="s">
        <v>54</v>
      </c>
      <c r="C2974" s="33" t="s">
        <v>60</v>
      </c>
      <c r="D2974" s="36" t="s">
        <v>61</v>
      </c>
      <c r="E2974" s="93">
        <v>47863</v>
      </c>
      <c r="F2974" s="116">
        <v>23320</v>
      </c>
      <c r="G2974" s="116">
        <v>23320</v>
      </c>
    </row>
    <row r="2975" spans="1:7">
      <c r="A2975" s="56" t="s">
        <v>892</v>
      </c>
      <c r="B2975" s="33" t="s">
        <v>54</v>
      </c>
      <c r="C2975" s="33" t="s">
        <v>60</v>
      </c>
      <c r="D2975" s="36" t="s">
        <v>61</v>
      </c>
      <c r="E2975" s="93">
        <v>48056</v>
      </c>
      <c r="F2975" s="116">
        <v>23320</v>
      </c>
      <c r="G2975" s="116">
        <v>23320</v>
      </c>
    </row>
    <row r="2976" spans="1:7">
      <c r="A2976" s="56" t="s">
        <v>892</v>
      </c>
      <c r="B2976" s="33" t="s">
        <v>54</v>
      </c>
      <c r="C2976" s="33" t="s">
        <v>60</v>
      </c>
      <c r="D2976" s="36" t="s">
        <v>61</v>
      </c>
      <c r="E2976" s="93">
        <v>48228</v>
      </c>
      <c r="F2976" s="116">
        <v>23320</v>
      </c>
      <c r="G2976" s="116">
        <v>23320</v>
      </c>
    </row>
    <row r="2977" spans="1:7">
      <c r="A2977" s="56" t="s">
        <v>892</v>
      </c>
      <c r="B2977" s="33" t="s">
        <v>54</v>
      </c>
      <c r="C2977" s="33" t="s">
        <v>60</v>
      </c>
      <c r="D2977" s="36" t="s">
        <v>61</v>
      </c>
      <c r="E2977" s="93">
        <v>48422</v>
      </c>
      <c r="F2977" s="116">
        <v>23320</v>
      </c>
      <c r="G2977" s="116">
        <v>1083320</v>
      </c>
    </row>
    <row r="2978" spans="1:7">
      <c r="A2978" s="107" t="s">
        <v>893</v>
      </c>
      <c r="B2978" s="117" t="s">
        <v>54</v>
      </c>
      <c r="C2978" s="117" t="s">
        <v>60</v>
      </c>
      <c r="D2978" s="109" t="s">
        <v>338</v>
      </c>
      <c r="E2978" s="110">
        <v>45879</v>
      </c>
      <c r="F2978" s="115">
        <v>71880</v>
      </c>
      <c r="G2978" s="115">
        <v>71880</v>
      </c>
    </row>
    <row r="2979" spans="1:7">
      <c r="A2979" s="56" t="s">
        <v>893</v>
      </c>
      <c r="B2979" s="33" t="s">
        <v>54</v>
      </c>
      <c r="C2979" s="33" t="s">
        <v>60</v>
      </c>
      <c r="D2979" s="36" t="s">
        <v>338</v>
      </c>
      <c r="E2979" s="93">
        <v>46063</v>
      </c>
      <c r="F2979" s="116">
        <v>71880</v>
      </c>
      <c r="G2979" s="116">
        <v>71880</v>
      </c>
    </row>
    <row r="2980" spans="1:7">
      <c r="A2980" s="56" t="s">
        <v>893</v>
      </c>
      <c r="B2980" s="33" t="s">
        <v>54</v>
      </c>
      <c r="C2980" s="33" t="s">
        <v>60</v>
      </c>
      <c r="D2980" s="36" t="s">
        <v>338</v>
      </c>
      <c r="E2980" s="93">
        <v>46244</v>
      </c>
      <c r="F2980" s="116">
        <v>71880</v>
      </c>
      <c r="G2980" s="116">
        <v>71880</v>
      </c>
    </row>
    <row r="2981" spans="1:7">
      <c r="A2981" s="56" t="s">
        <v>894</v>
      </c>
      <c r="B2981" s="33" t="s">
        <v>54</v>
      </c>
      <c r="C2981" s="33" t="s">
        <v>60</v>
      </c>
      <c r="D2981" s="36" t="s">
        <v>338</v>
      </c>
      <c r="E2981" s="93">
        <v>46428</v>
      </c>
      <c r="F2981" s="116">
        <v>71880</v>
      </c>
      <c r="G2981" s="116">
        <v>71880</v>
      </c>
    </row>
    <row r="2982" spans="1:7">
      <c r="A2982" s="56" t="s">
        <v>894</v>
      </c>
      <c r="B2982" s="33" t="s">
        <v>54</v>
      </c>
      <c r="C2982" s="33" t="s">
        <v>60</v>
      </c>
      <c r="D2982" s="36" t="s">
        <v>338</v>
      </c>
      <c r="E2982" s="93">
        <v>46609</v>
      </c>
      <c r="F2982" s="116">
        <v>71880</v>
      </c>
      <c r="G2982" s="116">
        <v>71880</v>
      </c>
    </row>
    <row r="2983" spans="1:7">
      <c r="A2983" s="56" t="s">
        <v>894</v>
      </c>
      <c r="B2983" s="33" t="s">
        <v>54</v>
      </c>
      <c r="C2983" s="33" t="s">
        <v>60</v>
      </c>
      <c r="D2983" s="36" t="s">
        <v>338</v>
      </c>
      <c r="E2983" s="93">
        <v>46793</v>
      </c>
      <c r="F2983" s="116">
        <v>71880</v>
      </c>
      <c r="G2983" s="116">
        <v>71880</v>
      </c>
    </row>
    <row r="2984" spans="1:7">
      <c r="A2984" s="56" t="s">
        <v>894</v>
      </c>
      <c r="B2984" s="33" t="s">
        <v>54</v>
      </c>
      <c r="C2984" s="33" t="s">
        <v>60</v>
      </c>
      <c r="D2984" s="36" t="s">
        <v>338</v>
      </c>
      <c r="E2984" s="93">
        <v>46975</v>
      </c>
      <c r="F2984" s="116">
        <v>71880</v>
      </c>
      <c r="G2984" s="116">
        <v>71880</v>
      </c>
    </row>
    <row r="2985" spans="1:7">
      <c r="A2985" s="56" t="s">
        <v>894</v>
      </c>
      <c r="B2985" s="33" t="s">
        <v>54</v>
      </c>
      <c r="C2985" s="33" t="s">
        <v>60</v>
      </c>
      <c r="D2985" s="36" t="s">
        <v>338</v>
      </c>
      <c r="E2985" s="93">
        <v>47159</v>
      </c>
      <c r="F2985" s="116">
        <v>71880</v>
      </c>
      <c r="G2985" s="116">
        <v>71880</v>
      </c>
    </row>
    <row r="2986" spans="1:7">
      <c r="A2986" s="56" t="s">
        <v>894</v>
      </c>
      <c r="B2986" s="33" t="s">
        <v>54</v>
      </c>
      <c r="C2986" s="33" t="s">
        <v>60</v>
      </c>
      <c r="D2986" s="36" t="s">
        <v>338</v>
      </c>
      <c r="E2986" s="93">
        <v>47340</v>
      </c>
      <c r="F2986" s="116">
        <v>71880</v>
      </c>
      <c r="G2986" s="116">
        <v>71880</v>
      </c>
    </row>
    <row r="2987" spans="1:7">
      <c r="A2987" s="56" t="s">
        <v>894</v>
      </c>
      <c r="B2987" s="33" t="s">
        <v>54</v>
      </c>
      <c r="C2987" s="33" t="s">
        <v>60</v>
      </c>
      <c r="D2987" s="36" t="s">
        <v>338</v>
      </c>
      <c r="E2987" s="93">
        <v>47524</v>
      </c>
      <c r="F2987" s="116">
        <v>71880</v>
      </c>
      <c r="G2987" s="116">
        <v>3066880</v>
      </c>
    </row>
    <row r="2988" spans="1:7">
      <c r="A2988" s="107" t="s">
        <v>895</v>
      </c>
      <c r="B2988" s="117" t="s">
        <v>223</v>
      </c>
      <c r="C2988" s="117" t="s">
        <v>35</v>
      </c>
      <c r="D2988" s="109" t="s">
        <v>224</v>
      </c>
      <c r="E2988" s="110">
        <v>46033</v>
      </c>
      <c r="F2988" s="115">
        <v>60625</v>
      </c>
      <c r="G2988" s="115">
        <v>60625</v>
      </c>
    </row>
    <row r="2989" spans="1:7">
      <c r="A2989" s="56" t="s">
        <v>895</v>
      </c>
      <c r="B2989" s="33" t="s">
        <v>223</v>
      </c>
      <c r="C2989" s="33" t="s">
        <v>35</v>
      </c>
      <c r="D2989" s="36" t="s">
        <v>224</v>
      </c>
      <c r="E2989" s="93">
        <v>46214</v>
      </c>
      <c r="F2989" s="116">
        <v>60625</v>
      </c>
      <c r="G2989" s="116">
        <v>60625</v>
      </c>
    </row>
    <row r="2990" spans="1:7">
      <c r="A2990" s="56" t="s">
        <v>895</v>
      </c>
      <c r="B2990" s="33" t="s">
        <v>223</v>
      </c>
      <c r="C2990" s="33" t="s">
        <v>35</v>
      </c>
      <c r="D2990" s="36" t="s">
        <v>224</v>
      </c>
      <c r="E2990" s="93">
        <v>46398</v>
      </c>
      <c r="F2990" s="116">
        <v>60625</v>
      </c>
      <c r="G2990" s="116">
        <v>60625</v>
      </c>
    </row>
    <row r="2991" spans="1:7">
      <c r="A2991" s="56" t="s">
        <v>895</v>
      </c>
      <c r="B2991" s="33" t="s">
        <v>223</v>
      </c>
      <c r="C2991" s="33" t="s">
        <v>35</v>
      </c>
      <c r="D2991" s="36" t="s">
        <v>224</v>
      </c>
      <c r="E2991" s="93">
        <v>46579</v>
      </c>
      <c r="F2991" s="116">
        <v>60625</v>
      </c>
      <c r="G2991" s="116">
        <v>60625</v>
      </c>
    </row>
    <row r="2992" spans="1:7">
      <c r="A2992" s="56" t="s">
        <v>895</v>
      </c>
      <c r="B2992" s="33" t="s">
        <v>223</v>
      </c>
      <c r="C2992" s="33" t="s">
        <v>35</v>
      </c>
      <c r="D2992" s="36" t="s">
        <v>224</v>
      </c>
      <c r="E2992" s="93">
        <v>46763</v>
      </c>
      <c r="F2992" s="116">
        <v>60625</v>
      </c>
      <c r="G2992" s="116">
        <v>60625</v>
      </c>
    </row>
    <row r="2993" spans="1:7">
      <c r="A2993" s="56" t="s">
        <v>895</v>
      </c>
      <c r="B2993" s="33" t="s">
        <v>223</v>
      </c>
      <c r="C2993" s="33" t="s">
        <v>35</v>
      </c>
      <c r="D2993" s="36" t="s">
        <v>224</v>
      </c>
      <c r="E2993" s="93">
        <v>46945</v>
      </c>
      <c r="F2993" s="116">
        <v>60625</v>
      </c>
      <c r="G2993" s="116">
        <v>60625</v>
      </c>
    </row>
    <row r="2994" spans="1:7">
      <c r="A2994" s="56" t="s">
        <v>895</v>
      </c>
      <c r="B2994" s="33" t="s">
        <v>223</v>
      </c>
      <c r="C2994" s="33" t="s">
        <v>35</v>
      </c>
      <c r="D2994" s="36" t="s">
        <v>224</v>
      </c>
      <c r="E2994" s="93">
        <v>47129</v>
      </c>
      <c r="F2994" s="116">
        <v>60625</v>
      </c>
      <c r="G2994" s="116">
        <v>2560625</v>
      </c>
    </row>
    <row r="2995" spans="1:7">
      <c r="A2995" s="107" t="s">
        <v>896</v>
      </c>
      <c r="B2995" s="117" t="s">
        <v>54</v>
      </c>
      <c r="C2995" s="117" t="s">
        <v>35</v>
      </c>
      <c r="D2995" s="109" t="s">
        <v>338</v>
      </c>
      <c r="E2995" s="110">
        <v>45980</v>
      </c>
      <c r="F2995" s="115">
        <v>52110</v>
      </c>
      <c r="G2995" s="115">
        <v>52110</v>
      </c>
    </row>
    <row r="2996" spans="1:7">
      <c r="A2996" s="33" t="s">
        <v>427</v>
      </c>
      <c r="B2996" s="33" t="s">
        <v>428</v>
      </c>
      <c r="C2996" s="48" t="s">
        <v>35</v>
      </c>
      <c r="D2996" s="33" t="s">
        <v>338</v>
      </c>
      <c r="E2996" s="93">
        <v>46161</v>
      </c>
      <c r="F2996" s="116">
        <v>52110</v>
      </c>
      <c r="G2996" s="116">
        <v>52110</v>
      </c>
    </row>
    <row r="2997" spans="1:7">
      <c r="A2997" s="33" t="s">
        <v>427</v>
      </c>
      <c r="B2997" s="33" t="s">
        <v>428</v>
      </c>
      <c r="C2997" s="48" t="s">
        <v>35</v>
      </c>
      <c r="D2997" s="33" t="s">
        <v>338</v>
      </c>
      <c r="E2997" s="93">
        <v>46345</v>
      </c>
      <c r="F2997" s="116">
        <v>52110</v>
      </c>
      <c r="G2997" s="116">
        <v>52110</v>
      </c>
    </row>
    <row r="2998" spans="1:7">
      <c r="A2998" s="33" t="s">
        <v>427</v>
      </c>
      <c r="B2998" s="33" t="s">
        <v>428</v>
      </c>
      <c r="C2998" s="48" t="s">
        <v>35</v>
      </c>
      <c r="D2998" s="33" t="s">
        <v>338</v>
      </c>
      <c r="E2998" s="93">
        <v>46526</v>
      </c>
      <c r="F2998" s="116">
        <v>52110</v>
      </c>
      <c r="G2998" s="116">
        <v>52110</v>
      </c>
    </row>
    <row r="2999" spans="1:7">
      <c r="A2999" s="33" t="s">
        <v>427</v>
      </c>
      <c r="B2999" s="33" t="s">
        <v>428</v>
      </c>
      <c r="C2999" s="48" t="s">
        <v>35</v>
      </c>
      <c r="D2999" s="33" t="s">
        <v>338</v>
      </c>
      <c r="E2999" s="93">
        <v>46710</v>
      </c>
      <c r="F2999" s="116">
        <v>52110</v>
      </c>
      <c r="G2999" s="116">
        <v>52110</v>
      </c>
    </row>
    <row r="3000" spans="1:7">
      <c r="A3000" s="33" t="s">
        <v>427</v>
      </c>
      <c r="B3000" s="33" t="s">
        <v>428</v>
      </c>
      <c r="C3000" s="48" t="s">
        <v>35</v>
      </c>
      <c r="D3000" s="33" t="s">
        <v>338</v>
      </c>
      <c r="E3000" s="93">
        <v>46892</v>
      </c>
      <c r="F3000" s="116">
        <v>52110</v>
      </c>
      <c r="G3000" s="116">
        <v>52110</v>
      </c>
    </row>
    <row r="3001" spans="1:7">
      <c r="A3001" s="33" t="s">
        <v>427</v>
      </c>
      <c r="B3001" s="33" t="s">
        <v>428</v>
      </c>
      <c r="C3001" s="48" t="s">
        <v>35</v>
      </c>
      <c r="D3001" s="33" t="s">
        <v>338</v>
      </c>
      <c r="E3001" s="93">
        <v>47076</v>
      </c>
      <c r="F3001" s="116">
        <v>52110</v>
      </c>
      <c r="G3001" s="116">
        <v>52110</v>
      </c>
    </row>
    <row r="3002" spans="1:7">
      <c r="A3002" s="33" t="s">
        <v>427</v>
      </c>
      <c r="B3002" s="33" t="s">
        <v>428</v>
      </c>
      <c r="C3002" s="48" t="s">
        <v>35</v>
      </c>
      <c r="D3002" s="33" t="s">
        <v>338</v>
      </c>
      <c r="E3002" s="93">
        <v>47257</v>
      </c>
      <c r="F3002" s="116">
        <v>52110</v>
      </c>
      <c r="G3002" s="116">
        <v>52110</v>
      </c>
    </row>
    <row r="3003" spans="1:7">
      <c r="A3003" s="33" t="s">
        <v>427</v>
      </c>
      <c r="B3003" s="33" t="s">
        <v>428</v>
      </c>
      <c r="C3003" s="48" t="s">
        <v>35</v>
      </c>
      <c r="D3003" s="33" t="s">
        <v>338</v>
      </c>
      <c r="E3003" s="93">
        <v>47441</v>
      </c>
      <c r="F3003" s="116">
        <v>52110</v>
      </c>
      <c r="G3003" s="116">
        <v>52110</v>
      </c>
    </row>
    <row r="3004" spans="1:7">
      <c r="A3004" s="33" t="s">
        <v>427</v>
      </c>
      <c r="B3004" s="33" t="s">
        <v>428</v>
      </c>
      <c r="C3004" s="48" t="s">
        <v>35</v>
      </c>
      <c r="D3004" s="33" t="s">
        <v>338</v>
      </c>
      <c r="E3004" s="93">
        <v>47622</v>
      </c>
      <c r="F3004" s="116">
        <v>52110</v>
      </c>
      <c r="G3004" s="116">
        <v>1982110</v>
      </c>
    </row>
    <row r="3005" spans="1:7">
      <c r="A3005" s="107" t="s">
        <v>896</v>
      </c>
      <c r="B3005" s="117" t="s">
        <v>54</v>
      </c>
      <c r="C3005" s="117" t="s">
        <v>35</v>
      </c>
      <c r="D3005" s="109" t="s">
        <v>338</v>
      </c>
      <c r="E3005" s="110">
        <v>45980</v>
      </c>
      <c r="F3005" s="115">
        <v>25920</v>
      </c>
      <c r="G3005" s="115">
        <v>25920</v>
      </c>
    </row>
    <row r="3006" spans="1:7">
      <c r="A3006" s="33" t="s">
        <v>427</v>
      </c>
      <c r="B3006" s="33" t="s">
        <v>428</v>
      </c>
      <c r="C3006" s="48" t="s">
        <v>35</v>
      </c>
      <c r="D3006" s="33" t="s">
        <v>338</v>
      </c>
      <c r="E3006" s="93">
        <v>46161</v>
      </c>
      <c r="F3006" s="116">
        <v>25920</v>
      </c>
      <c r="G3006" s="116">
        <v>25920</v>
      </c>
    </row>
    <row r="3007" spans="1:7">
      <c r="A3007" s="33" t="s">
        <v>427</v>
      </c>
      <c r="B3007" s="33" t="s">
        <v>428</v>
      </c>
      <c r="C3007" s="48" t="s">
        <v>35</v>
      </c>
      <c r="D3007" s="33" t="s">
        <v>338</v>
      </c>
      <c r="E3007" s="93">
        <v>46345</v>
      </c>
      <c r="F3007" s="116">
        <v>25920</v>
      </c>
      <c r="G3007" s="116">
        <v>25920</v>
      </c>
    </row>
    <row r="3008" spans="1:7">
      <c r="A3008" s="33" t="s">
        <v>427</v>
      </c>
      <c r="B3008" s="33" t="s">
        <v>428</v>
      </c>
      <c r="C3008" s="48" t="s">
        <v>35</v>
      </c>
      <c r="D3008" s="33" t="s">
        <v>338</v>
      </c>
      <c r="E3008" s="93">
        <v>46526</v>
      </c>
      <c r="F3008" s="116">
        <v>25920</v>
      </c>
      <c r="G3008" s="116">
        <v>25920</v>
      </c>
    </row>
    <row r="3009" spans="1:7">
      <c r="A3009" s="33" t="s">
        <v>427</v>
      </c>
      <c r="B3009" s="33" t="s">
        <v>428</v>
      </c>
      <c r="C3009" s="48" t="s">
        <v>35</v>
      </c>
      <c r="D3009" s="33" t="s">
        <v>338</v>
      </c>
      <c r="E3009" s="93">
        <v>46710</v>
      </c>
      <c r="F3009" s="116">
        <v>25920</v>
      </c>
      <c r="G3009" s="116">
        <v>25920</v>
      </c>
    </row>
    <row r="3010" spans="1:7">
      <c r="A3010" s="33" t="s">
        <v>427</v>
      </c>
      <c r="B3010" s="33" t="s">
        <v>428</v>
      </c>
      <c r="C3010" s="48" t="s">
        <v>35</v>
      </c>
      <c r="D3010" s="33" t="s">
        <v>338</v>
      </c>
      <c r="E3010" s="93">
        <v>46892</v>
      </c>
      <c r="F3010" s="116">
        <v>25920</v>
      </c>
      <c r="G3010" s="116">
        <v>25920</v>
      </c>
    </row>
    <row r="3011" spans="1:7">
      <c r="A3011" s="33" t="s">
        <v>427</v>
      </c>
      <c r="B3011" s="33" t="s">
        <v>428</v>
      </c>
      <c r="C3011" s="48" t="s">
        <v>35</v>
      </c>
      <c r="D3011" s="33" t="s">
        <v>338</v>
      </c>
      <c r="E3011" s="93">
        <v>47076</v>
      </c>
      <c r="F3011" s="116">
        <v>25920</v>
      </c>
      <c r="G3011" s="116">
        <v>25920</v>
      </c>
    </row>
    <row r="3012" spans="1:7">
      <c r="A3012" s="33" t="s">
        <v>427</v>
      </c>
      <c r="B3012" s="33" t="s">
        <v>428</v>
      </c>
      <c r="C3012" s="48" t="s">
        <v>35</v>
      </c>
      <c r="D3012" s="33" t="s">
        <v>338</v>
      </c>
      <c r="E3012" s="93">
        <v>47257</v>
      </c>
      <c r="F3012" s="116">
        <v>25920</v>
      </c>
      <c r="G3012" s="116">
        <v>25920</v>
      </c>
    </row>
    <row r="3013" spans="1:7">
      <c r="A3013" s="33" t="s">
        <v>427</v>
      </c>
      <c r="B3013" s="33" t="s">
        <v>428</v>
      </c>
      <c r="C3013" s="48" t="s">
        <v>35</v>
      </c>
      <c r="D3013" s="33" t="s">
        <v>338</v>
      </c>
      <c r="E3013" s="93">
        <v>47441</v>
      </c>
      <c r="F3013" s="116">
        <v>25920</v>
      </c>
      <c r="G3013" s="116">
        <v>25920</v>
      </c>
    </row>
    <row r="3014" spans="1:7">
      <c r="A3014" s="33" t="s">
        <v>427</v>
      </c>
      <c r="B3014" s="33" t="s">
        <v>428</v>
      </c>
      <c r="C3014" s="48" t="s">
        <v>35</v>
      </c>
      <c r="D3014" s="33" t="s">
        <v>338</v>
      </c>
      <c r="E3014" s="93">
        <v>47622</v>
      </c>
      <c r="F3014" s="116">
        <v>25920</v>
      </c>
      <c r="G3014" s="116">
        <v>985920</v>
      </c>
    </row>
    <row r="3015" spans="1:7">
      <c r="A3015" s="107" t="s">
        <v>896</v>
      </c>
      <c r="B3015" s="117" t="s">
        <v>34</v>
      </c>
      <c r="C3015" s="117" t="s">
        <v>35</v>
      </c>
      <c r="D3015" s="109" t="s">
        <v>338</v>
      </c>
      <c r="E3015" s="110">
        <v>45980</v>
      </c>
      <c r="F3015" s="115">
        <v>120420</v>
      </c>
      <c r="G3015" s="115">
        <v>120420</v>
      </c>
    </row>
    <row r="3016" spans="1:7">
      <c r="A3016" s="33" t="s">
        <v>427</v>
      </c>
      <c r="B3016" s="33" t="s">
        <v>897</v>
      </c>
      <c r="C3016" s="48" t="s">
        <v>35</v>
      </c>
      <c r="D3016" s="33" t="s">
        <v>338</v>
      </c>
      <c r="E3016" s="93">
        <v>46161</v>
      </c>
      <c r="F3016" s="116">
        <v>120420</v>
      </c>
      <c r="G3016" s="116">
        <v>120420</v>
      </c>
    </row>
    <row r="3017" spans="1:7">
      <c r="A3017" s="33" t="s">
        <v>427</v>
      </c>
      <c r="B3017" s="33" t="s">
        <v>897</v>
      </c>
      <c r="C3017" s="48" t="s">
        <v>35</v>
      </c>
      <c r="D3017" s="33" t="s">
        <v>338</v>
      </c>
      <c r="E3017" s="93">
        <v>46345</v>
      </c>
      <c r="F3017" s="116">
        <v>120420</v>
      </c>
      <c r="G3017" s="116">
        <v>120420</v>
      </c>
    </row>
    <row r="3018" spans="1:7">
      <c r="A3018" s="33" t="s">
        <v>427</v>
      </c>
      <c r="B3018" s="33" t="s">
        <v>897</v>
      </c>
      <c r="C3018" s="48" t="s">
        <v>35</v>
      </c>
      <c r="D3018" s="33" t="s">
        <v>338</v>
      </c>
      <c r="E3018" s="93">
        <v>46526</v>
      </c>
      <c r="F3018" s="116">
        <v>120420</v>
      </c>
      <c r="G3018" s="116">
        <v>120420</v>
      </c>
    </row>
    <row r="3019" spans="1:7">
      <c r="A3019" s="33" t="s">
        <v>427</v>
      </c>
      <c r="B3019" s="33" t="s">
        <v>897</v>
      </c>
      <c r="C3019" s="48" t="s">
        <v>35</v>
      </c>
      <c r="D3019" s="33" t="s">
        <v>338</v>
      </c>
      <c r="E3019" s="93">
        <v>46710</v>
      </c>
      <c r="F3019" s="116">
        <v>120420</v>
      </c>
      <c r="G3019" s="116">
        <v>120420</v>
      </c>
    </row>
    <row r="3020" spans="1:7">
      <c r="A3020" s="33" t="s">
        <v>427</v>
      </c>
      <c r="B3020" s="33" t="s">
        <v>897</v>
      </c>
      <c r="C3020" s="48" t="s">
        <v>35</v>
      </c>
      <c r="D3020" s="33" t="s">
        <v>338</v>
      </c>
      <c r="E3020" s="93">
        <v>46892</v>
      </c>
      <c r="F3020" s="116">
        <v>120420</v>
      </c>
      <c r="G3020" s="116">
        <v>120420</v>
      </c>
    </row>
    <row r="3021" spans="1:7">
      <c r="A3021" s="33" t="s">
        <v>427</v>
      </c>
      <c r="B3021" s="33" t="s">
        <v>897</v>
      </c>
      <c r="C3021" s="48" t="s">
        <v>35</v>
      </c>
      <c r="D3021" s="33" t="s">
        <v>338</v>
      </c>
      <c r="E3021" s="93">
        <v>47076</v>
      </c>
      <c r="F3021" s="116">
        <v>120420</v>
      </c>
      <c r="G3021" s="116">
        <v>120420</v>
      </c>
    </row>
    <row r="3022" spans="1:7">
      <c r="A3022" s="33" t="s">
        <v>427</v>
      </c>
      <c r="B3022" s="33" t="s">
        <v>897</v>
      </c>
      <c r="C3022" s="48" t="s">
        <v>35</v>
      </c>
      <c r="D3022" s="33" t="s">
        <v>338</v>
      </c>
      <c r="E3022" s="93">
        <v>47257</v>
      </c>
      <c r="F3022" s="116">
        <v>120420</v>
      </c>
      <c r="G3022" s="116">
        <v>120420</v>
      </c>
    </row>
    <row r="3023" spans="1:7">
      <c r="A3023" s="33" t="s">
        <v>427</v>
      </c>
      <c r="B3023" s="33" t="s">
        <v>897</v>
      </c>
      <c r="C3023" s="48" t="s">
        <v>35</v>
      </c>
      <c r="D3023" s="33" t="s">
        <v>338</v>
      </c>
      <c r="E3023" s="93">
        <v>47441</v>
      </c>
      <c r="F3023" s="116">
        <v>120420</v>
      </c>
      <c r="G3023" s="116">
        <v>120420</v>
      </c>
    </row>
    <row r="3024" spans="1:7">
      <c r="A3024" s="33" t="s">
        <v>427</v>
      </c>
      <c r="B3024" s="33" t="s">
        <v>897</v>
      </c>
      <c r="C3024" s="48" t="s">
        <v>35</v>
      </c>
      <c r="D3024" s="33" t="s">
        <v>338</v>
      </c>
      <c r="E3024" s="93">
        <v>47622</v>
      </c>
      <c r="F3024" s="116">
        <v>120420</v>
      </c>
      <c r="G3024" s="116">
        <v>4580420</v>
      </c>
    </row>
    <row r="3025" spans="1:7">
      <c r="A3025" s="107" t="s">
        <v>898</v>
      </c>
      <c r="B3025" s="117" t="s">
        <v>54</v>
      </c>
      <c r="C3025" s="117" t="s">
        <v>60</v>
      </c>
      <c r="D3025" s="109" t="s">
        <v>338</v>
      </c>
      <c r="E3025" s="110">
        <v>45945</v>
      </c>
      <c r="F3025" s="115">
        <v>70000</v>
      </c>
      <c r="G3025" s="115">
        <v>70000</v>
      </c>
    </row>
    <row r="3026" spans="1:7">
      <c r="A3026" s="56" t="s">
        <v>898</v>
      </c>
      <c r="B3026" s="33" t="s">
        <v>54</v>
      </c>
      <c r="C3026" s="33" t="s">
        <v>60</v>
      </c>
      <c r="D3026" s="36" t="s">
        <v>338</v>
      </c>
      <c r="E3026" s="93">
        <v>46127</v>
      </c>
      <c r="F3026" s="116">
        <v>70000</v>
      </c>
      <c r="G3026" s="116">
        <v>70000</v>
      </c>
    </row>
    <row r="3027" spans="1:7">
      <c r="A3027" s="56" t="s">
        <v>898</v>
      </c>
      <c r="B3027" s="33" t="s">
        <v>54</v>
      </c>
      <c r="C3027" s="33" t="s">
        <v>60</v>
      </c>
      <c r="D3027" s="36" t="s">
        <v>338</v>
      </c>
      <c r="E3027" s="93">
        <v>46310</v>
      </c>
      <c r="F3027" s="116">
        <v>70000</v>
      </c>
      <c r="G3027" s="116">
        <v>70000</v>
      </c>
    </row>
    <row r="3028" spans="1:7">
      <c r="A3028" s="56" t="s">
        <v>898</v>
      </c>
      <c r="B3028" s="33" t="s">
        <v>54</v>
      </c>
      <c r="C3028" s="33" t="s">
        <v>60</v>
      </c>
      <c r="D3028" s="36" t="s">
        <v>338</v>
      </c>
      <c r="E3028" s="93">
        <v>46492</v>
      </c>
      <c r="F3028" s="116">
        <v>70000</v>
      </c>
      <c r="G3028" s="116">
        <v>70000</v>
      </c>
    </row>
    <row r="3029" spans="1:7">
      <c r="A3029" s="56" t="s">
        <v>898</v>
      </c>
      <c r="B3029" s="33" t="s">
        <v>54</v>
      </c>
      <c r="C3029" s="33" t="s">
        <v>60</v>
      </c>
      <c r="D3029" s="36" t="s">
        <v>338</v>
      </c>
      <c r="E3029" s="93">
        <v>46675</v>
      </c>
      <c r="F3029" s="116">
        <v>70000</v>
      </c>
      <c r="G3029" s="116">
        <v>70000</v>
      </c>
    </row>
    <row r="3030" spans="1:7">
      <c r="A3030" s="56" t="s">
        <v>898</v>
      </c>
      <c r="B3030" s="33" t="s">
        <v>54</v>
      </c>
      <c r="C3030" s="33" t="s">
        <v>60</v>
      </c>
      <c r="D3030" s="36" t="s">
        <v>338</v>
      </c>
      <c r="E3030" s="93">
        <v>46858</v>
      </c>
      <c r="F3030" s="116">
        <v>70000</v>
      </c>
      <c r="G3030" s="116">
        <v>70000</v>
      </c>
    </row>
    <row r="3031" spans="1:7">
      <c r="A3031" s="56" t="s">
        <v>898</v>
      </c>
      <c r="B3031" s="33" t="s">
        <v>54</v>
      </c>
      <c r="C3031" s="33" t="s">
        <v>60</v>
      </c>
      <c r="D3031" s="36" t="s">
        <v>338</v>
      </c>
      <c r="E3031" s="93">
        <v>47041</v>
      </c>
      <c r="F3031" s="116">
        <v>70000</v>
      </c>
      <c r="G3031" s="116">
        <v>70000</v>
      </c>
    </row>
    <row r="3032" spans="1:7">
      <c r="A3032" s="56" t="s">
        <v>898</v>
      </c>
      <c r="B3032" s="33" t="s">
        <v>54</v>
      </c>
      <c r="C3032" s="33" t="s">
        <v>60</v>
      </c>
      <c r="D3032" s="36" t="s">
        <v>338</v>
      </c>
      <c r="E3032" s="93">
        <v>47223</v>
      </c>
      <c r="F3032" s="116">
        <v>70000</v>
      </c>
      <c r="G3032" s="116">
        <v>70000</v>
      </c>
    </row>
    <row r="3033" spans="1:7">
      <c r="A3033" s="56" t="s">
        <v>898</v>
      </c>
      <c r="B3033" s="33" t="s">
        <v>54</v>
      </c>
      <c r="C3033" s="33" t="s">
        <v>60</v>
      </c>
      <c r="D3033" s="36" t="s">
        <v>338</v>
      </c>
      <c r="E3033" s="93">
        <v>47406</v>
      </c>
      <c r="F3033" s="116">
        <v>70000</v>
      </c>
      <c r="G3033" s="116">
        <v>70000</v>
      </c>
    </row>
    <row r="3034" spans="1:7">
      <c r="A3034" s="56" t="s">
        <v>898</v>
      </c>
      <c r="B3034" s="33" t="s">
        <v>54</v>
      </c>
      <c r="C3034" s="33" t="s">
        <v>60</v>
      </c>
      <c r="D3034" s="36" t="s">
        <v>338</v>
      </c>
      <c r="E3034" s="93">
        <v>47588</v>
      </c>
      <c r="F3034" s="116">
        <v>70000</v>
      </c>
      <c r="G3034" s="116">
        <v>70000</v>
      </c>
    </row>
    <row r="3035" spans="1:7">
      <c r="A3035" s="56" t="s">
        <v>898</v>
      </c>
      <c r="B3035" s="33" t="s">
        <v>54</v>
      </c>
      <c r="C3035" s="33" t="s">
        <v>60</v>
      </c>
      <c r="D3035" s="36" t="s">
        <v>338</v>
      </c>
      <c r="E3035" s="93">
        <v>47771</v>
      </c>
      <c r="F3035" s="116">
        <v>70000</v>
      </c>
      <c r="G3035" s="116">
        <v>70000</v>
      </c>
    </row>
    <row r="3036" spans="1:7">
      <c r="A3036" s="56" t="s">
        <v>898</v>
      </c>
      <c r="B3036" s="33" t="s">
        <v>54</v>
      </c>
      <c r="C3036" s="33" t="s">
        <v>60</v>
      </c>
      <c r="D3036" s="36" t="s">
        <v>338</v>
      </c>
      <c r="E3036" s="93">
        <v>47953</v>
      </c>
      <c r="F3036" s="116">
        <v>70000</v>
      </c>
      <c r="G3036" s="116">
        <v>4070000</v>
      </c>
    </row>
    <row r="3037" spans="1:7">
      <c r="A3037" s="107" t="s">
        <v>899</v>
      </c>
      <c r="B3037" s="117" t="s">
        <v>34</v>
      </c>
      <c r="C3037" s="117" t="s">
        <v>60</v>
      </c>
      <c r="D3037" s="109" t="s">
        <v>338</v>
      </c>
      <c r="E3037" s="110">
        <v>46030</v>
      </c>
      <c r="F3037" s="115">
        <v>23674.399999999998</v>
      </c>
      <c r="G3037" s="115">
        <v>23674.399999999998</v>
      </c>
    </row>
    <row r="3038" spans="1:7">
      <c r="A3038" s="33" t="s">
        <v>455</v>
      </c>
      <c r="B3038" s="33" t="s">
        <v>34</v>
      </c>
      <c r="C3038" s="48" t="s">
        <v>43</v>
      </c>
      <c r="D3038" s="33" t="s">
        <v>338</v>
      </c>
      <c r="E3038" s="93">
        <v>46211</v>
      </c>
      <c r="F3038" s="116">
        <v>23674.399999999998</v>
      </c>
      <c r="G3038" s="116">
        <v>23674.399999999998</v>
      </c>
    </row>
    <row r="3039" spans="1:7">
      <c r="A3039" s="33" t="s">
        <v>900</v>
      </c>
      <c r="B3039" s="33" t="s">
        <v>34</v>
      </c>
      <c r="C3039" s="48" t="s">
        <v>43</v>
      </c>
      <c r="D3039" s="33" t="s">
        <v>338</v>
      </c>
      <c r="E3039" s="93">
        <v>46395</v>
      </c>
      <c r="F3039" s="116">
        <v>23674.399999999998</v>
      </c>
      <c r="G3039" s="116">
        <v>23674.399999999998</v>
      </c>
    </row>
    <row r="3040" spans="1:7">
      <c r="A3040" s="33" t="s">
        <v>900</v>
      </c>
      <c r="B3040" s="33" t="s">
        <v>34</v>
      </c>
      <c r="C3040" s="48" t="s">
        <v>43</v>
      </c>
      <c r="D3040" s="33" t="s">
        <v>338</v>
      </c>
      <c r="E3040" s="93">
        <v>46576</v>
      </c>
      <c r="F3040" s="116">
        <v>23674.399999999998</v>
      </c>
      <c r="G3040" s="116">
        <v>23674.399999999998</v>
      </c>
    </row>
    <row r="3041" spans="1:7">
      <c r="A3041" s="33" t="s">
        <v>900</v>
      </c>
      <c r="B3041" s="33" t="s">
        <v>34</v>
      </c>
      <c r="C3041" s="48" t="s">
        <v>43</v>
      </c>
      <c r="D3041" s="33" t="s">
        <v>338</v>
      </c>
      <c r="E3041" s="93">
        <v>46760</v>
      </c>
      <c r="F3041" s="116">
        <v>23674.399999999998</v>
      </c>
      <c r="G3041" s="116">
        <v>23674.399999999998</v>
      </c>
    </row>
    <row r="3042" spans="1:7">
      <c r="A3042" s="33" t="s">
        <v>900</v>
      </c>
      <c r="B3042" s="33" t="s">
        <v>34</v>
      </c>
      <c r="C3042" s="48" t="s">
        <v>43</v>
      </c>
      <c r="D3042" s="33" t="s">
        <v>338</v>
      </c>
      <c r="E3042" s="93">
        <v>46942</v>
      </c>
      <c r="F3042" s="116">
        <v>23674.399999999998</v>
      </c>
      <c r="G3042" s="116">
        <v>23674.399999999998</v>
      </c>
    </row>
    <row r="3043" spans="1:7">
      <c r="A3043" s="33" t="s">
        <v>900</v>
      </c>
      <c r="B3043" s="33" t="s">
        <v>34</v>
      </c>
      <c r="C3043" s="48" t="s">
        <v>43</v>
      </c>
      <c r="D3043" s="33" t="s">
        <v>338</v>
      </c>
      <c r="E3043" s="93">
        <v>47126</v>
      </c>
      <c r="F3043" s="116">
        <v>23674.399999999998</v>
      </c>
      <c r="G3043" s="116">
        <v>23674.399999999998</v>
      </c>
    </row>
    <row r="3044" spans="1:7">
      <c r="A3044" s="33" t="s">
        <v>900</v>
      </c>
      <c r="B3044" s="33" t="s">
        <v>34</v>
      </c>
      <c r="C3044" s="48" t="s">
        <v>43</v>
      </c>
      <c r="D3044" s="33" t="s">
        <v>338</v>
      </c>
      <c r="E3044" s="93">
        <v>47307</v>
      </c>
      <c r="F3044" s="116">
        <v>23674.399999999998</v>
      </c>
      <c r="G3044" s="116">
        <v>23674.399999999998</v>
      </c>
    </row>
    <row r="3045" spans="1:7">
      <c r="A3045" s="33" t="s">
        <v>900</v>
      </c>
      <c r="B3045" s="33" t="s">
        <v>34</v>
      </c>
      <c r="C3045" s="48" t="s">
        <v>43</v>
      </c>
      <c r="D3045" s="33" t="s">
        <v>338</v>
      </c>
      <c r="E3045" s="93">
        <v>47491</v>
      </c>
      <c r="F3045" s="116">
        <v>23674.399999999998</v>
      </c>
      <c r="G3045" s="116">
        <v>23674.399999999998</v>
      </c>
    </row>
    <row r="3046" spans="1:7">
      <c r="A3046" s="33" t="s">
        <v>900</v>
      </c>
      <c r="B3046" s="33" t="s">
        <v>34</v>
      </c>
      <c r="C3046" s="48" t="s">
        <v>43</v>
      </c>
      <c r="D3046" s="33" t="s">
        <v>338</v>
      </c>
      <c r="E3046" s="93">
        <v>47672</v>
      </c>
      <c r="F3046" s="116">
        <v>23674.399999999998</v>
      </c>
      <c r="G3046" s="116">
        <v>1033674.4</v>
      </c>
    </row>
    <row r="3047" spans="1:7">
      <c r="A3047" s="107" t="s">
        <v>901</v>
      </c>
      <c r="B3047" s="117" t="s">
        <v>34</v>
      </c>
      <c r="C3047" s="117" t="s">
        <v>60</v>
      </c>
      <c r="D3047" s="109" t="s">
        <v>338</v>
      </c>
      <c r="E3047" s="110">
        <v>46142</v>
      </c>
      <c r="F3047" s="115">
        <v>11726.4</v>
      </c>
      <c r="G3047" s="115">
        <v>11726.4</v>
      </c>
    </row>
    <row r="3048" spans="1:7">
      <c r="A3048" s="33" t="s">
        <v>478</v>
      </c>
      <c r="B3048" s="33" t="s">
        <v>34</v>
      </c>
      <c r="C3048" s="48" t="s">
        <v>43</v>
      </c>
      <c r="D3048" s="33" t="s">
        <v>338</v>
      </c>
      <c r="E3048" s="93">
        <v>46325</v>
      </c>
      <c r="F3048" s="116">
        <v>11726.4</v>
      </c>
      <c r="G3048" s="116">
        <v>11726.4</v>
      </c>
    </row>
    <row r="3049" spans="1:7">
      <c r="A3049" s="33" t="s">
        <v>902</v>
      </c>
      <c r="B3049" s="33" t="s">
        <v>34</v>
      </c>
      <c r="C3049" s="48" t="s">
        <v>43</v>
      </c>
      <c r="D3049" s="33" t="s">
        <v>338</v>
      </c>
      <c r="E3049" s="93">
        <v>46507</v>
      </c>
      <c r="F3049" s="116">
        <v>11726.4</v>
      </c>
      <c r="G3049" s="116">
        <v>11726.4</v>
      </c>
    </row>
    <row r="3050" spans="1:7">
      <c r="A3050" s="33" t="s">
        <v>902</v>
      </c>
      <c r="B3050" s="33" t="s">
        <v>34</v>
      </c>
      <c r="C3050" s="48" t="s">
        <v>43</v>
      </c>
      <c r="D3050" s="33" t="s">
        <v>338</v>
      </c>
      <c r="E3050" s="93">
        <v>46690</v>
      </c>
      <c r="F3050" s="116">
        <v>11726.4</v>
      </c>
      <c r="G3050" s="116">
        <v>11726.4</v>
      </c>
    </row>
    <row r="3051" spans="1:7">
      <c r="A3051" s="33" t="s">
        <v>902</v>
      </c>
      <c r="B3051" s="33" t="s">
        <v>34</v>
      </c>
      <c r="C3051" s="48" t="s">
        <v>43</v>
      </c>
      <c r="D3051" s="33" t="s">
        <v>338</v>
      </c>
      <c r="E3051" s="93">
        <v>46873</v>
      </c>
      <c r="F3051" s="116">
        <v>11726.4</v>
      </c>
      <c r="G3051" s="116">
        <v>11726.4</v>
      </c>
    </row>
    <row r="3052" spans="1:7">
      <c r="A3052" s="33" t="s">
        <v>902</v>
      </c>
      <c r="B3052" s="33" t="s">
        <v>34</v>
      </c>
      <c r="C3052" s="48" t="s">
        <v>43</v>
      </c>
      <c r="D3052" s="33" t="s">
        <v>338</v>
      </c>
      <c r="E3052" s="93">
        <v>47056</v>
      </c>
      <c r="F3052" s="116">
        <v>11726.4</v>
      </c>
      <c r="G3052" s="116">
        <v>11726.4</v>
      </c>
    </row>
    <row r="3053" spans="1:7">
      <c r="A3053" s="33" t="s">
        <v>902</v>
      </c>
      <c r="B3053" s="33" t="s">
        <v>34</v>
      </c>
      <c r="C3053" s="48" t="s">
        <v>43</v>
      </c>
      <c r="D3053" s="33" t="s">
        <v>338</v>
      </c>
      <c r="E3053" s="93">
        <v>47238</v>
      </c>
      <c r="F3053" s="116">
        <v>11726.4</v>
      </c>
      <c r="G3053" s="116">
        <v>11726.4</v>
      </c>
    </row>
    <row r="3054" spans="1:7">
      <c r="A3054" s="33" t="s">
        <v>902</v>
      </c>
      <c r="B3054" s="33" t="s">
        <v>34</v>
      </c>
      <c r="C3054" s="48" t="s">
        <v>43</v>
      </c>
      <c r="D3054" s="33" t="s">
        <v>338</v>
      </c>
      <c r="E3054" s="93">
        <v>47421</v>
      </c>
      <c r="F3054" s="116">
        <v>11726.4</v>
      </c>
      <c r="G3054" s="116">
        <v>11726.4</v>
      </c>
    </row>
    <row r="3055" spans="1:7">
      <c r="A3055" s="33" t="s">
        <v>902</v>
      </c>
      <c r="B3055" s="33" t="s">
        <v>34</v>
      </c>
      <c r="C3055" s="48" t="s">
        <v>43</v>
      </c>
      <c r="D3055" s="33" t="s">
        <v>338</v>
      </c>
      <c r="E3055" s="93">
        <v>47603</v>
      </c>
      <c r="F3055" s="116">
        <v>11726.4</v>
      </c>
      <c r="G3055" s="116">
        <v>11726.4</v>
      </c>
    </row>
    <row r="3056" spans="1:7">
      <c r="A3056" s="33" t="s">
        <v>902</v>
      </c>
      <c r="B3056" s="33" t="s">
        <v>34</v>
      </c>
      <c r="C3056" s="48" t="s">
        <v>43</v>
      </c>
      <c r="D3056" s="33" t="s">
        <v>338</v>
      </c>
      <c r="E3056" s="93">
        <v>47786</v>
      </c>
      <c r="F3056" s="116">
        <v>11726.4</v>
      </c>
      <c r="G3056" s="116">
        <v>1407726.4</v>
      </c>
    </row>
    <row r="3057" spans="1:7">
      <c r="A3057" s="87" t="s">
        <v>527</v>
      </c>
      <c r="B3057" s="87" t="s">
        <v>54</v>
      </c>
      <c r="C3057" s="88" t="s">
        <v>43</v>
      </c>
      <c r="D3057" s="109" t="s">
        <v>338</v>
      </c>
      <c r="E3057" s="110">
        <v>46102</v>
      </c>
      <c r="F3057" s="90">
        <v>38250</v>
      </c>
      <c r="G3057" s="90">
        <v>38250</v>
      </c>
    </row>
    <row r="3058" spans="1:7">
      <c r="A3058" s="56" t="s">
        <v>530</v>
      </c>
      <c r="B3058" s="121" t="s">
        <v>54</v>
      </c>
      <c r="C3058" s="57" t="s">
        <v>60</v>
      </c>
      <c r="D3058" s="33" t="s">
        <v>338</v>
      </c>
      <c r="E3058" s="93">
        <v>46286</v>
      </c>
      <c r="F3058" s="98">
        <v>38250</v>
      </c>
      <c r="G3058" s="98">
        <v>38250</v>
      </c>
    </row>
    <row r="3059" spans="1:7">
      <c r="A3059" s="56" t="s">
        <v>530</v>
      </c>
      <c r="B3059" s="121" t="s">
        <v>54</v>
      </c>
      <c r="C3059" s="57" t="s">
        <v>60</v>
      </c>
      <c r="D3059" s="33" t="s">
        <v>338</v>
      </c>
      <c r="E3059" s="93">
        <v>46467</v>
      </c>
      <c r="F3059" s="98">
        <v>38250</v>
      </c>
      <c r="G3059" s="98">
        <v>38250</v>
      </c>
    </row>
    <row r="3060" spans="1:7">
      <c r="A3060" s="56" t="s">
        <v>817</v>
      </c>
      <c r="B3060" s="121" t="s">
        <v>54</v>
      </c>
      <c r="C3060" s="57" t="s">
        <v>60</v>
      </c>
      <c r="D3060" s="33" t="s">
        <v>338</v>
      </c>
      <c r="E3060" s="93">
        <v>46651</v>
      </c>
      <c r="F3060" s="98">
        <v>38250</v>
      </c>
      <c r="G3060" s="98">
        <v>38250</v>
      </c>
    </row>
    <row r="3061" spans="1:7">
      <c r="A3061" s="56" t="s">
        <v>817</v>
      </c>
      <c r="B3061" s="121" t="s">
        <v>54</v>
      </c>
      <c r="C3061" s="57" t="s">
        <v>60</v>
      </c>
      <c r="D3061" s="33" t="s">
        <v>338</v>
      </c>
      <c r="E3061" s="93">
        <v>46833</v>
      </c>
      <c r="F3061" s="98">
        <v>38250</v>
      </c>
      <c r="G3061" s="98">
        <v>38250</v>
      </c>
    </row>
    <row r="3062" spans="1:7">
      <c r="A3062" s="56" t="s">
        <v>817</v>
      </c>
      <c r="B3062" s="121" t="s">
        <v>54</v>
      </c>
      <c r="C3062" s="57" t="s">
        <v>60</v>
      </c>
      <c r="D3062" s="33" t="s">
        <v>338</v>
      </c>
      <c r="E3062" s="93">
        <v>47017</v>
      </c>
      <c r="F3062" s="98">
        <v>38250</v>
      </c>
      <c r="G3062" s="98">
        <v>38250</v>
      </c>
    </row>
    <row r="3063" spans="1:7">
      <c r="A3063" s="56" t="s">
        <v>817</v>
      </c>
      <c r="B3063" s="121" t="s">
        <v>54</v>
      </c>
      <c r="C3063" s="57" t="s">
        <v>60</v>
      </c>
      <c r="D3063" s="33" t="s">
        <v>338</v>
      </c>
      <c r="E3063" s="93">
        <v>47198</v>
      </c>
      <c r="F3063" s="98">
        <v>38250</v>
      </c>
      <c r="G3063" s="98">
        <v>38250</v>
      </c>
    </row>
    <row r="3064" spans="1:7">
      <c r="A3064" s="56" t="s">
        <v>817</v>
      </c>
      <c r="B3064" s="121" t="s">
        <v>54</v>
      </c>
      <c r="C3064" s="57" t="s">
        <v>60</v>
      </c>
      <c r="D3064" s="33" t="s">
        <v>338</v>
      </c>
      <c r="E3064" s="93">
        <v>47382</v>
      </c>
      <c r="F3064" s="98">
        <v>38250</v>
      </c>
      <c r="G3064" s="98">
        <v>38250</v>
      </c>
    </row>
    <row r="3065" spans="1:7">
      <c r="A3065" s="56" t="s">
        <v>817</v>
      </c>
      <c r="B3065" s="121" t="s">
        <v>54</v>
      </c>
      <c r="C3065" s="57" t="s">
        <v>60</v>
      </c>
      <c r="D3065" s="33" t="s">
        <v>338</v>
      </c>
      <c r="E3065" s="93">
        <v>47563</v>
      </c>
      <c r="F3065" s="98">
        <v>38250</v>
      </c>
      <c r="G3065" s="98">
        <v>38250</v>
      </c>
    </row>
    <row r="3066" spans="1:7">
      <c r="A3066" s="56" t="s">
        <v>817</v>
      </c>
      <c r="B3066" s="121" t="s">
        <v>54</v>
      </c>
      <c r="C3066" s="57" t="s">
        <v>60</v>
      </c>
      <c r="D3066" s="33" t="s">
        <v>338</v>
      </c>
      <c r="E3066" s="93">
        <v>47747</v>
      </c>
      <c r="F3066" s="98">
        <v>38250</v>
      </c>
      <c r="G3066" s="98">
        <v>38250</v>
      </c>
    </row>
    <row r="3067" spans="1:7">
      <c r="A3067" s="56" t="s">
        <v>817</v>
      </c>
      <c r="B3067" s="121" t="s">
        <v>54</v>
      </c>
      <c r="C3067" s="57" t="s">
        <v>60</v>
      </c>
      <c r="D3067" s="33" t="s">
        <v>338</v>
      </c>
      <c r="E3067" s="93">
        <v>47928</v>
      </c>
      <c r="F3067" s="98">
        <v>38250</v>
      </c>
      <c r="G3067" s="98">
        <v>3038250</v>
      </c>
    </row>
    <row r="3068" spans="1:7">
      <c r="A3068" s="107" t="s">
        <v>903</v>
      </c>
      <c r="B3068" s="117" t="s">
        <v>34</v>
      </c>
      <c r="C3068" s="117" t="s">
        <v>60</v>
      </c>
      <c r="D3068" s="109" t="s">
        <v>338</v>
      </c>
      <c r="E3068" s="110">
        <v>46218</v>
      </c>
      <c r="F3068" s="115">
        <v>65660</v>
      </c>
      <c r="G3068" s="115">
        <v>65660</v>
      </c>
    </row>
    <row r="3069" spans="1:7">
      <c r="A3069" s="33" t="s">
        <v>684</v>
      </c>
      <c r="B3069" s="33" t="s">
        <v>34</v>
      </c>
      <c r="C3069" s="48" t="s">
        <v>43</v>
      </c>
      <c r="D3069" s="33" t="s">
        <v>338</v>
      </c>
      <c r="E3069" s="93">
        <v>46402</v>
      </c>
      <c r="F3069" s="95">
        <v>65660</v>
      </c>
      <c r="G3069" s="95">
        <v>65660</v>
      </c>
    </row>
    <row r="3070" spans="1:7">
      <c r="A3070" s="33" t="s">
        <v>904</v>
      </c>
      <c r="B3070" s="33" t="s">
        <v>34</v>
      </c>
      <c r="C3070" s="48" t="s">
        <v>43</v>
      </c>
      <c r="D3070" s="33" t="s">
        <v>338</v>
      </c>
      <c r="E3070" s="93">
        <v>46583</v>
      </c>
      <c r="F3070" s="95">
        <v>65660</v>
      </c>
      <c r="G3070" s="95">
        <v>65660</v>
      </c>
    </row>
    <row r="3071" spans="1:7">
      <c r="A3071" s="33" t="s">
        <v>904</v>
      </c>
      <c r="B3071" s="33" t="s">
        <v>34</v>
      </c>
      <c r="C3071" s="48" t="s">
        <v>43</v>
      </c>
      <c r="D3071" s="33" t="s">
        <v>338</v>
      </c>
      <c r="E3071" s="93">
        <v>46767</v>
      </c>
      <c r="F3071" s="95">
        <v>65660</v>
      </c>
      <c r="G3071" s="95">
        <v>65660</v>
      </c>
    </row>
    <row r="3072" spans="1:7">
      <c r="A3072" s="33" t="s">
        <v>904</v>
      </c>
      <c r="B3072" s="33" t="s">
        <v>34</v>
      </c>
      <c r="C3072" s="48" t="s">
        <v>43</v>
      </c>
      <c r="D3072" s="33" t="s">
        <v>338</v>
      </c>
      <c r="E3072" s="93">
        <v>46949</v>
      </c>
      <c r="F3072" s="95">
        <v>65660</v>
      </c>
      <c r="G3072" s="95">
        <v>65660</v>
      </c>
    </row>
    <row r="3073" spans="1:7">
      <c r="A3073" s="33" t="s">
        <v>904</v>
      </c>
      <c r="B3073" s="33" t="s">
        <v>34</v>
      </c>
      <c r="C3073" s="48" t="s">
        <v>43</v>
      </c>
      <c r="D3073" s="33" t="s">
        <v>338</v>
      </c>
      <c r="E3073" s="93">
        <v>47133</v>
      </c>
      <c r="F3073" s="95">
        <v>65660</v>
      </c>
      <c r="G3073" s="95">
        <v>65660</v>
      </c>
    </row>
    <row r="3074" spans="1:7">
      <c r="A3074" s="33" t="s">
        <v>904</v>
      </c>
      <c r="B3074" s="33" t="s">
        <v>34</v>
      </c>
      <c r="C3074" s="48" t="s">
        <v>43</v>
      </c>
      <c r="D3074" s="33" t="s">
        <v>338</v>
      </c>
      <c r="E3074" s="93">
        <v>47314</v>
      </c>
      <c r="F3074" s="95">
        <v>65660</v>
      </c>
      <c r="G3074" s="95">
        <v>65660</v>
      </c>
    </row>
    <row r="3075" spans="1:7">
      <c r="A3075" s="33" t="s">
        <v>904</v>
      </c>
      <c r="B3075" s="33" t="s">
        <v>34</v>
      </c>
      <c r="C3075" s="48" t="s">
        <v>43</v>
      </c>
      <c r="D3075" s="33" t="s">
        <v>338</v>
      </c>
      <c r="E3075" s="93">
        <v>47498</v>
      </c>
      <c r="F3075" s="95">
        <v>65660</v>
      </c>
      <c r="G3075" s="95">
        <v>65660</v>
      </c>
    </row>
    <row r="3076" spans="1:7">
      <c r="A3076" s="33" t="s">
        <v>904</v>
      </c>
      <c r="B3076" s="33" t="s">
        <v>34</v>
      </c>
      <c r="C3076" s="48" t="s">
        <v>43</v>
      </c>
      <c r="D3076" s="33" t="s">
        <v>338</v>
      </c>
      <c r="E3076" s="93">
        <v>47679</v>
      </c>
      <c r="F3076" s="95">
        <v>65660</v>
      </c>
      <c r="G3076" s="95">
        <v>65660</v>
      </c>
    </row>
    <row r="3077" spans="1:7">
      <c r="A3077" s="33" t="s">
        <v>904</v>
      </c>
      <c r="B3077" s="33" t="s">
        <v>34</v>
      </c>
      <c r="C3077" s="48" t="s">
        <v>43</v>
      </c>
      <c r="D3077" s="33" t="s">
        <v>338</v>
      </c>
      <c r="E3077" s="93">
        <v>47863</v>
      </c>
      <c r="F3077" s="95">
        <v>65660</v>
      </c>
      <c r="G3077" s="95">
        <v>65660</v>
      </c>
    </row>
    <row r="3078" spans="1:7">
      <c r="A3078" s="33" t="s">
        <v>904</v>
      </c>
      <c r="B3078" s="33" t="s">
        <v>34</v>
      </c>
      <c r="C3078" s="48" t="s">
        <v>43</v>
      </c>
      <c r="D3078" s="33" t="s">
        <v>338</v>
      </c>
      <c r="E3078" s="93">
        <v>48044</v>
      </c>
      <c r="F3078" s="95">
        <v>65660</v>
      </c>
      <c r="G3078" s="95">
        <v>65660</v>
      </c>
    </row>
    <row r="3079" spans="1:7">
      <c r="A3079" s="33" t="s">
        <v>904</v>
      </c>
      <c r="B3079" s="33" t="s">
        <v>34</v>
      </c>
      <c r="C3079" s="48" t="s">
        <v>43</v>
      </c>
      <c r="D3079" s="33" t="s">
        <v>338</v>
      </c>
      <c r="E3079" s="93">
        <v>48228</v>
      </c>
      <c r="F3079" s="95">
        <v>65660</v>
      </c>
      <c r="G3079" s="95">
        <v>65660</v>
      </c>
    </row>
    <row r="3080" spans="1:7">
      <c r="A3080" s="33" t="s">
        <v>904</v>
      </c>
      <c r="B3080" s="33" t="s">
        <v>34</v>
      </c>
      <c r="C3080" s="48" t="s">
        <v>43</v>
      </c>
      <c r="D3080" s="33" t="s">
        <v>338</v>
      </c>
      <c r="E3080" s="93">
        <v>48410</v>
      </c>
      <c r="F3080" s="95">
        <v>65660</v>
      </c>
      <c r="G3080" s="95">
        <v>2745660</v>
      </c>
    </row>
    <row r="3081" spans="1:7">
      <c r="A3081" s="107" t="s">
        <v>905</v>
      </c>
      <c r="B3081" s="117" t="s">
        <v>54</v>
      </c>
      <c r="C3081" s="117" t="s">
        <v>35</v>
      </c>
      <c r="D3081" s="109" t="s">
        <v>61</v>
      </c>
      <c r="E3081" s="110">
        <v>46219</v>
      </c>
      <c r="F3081" s="115">
        <v>37231.199999999997</v>
      </c>
      <c r="G3081" s="115">
        <v>37231.199999999997</v>
      </c>
    </row>
    <row r="3082" spans="1:7">
      <c r="A3082" s="56" t="s">
        <v>905</v>
      </c>
      <c r="B3082" s="33" t="s">
        <v>54</v>
      </c>
      <c r="C3082" s="33" t="s">
        <v>35</v>
      </c>
      <c r="D3082" s="36" t="s">
        <v>61</v>
      </c>
      <c r="E3082" s="93">
        <v>46403</v>
      </c>
      <c r="F3082" s="95">
        <v>37231.199999999997</v>
      </c>
      <c r="G3082" s="95">
        <v>37231.199999999997</v>
      </c>
    </row>
    <row r="3083" spans="1:7">
      <c r="A3083" s="56" t="s">
        <v>905</v>
      </c>
      <c r="B3083" s="33" t="s">
        <v>54</v>
      </c>
      <c r="C3083" s="33" t="s">
        <v>35</v>
      </c>
      <c r="D3083" s="36" t="s">
        <v>61</v>
      </c>
      <c r="E3083" s="93">
        <v>46584</v>
      </c>
      <c r="F3083" s="95">
        <v>37231.199999999997</v>
      </c>
      <c r="G3083" s="95">
        <v>37231.199999999997</v>
      </c>
    </row>
    <row r="3084" spans="1:7">
      <c r="A3084" s="56" t="s">
        <v>905</v>
      </c>
      <c r="B3084" s="33" t="s">
        <v>54</v>
      </c>
      <c r="C3084" s="33" t="s">
        <v>35</v>
      </c>
      <c r="D3084" s="36" t="s">
        <v>61</v>
      </c>
      <c r="E3084" s="93">
        <v>46768</v>
      </c>
      <c r="F3084" s="95">
        <v>37231.199999999997</v>
      </c>
      <c r="G3084" s="95">
        <v>37231.199999999997</v>
      </c>
    </row>
    <row r="3085" spans="1:7">
      <c r="A3085" s="56" t="s">
        <v>905</v>
      </c>
      <c r="B3085" s="33" t="s">
        <v>54</v>
      </c>
      <c r="C3085" s="33" t="s">
        <v>35</v>
      </c>
      <c r="D3085" s="36" t="s">
        <v>61</v>
      </c>
      <c r="E3085" s="93">
        <v>46950</v>
      </c>
      <c r="F3085" s="95">
        <v>37231.199999999997</v>
      </c>
      <c r="G3085" s="95">
        <v>37231.199999999997</v>
      </c>
    </row>
    <row r="3086" spans="1:7">
      <c r="A3086" s="56" t="s">
        <v>905</v>
      </c>
      <c r="B3086" s="33" t="s">
        <v>54</v>
      </c>
      <c r="C3086" s="33" t="s">
        <v>35</v>
      </c>
      <c r="D3086" s="36" t="s">
        <v>61</v>
      </c>
      <c r="E3086" s="93">
        <v>47134</v>
      </c>
      <c r="F3086" s="95">
        <v>37231.199999999997</v>
      </c>
      <c r="G3086" s="95">
        <v>37231.199999999997</v>
      </c>
    </row>
    <row r="3087" spans="1:7">
      <c r="A3087" s="56" t="s">
        <v>905</v>
      </c>
      <c r="B3087" s="33" t="s">
        <v>54</v>
      </c>
      <c r="C3087" s="33" t="s">
        <v>35</v>
      </c>
      <c r="D3087" s="36" t="s">
        <v>61</v>
      </c>
      <c r="E3087" s="93">
        <v>47315</v>
      </c>
      <c r="F3087" s="95">
        <v>37231.199999999997</v>
      </c>
      <c r="G3087" s="95">
        <v>37231.199999999997</v>
      </c>
    </row>
    <row r="3088" spans="1:7">
      <c r="A3088" s="56" t="s">
        <v>905</v>
      </c>
      <c r="B3088" s="33" t="s">
        <v>54</v>
      </c>
      <c r="C3088" s="33" t="s">
        <v>35</v>
      </c>
      <c r="D3088" s="36" t="s">
        <v>61</v>
      </c>
      <c r="E3088" s="93">
        <v>47499</v>
      </c>
      <c r="F3088" s="95">
        <v>37231.199999999997</v>
      </c>
      <c r="G3088" s="95">
        <v>37231.199999999997</v>
      </c>
    </row>
    <row r="3089" spans="1:7">
      <c r="A3089" s="56" t="s">
        <v>905</v>
      </c>
      <c r="B3089" s="33" t="s">
        <v>54</v>
      </c>
      <c r="C3089" s="33" t="s">
        <v>35</v>
      </c>
      <c r="D3089" s="36" t="s">
        <v>61</v>
      </c>
      <c r="E3089" s="93">
        <v>47680</v>
      </c>
      <c r="F3089" s="95">
        <v>37231.199999999997</v>
      </c>
      <c r="G3089" s="95">
        <v>37231.199999999997</v>
      </c>
    </row>
    <row r="3090" spans="1:7">
      <c r="A3090" s="56" t="s">
        <v>905</v>
      </c>
      <c r="B3090" s="33" t="s">
        <v>54</v>
      </c>
      <c r="C3090" s="33" t="s">
        <v>35</v>
      </c>
      <c r="D3090" s="36" t="s">
        <v>61</v>
      </c>
      <c r="E3090" s="93">
        <v>47864</v>
      </c>
      <c r="F3090" s="95">
        <v>37231.199999999997</v>
      </c>
      <c r="G3090" s="95">
        <v>37231.199999999997</v>
      </c>
    </row>
    <row r="3091" spans="1:7">
      <c r="A3091" s="56" t="s">
        <v>905</v>
      </c>
      <c r="B3091" s="33" t="s">
        <v>54</v>
      </c>
      <c r="C3091" s="33" t="s">
        <v>35</v>
      </c>
      <c r="D3091" s="36" t="s">
        <v>61</v>
      </c>
      <c r="E3091" s="93">
        <v>48045</v>
      </c>
      <c r="F3091" s="95">
        <v>37231.199999999997</v>
      </c>
      <c r="G3091" s="95">
        <v>37231.199999999997</v>
      </c>
    </row>
    <row r="3092" spans="1:7">
      <c r="A3092" s="56" t="s">
        <v>905</v>
      </c>
      <c r="B3092" s="33" t="s">
        <v>54</v>
      </c>
      <c r="C3092" s="33" t="s">
        <v>35</v>
      </c>
      <c r="D3092" s="36" t="s">
        <v>61</v>
      </c>
      <c r="E3092" s="93">
        <v>48229</v>
      </c>
      <c r="F3092" s="95">
        <v>37231.199999999997</v>
      </c>
      <c r="G3092" s="95">
        <v>37231.199999999997</v>
      </c>
    </row>
    <row r="3093" spans="1:7">
      <c r="A3093" s="56" t="s">
        <v>905</v>
      </c>
      <c r="B3093" s="33" t="s">
        <v>54</v>
      </c>
      <c r="C3093" s="33" t="s">
        <v>35</v>
      </c>
      <c r="D3093" s="36" t="s">
        <v>61</v>
      </c>
      <c r="E3093" s="93">
        <v>48411</v>
      </c>
      <c r="F3093" s="95">
        <v>37231.199999999997</v>
      </c>
      <c r="G3093" s="95">
        <v>1477231.2</v>
      </c>
    </row>
    <row r="3094" spans="1:7">
      <c r="A3094" s="107" t="s">
        <v>905</v>
      </c>
      <c r="B3094" s="117" t="s">
        <v>54</v>
      </c>
      <c r="C3094" s="117" t="s">
        <v>35</v>
      </c>
      <c r="D3094" s="109" t="s">
        <v>61</v>
      </c>
      <c r="E3094" s="110">
        <v>46219</v>
      </c>
      <c r="F3094" s="115">
        <v>6722.3</v>
      </c>
      <c r="G3094" s="115">
        <v>6722.3</v>
      </c>
    </row>
    <row r="3095" spans="1:7">
      <c r="A3095" s="56" t="s">
        <v>905</v>
      </c>
      <c r="B3095" s="33" t="s">
        <v>54</v>
      </c>
      <c r="C3095" s="33" t="s">
        <v>35</v>
      </c>
      <c r="D3095" s="36" t="s">
        <v>61</v>
      </c>
      <c r="E3095" s="93">
        <v>46403</v>
      </c>
      <c r="F3095" s="95">
        <v>6722.3</v>
      </c>
      <c r="G3095" s="95">
        <v>6722.3</v>
      </c>
    </row>
    <row r="3096" spans="1:7">
      <c r="A3096" s="56" t="s">
        <v>905</v>
      </c>
      <c r="B3096" s="33" t="s">
        <v>54</v>
      </c>
      <c r="C3096" s="33" t="s">
        <v>35</v>
      </c>
      <c r="D3096" s="36" t="s">
        <v>61</v>
      </c>
      <c r="E3096" s="93">
        <v>46584</v>
      </c>
      <c r="F3096" s="95">
        <v>6722.3</v>
      </c>
      <c r="G3096" s="95">
        <v>6722.3</v>
      </c>
    </row>
    <row r="3097" spans="1:7">
      <c r="A3097" s="56" t="s">
        <v>905</v>
      </c>
      <c r="B3097" s="33" t="s">
        <v>54</v>
      </c>
      <c r="C3097" s="33" t="s">
        <v>35</v>
      </c>
      <c r="D3097" s="36" t="s">
        <v>61</v>
      </c>
      <c r="E3097" s="93">
        <v>46768</v>
      </c>
      <c r="F3097" s="95">
        <v>6722.3</v>
      </c>
      <c r="G3097" s="95">
        <v>6722.3</v>
      </c>
    </row>
    <row r="3098" spans="1:7">
      <c r="A3098" s="56" t="s">
        <v>905</v>
      </c>
      <c r="B3098" s="33" t="s">
        <v>54</v>
      </c>
      <c r="C3098" s="33" t="s">
        <v>35</v>
      </c>
      <c r="D3098" s="36" t="s">
        <v>61</v>
      </c>
      <c r="E3098" s="93">
        <v>46950</v>
      </c>
      <c r="F3098" s="95">
        <v>6722.3</v>
      </c>
      <c r="G3098" s="95">
        <v>6722.3</v>
      </c>
    </row>
    <row r="3099" spans="1:7">
      <c r="A3099" s="56" t="s">
        <v>905</v>
      </c>
      <c r="B3099" s="33" t="s">
        <v>54</v>
      </c>
      <c r="C3099" s="33" t="s">
        <v>35</v>
      </c>
      <c r="D3099" s="36" t="s">
        <v>61</v>
      </c>
      <c r="E3099" s="93">
        <v>47134</v>
      </c>
      <c r="F3099" s="95">
        <v>6722.3</v>
      </c>
      <c r="G3099" s="95">
        <v>6722.3</v>
      </c>
    </row>
    <row r="3100" spans="1:7">
      <c r="A3100" s="56" t="s">
        <v>905</v>
      </c>
      <c r="B3100" s="33" t="s">
        <v>54</v>
      </c>
      <c r="C3100" s="33" t="s">
        <v>35</v>
      </c>
      <c r="D3100" s="36" t="s">
        <v>61</v>
      </c>
      <c r="E3100" s="93">
        <v>47315</v>
      </c>
      <c r="F3100" s="95">
        <v>6722.3</v>
      </c>
      <c r="G3100" s="95">
        <v>6722.3</v>
      </c>
    </row>
    <row r="3101" spans="1:7">
      <c r="A3101" s="56" t="s">
        <v>905</v>
      </c>
      <c r="B3101" s="33" t="s">
        <v>54</v>
      </c>
      <c r="C3101" s="33" t="s">
        <v>35</v>
      </c>
      <c r="D3101" s="36" t="s">
        <v>61</v>
      </c>
      <c r="E3101" s="93">
        <v>47499</v>
      </c>
      <c r="F3101" s="95">
        <v>6722.3</v>
      </c>
      <c r="G3101" s="95">
        <v>6722.3</v>
      </c>
    </row>
    <row r="3102" spans="1:7">
      <c r="A3102" s="56" t="s">
        <v>905</v>
      </c>
      <c r="B3102" s="33" t="s">
        <v>54</v>
      </c>
      <c r="C3102" s="33" t="s">
        <v>35</v>
      </c>
      <c r="D3102" s="36" t="s">
        <v>61</v>
      </c>
      <c r="E3102" s="93">
        <v>47680</v>
      </c>
      <c r="F3102" s="95">
        <v>6722.3</v>
      </c>
      <c r="G3102" s="95">
        <v>6722.3</v>
      </c>
    </row>
    <row r="3103" spans="1:7">
      <c r="A3103" s="56" t="s">
        <v>905</v>
      </c>
      <c r="B3103" s="33" t="s">
        <v>54</v>
      </c>
      <c r="C3103" s="33" t="s">
        <v>35</v>
      </c>
      <c r="D3103" s="36" t="s">
        <v>61</v>
      </c>
      <c r="E3103" s="93">
        <v>47864</v>
      </c>
      <c r="F3103" s="95">
        <v>6722.3</v>
      </c>
      <c r="G3103" s="95">
        <v>6722.3</v>
      </c>
    </row>
    <row r="3104" spans="1:7">
      <c r="A3104" s="56" t="s">
        <v>905</v>
      </c>
      <c r="B3104" s="33" t="s">
        <v>54</v>
      </c>
      <c r="C3104" s="33" t="s">
        <v>35</v>
      </c>
      <c r="D3104" s="36" t="s">
        <v>61</v>
      </c>
      <c r="E3104" s="93">
        <v>48045</v>
      </c>
      <c r="F3104" s="95">
        <v>6722.3</v>
      </c>
      <c r="G3104" s="95">
        <v>6722.3</v>
      </c>
    </row>
    <row r="3105" spans="1:7">
      <c r="A3105" s="56" t="s">
        <v>905</v>
      </c>
      <c r="B3105" s="33" t="s">
        <v>54</v>
      </c>
      <c r="C3105" s="33" t="s">
        <v>35</v>
      </c>
      <c r="D3105" s="36" t="s">
        <v>61</v>
      </c>
      <c r="E3105" s="93">
        <v>48229</v>
      </c>
      <c r="F3105" s="95">
        <v>6722.3</v>
      </c>
      <c r="G3105" s="95">
        <v>6722.3</v>
      </c>
    </row>
    <row r="3106" spans="1:7">
      <c r="A3106" s="56" t="s">
        <v>905</v>
      </c>
      <c r="B3106" s="33" t="s">
        <v>54</v>
      </c>
      <c r="C3106" s="33" t="s">
        <v>35</v>
      </c>
      <c r="D3106" s="36" t="s">
        <v>61</v>
      </c>
      <c r="E3106" s="93">
        <v>48411</v>
      </c>
      <c r="F3106" s="95">
        <v>6722.3</v>
      </c>
      <c r="G3106" s="95">
        <v>266722.3</v>
      </c>
    </row>
    <row r="3107" spans="1:7">
      <c r="A3107" s="107" t="s">
        <v>905</v>
      </c>
      <c r="B3107" s="117" t="s">
        <v>54</v>
      </c>
      <c r="C3107" s="117" t="s">
        <v>35</v>
      </c>
      <c r="D3107" s="109" t="s">
        <v>61</v>
      </c>
      <c r="E3107" s="110">
        <v>46219</v>
      </c>
      <c r="F3107" s="115">
        <v>62956.924999999996</v>
      </c>
      <c r="G3107" s="115">
        <v>62956.924999999996</v>
      </c>
    </row>
    <row r="3108" spans="1:7">
      <c r="A3108" s="56" t="s">
        <v>905</v>
      </c>
      <c r="B3108" s="33" t="s">
        <v>54</v>
      </c>
      <c r="C3108" s="33" t="s">
        <v>35</v>
      </c>
      <c r="D3108" s="36" t="s">
        <v>61</v>
      </c>
      <c r="E3108" s="93">
        <v>46403</v>
      </c>
      <c r="F3108" s="95">
        <v>62956.924999999996</v>
      </c>
      <c r="G3108" s="95">
        <v>62956.924999999996</v>
      </c>
    </row>
    <row r="3109" spans="1:7">
      <c r="A3109" s="56" t="s">
        <v>905</v>
      </c>
      <c r="B3109" s="33" t="s">
        <v>54</v>
      </c>
      <c r="C3109" s="33" t="s">
        <v>35</v>
      </c>
      <c r="D3109" s="36" t="s">
        <v>61</v>
      </c>
      <c r="E3109" s="93">
        <v>46584</v>
      </c>
      <c r="F3109" s="95">
        <v>62956.924999999996</v>
      </c>
      <c r="G3109" s="95">
        <v>62956.924999999996</v>
      </c>
    </row>
    <row r="3110" spans="1:7">
      <c r="A3110" s="56" t="s">
        <v>905</v>
      </c>
      <c r="B3110" s="33" t="s">
        <v>54</v>
      </c>
      <c r="C3110" s="33" t="s">
        <v>35</v>
      </c>
      <c r="D3110" s="36" t="s">
        <v>61</v>
      </c>
      <c r="E3110" s="93">
        <v>46768</v>
      </c>
      <c r="F3110" s="95">
        <v>62956.924999999996</v>
      </c>
      <c r="G3110" s="95">
        <v>62956.924999999996</v>
      </c>
    </row>
    <row r="3111" spans="1:7">
      <c r="A3111" s="56" t="s">
        <v>905</v>
      </c>
      <c r="B3111" s="33" t="s">
        <v>54</v>
      </c>
      <c r="C3111" s="33" t="s">
        <v>35</v>
      </c>
      <c r="D3111" s="36" t="s">
        <v>61</v>
      </c>
      <c r="E3111" s="93">
        <v>46950</v>
      </c>
      <c r="F3111" s="95">
        <v>62956.924999999996</v>
      </c>
      <c r="G3111" s="95">
        <v>62956.924999999996</v>
      </c>
    </row>
    <row r="3112" spans="1:7">
      <c r="A3112" s="56" t="s">
        <v>905</v>
      </c>
      <c r="B3112" s="33" t="s">
        <v>54</v>
      </c>
      <c r="C3112" s="33" t="s">
        <v>35</v>
      </c>
      <c r="D3112" s="36" t="s">
        <v>61</v>
      </c>
      <c r="E3112" s="93">
        <v>47134</v>
      </c>
      <c r="F3112" s="95">
        <v>62956.924999999996</v>
      </c>
      <c r="G3112" s="95">
        <v>62956.924999999996</v>
      </c>
    </row>
    <row r="3113" spans="1:7">
      <c r="A3113" s="56" t="s">
        <v>905</v>
      </c>
      <c r="B3113" s="33" t="s">
        <v>54</v>
      </c>
      <c r="C3113" s="33" t="s">
        <v>35</v>
      </c>
      <c r="D3113" s="36" t="s">
        <v>61</v>
      </c>
      <c r="E3113" s="93">
        <v>47315</v>
      </c>
      <c r="F3113" s="95">
        <v>62956.924999999996</v>
      </c>
      <c r="G3113" s="95">
        <v>62956.924999999996</v>
      </c>
    </row>
    <row r="3114" spans="1:7">
      <c r="A3114" s="56" t="s">
        <v>905</v>
      </c>
      <c r="B3114" s="33" t="s">
        <v>54</v>
      </c>
      <c r="C3114" s="33" t="s">
        <v>35</v>
      </c>
      <c r="D3114" s="36" t="s">
        <v>61</v>
      </c>
      <c r="E3114" s="93">
        <v>47499</v>
      </c>
      <c r="F3114" s="95">
        <v>62956.924999999996</v>
      </c>
      <c r="G3114" s="95">
        <v>62956.924999999996</v>
      </c>
    </row>
    <row r="3115" spans="1:7">
      <c r="A3115" s="56" t="s">
        <v>905</v>
      </c>
      <c r="B3115" s="33" t="s">
        <v>54</v>
      </c>
      <c r="C3115" s="33" t="s">
        <v>35</v>
      </c>
      <c r="D3115" s="36" t="s">
        <v>61</v>
      </c>
      <c r="E3115" s="93">
        <v>47680</v>
      </c>
      <c r="F3115" s="95">
        <v>62956.924999999996</v>
      </c>
      <c r="G3115" s="95">
        <v>62956.924999999996</v>
      </c>
    </row>
    <row r="3116" spans="1:7">
      <c r="A3116" s="56" t="s">
        <v>905</v>
      </c>
      <c r="B3116" s="33" t="s">
        <v>54</v>
      </c>
      <c r="C3116" s="33" t="s">
        <v>35</v>
      </c>
      <c r="D3116" s="36" t="s">
        <v>61</v>
      </c>
      <c r="E3116" s="93">
        <v>47864</v>
      </c>
      <c r="F3116" s="95">
        <v>62956.924999999996</v>
      </c>
      <c r="G3116" s="95">
        <v>62956.924999999996</v>
      </c>
    </row>
    <row r="3117" spans="1:7">
      <c r="A3117" s="56" t="s">
        <v>905</v>
      </c>
      <c r="B3117" s="33" t="s">
        <v>54</v>
      </c>
      <c r="C3117" s="33" t="s">
        <v>35</v>
      </c>
      <c r="D3117" s="36" t="s">
        <v>61</v>
      </c>
      <c r="E3117" s="93">
        <v>48045</v>
      </c>
      <c r="F3117" s="95">
        <v>62956.924999999996</v>
      </c>
      <c r="G3117" s="95">
        <v>62956.924999999996</v>
      </c>
    </row>
    <row r="3118" spans="1:7">
      <c r="A3118" s="56" t="s">
        <v>905</v>
      </c>
      <c r="B3118" s="33" t="s">
        <v>54</v>
      </c>
      <c r="C3118" s="33" t="s">
        <v>35</v>
      </c>
      <c r="D3118" s="36" t="s">
        <v>61</v>
      </c>
      <c r="E3118" s="93">
        <v>48229</v>
      </c>
      <c r="F3118" s="95">
        <v>62956.924999999996</v>
      </c>
      <c r="G3118" s="95">
        <v>62956.924999999996</v>
      </c>
    </row>
    <row r="3119" spans="1:7">
      <c r="A3119" s="56" t="s">
        <v>905</v>
      </c>
      <c r="B3119" s="33" t="s">
        <v>54</v>
      </c>
      <c r="C3119" s="33" t="s">
        <v>35</v>
      </c>
      <c r="D3119" s="36" t="s">
        <v>61</v>
      </c>
      <c r="E3119" s="93">
        <v>48411</v>
      </c>
      <c r="F3119" s="95">
        <v>62956.924999999996</v>
      </c>
      <c r="G3119" s="95">
        <v>2497956.9249999998</v>
      </c>
    </row>
    <row r="3120" spans="1:7">
      <c r="A3120" s="107" t="s">
        <v>906</v>
      </c>
      <c r="B3120" s="117" t="s">
        <v>54</v>
      </c>
      <c r="C3120" s="117" t="s">
        <v>35</v>
      </c>
      <c r="D3120" s="109" t="s">
        <v>338</v>
      </c>
      <c r="E3120" s="110">
        <v>46212</v>
      </c>
      <c r="F3120" s="115">
        <v>73748</v>
      </c>
      <c r="G3120" s="115">
        <v>73748</v>
      </c>
    </row>
    <row r="3121" spans="1:7">
      <c r="A3121" s="33" t="s">
        <v>680</v>
      </c>
      <c r="B3121" s="33" t="s">
        <v>54</v>
      </c>
      <c r="C3121" s="48" t="s">
        <v>67</v>
      </c>
      <c r="D3121" s="33" t="s">
        <v>338</v>
      </c>
      <c r="E3121" s="93">
        <v>46396</v>
      </c>
      <c r="F3121" s="116">
        <v>73748</v>
      </c>
      <c r="G3121" s="116">
        <v>73748</v>
      </c>
    </row>
    <row r="3122" spans="1:7">
      <c r="A3122" s="33" t="s">
        <v>680</v>
      </c>
      <c r="B3122" s="33" t="s">
        <v>54</v>
      </c>
      <c r="C3122" s="48" t="s">
        <v>67</v>
      </c>
      <c r="D3122" s="33" t="s">
        <v>338</v>
      </c>
      <c r="E3122" s="93">
        <v>46587</v>
      </c>
      <c r="F3122" s="116">
        <v>73748</v>
      </c>
      <c r="G3122" s="116">
        <v>73748</v>
      </c>
    </row>
    <row r="3123" spans="1:7">
      <c r="A3123" s="33" t="s">
        <v>680</v>
      </c>
      <c r="B3123" s="33" t="s">
        <v>54</v>
      </c>
      <c r="C3123" s="48" t="s">
        <v>67</v>
      </c>
      <c r="D3123" s="33" t="s">
        <v>338</v>
      </c>
      <c r="E3123" s="93">
        <v>46761</v>
      </c>
      <c r="F3123" s="116">
        <v>73748</v>
      </c>
      <c r="G3123" s="116">
        <v>73748</v>
      </c>
    </row>
    <row r="3124" spans="1:7">
      <c r="A3124" s="33" t="s">
        <v>680</v>
      </c>
      <c r="B3124" s="33" t="s">
        <v>54</v>
      </c>
      <c r="C3124" s="48" t="s">
        <v>67</v>
      </c>
      <c r="D3124" s="33" t="s">
        <v>338</v>
      </c>
      <c r="E3124" s="93">
        <v>46953</v>
      </c>
      <c r="F3124" s="116">
        <v>73748</v>
      </c>
      <c r="G3124" s="116">
        <v>73748</v>
      </c>
    </row>
    <row r="3125" spans="1:7">
      <c r="A3125" s="33" t="s">
        <v>680</v>
      </c>
      <c r="B3125" s="33" t="s">
        <v>54</v>
      </c>
      <c r="C3125" s="48" t="s">
        <v>67</v>
      </c>
      <c r="D3125" s="33" t="s">
        <v>338</v>
      </c>
      <c r="E3125" s="93">
        <v>47127</v>
      </c>
      <c r="F3125" s="116">
        <v>73748</v>
      </c>
      <c r="G3125" s="116">
        <v>73748</v>
      </c>
    </row>
    <row r="3126" spans="1:7">
      <c r="A3126" s="33" t="s">
        <v>680</v>
      </c>
      <c r="B3126" s="33" t="s">
        <v>54</v>
      </c>
      <c r="C3126" s="48" t="s">
        <v>67</v>
      </c>
      <c r="D3126" s="33" t="s">
        <v>338</v>
      </c>
      <c r="E3126" s="93">
        <v>47318</v>
      </c>
      <c r="F3126" s="116">
        <v>73748</v>
      </c>
      <c r="G3126" s="116">
        <v>73748</v>
      </c>
    </row>
    <row r="3127" spans="1:7">
      <c r="A3127" s="33" t="s">
        <v>680</v>
      </c>
      <c r="B3127" s="33" t="s">
        <v>54</v>
      </c>
      <c r="C3127" s="48" t="s">
        <v>67</v>
      </c>
      <c r="D3127" s="33" t="s">
        <v>338</v>
      </c>
      <c r="E3127" s="93">
        <v>47492</v>
      </c>
      <c r="F3127" s="116">
        <v>73748</v>
      </c>
      <c r="G3127" s="116">
        <v>73748</v>
      </c>
    </row>
    <row r="3128" spans="1:7">
      <c r="A3128" s="33" t="s">
        <v>680</v>
      </c>
      <c r="B3128" s="33" t="s">
        <v>54</v>
      </c>
      <c r="C3128" s="48" t="s">
        <v>67</v>
      </c>
      <c r="D3128" s="33" t="s">
        <v>338</v>
      </c>
      <c r="E3128" s="93">
        <v>47683</v>
      </c>
      <c r="F3128" s="116">
        <v>73748</v>
      </c>
      <c r="G3128" s="116">
        <v>73748</v>
      </c>
    </row>
    <row r="3129" spans="1:7">
      <c r="A3129" s="33" t="s">
        <v>680</v>
      </c>
      <c r="B3129" s="33" t="s">
        <v>54</v>
      </c>
      <c r="C3129" s="48" t="s">
        <v>67</v>
      </c>
      <c r="D3129" s="33" t="s">
        <v>338</v>
      </c>
      <c r="E3129" s="93">
        <v>47857</v>
      </c>
      <c r="F3129" s="116">
        <v>73748</v>
      </c>
      <c r="G3129" s="116">
        <v>73748</v>
      </c>
    </row>
    <row r="3130" spans="1:7">
      <c r="A3130" s="33" t="s">
        <v>680</v>
      </c>
      <c r="B3130" s="33" t="s">
        <v>54</v>
      </c>
      <c r="C3130" s="48" t="s">
        <v>67</v>
      </c>
      <c r="D3130" s="33" t="s">
        <v>338</v>
      </c>
      <c r="E3130" s="93">
        <v>48048</v>
      </c>
      <c r="F3130" s="116">
        <v>73748</v>
      </c>
      <c r="G3130" s="116">
        <v>73748</v>
      </c>
    </row>
    <row r="3131" spans="1:7">
      <c r="A3131" s="33" t="s">
        <v>680</v>
      </c>
      <c r="B3131" s="33" t="s">
        <v>54</v>
      </c>
      <c r="C3131" s="48" t="s">
        <v>67</v>
      </c>
      <c r="D3131" s="33" t="s">
        <v>338</v>
      </c>
      <c r="E3131" s="93">
        <v>48222</v>
      </c>
      <c r="F3131" s="116">
        <v>73748</v>
      </c>
      <c r="G3131" s="116">
        <v>73748</v>
      </c>
    </row>
    <row r="3132" spans="1:7">
      <c r="A3132" s="33" t="s">
        <v>680</v>
      </c>
      <c r="B3132" s="33" t="s">
        <v>54</v>
      </c>
      <c r="C3132" s="48" t="s">
        <v>67</v>
      </c>
      <c r="D3132" s="33" t="s">
        <v>338</v>
      </c>
      <c r="E3132" s="57">
        <v>48414</v>
      </c>
      <c r="F3132" s="57">
        <v>73748</v>
      </c>
      <c r="G3132" s="57">
        <v>2937748</v>
      </c>
    </row>
    <row r="3133" spans="1:7">
      <c r="A3133" s="107" t="s">
        <v>907</v>
      </c>
      <c r="B3133" s="117" t="s">
        <v>54</v>
      </c>
      <c r="C3133" s="117" t="s">
        <v>60</v>
      </c>
      <c r="D3133" s="109" t="s">
        <v>714</v>
      </c>
      <c r="E3133" s="57">
        <v>46177</v>
      </c>
      <c r="F3133" s="57">
        <v>66750</v>
      </c>
      <c r="G3133" s="57">
        <v>66750</v>
      </c>
    </row>
    <row r="3134" spans="1:7">
      <c r="A3134" s="56" t="s">
        <v>907</v>
      </c>
      <c r="B3134" s="33" t="s">
        <v>54</v>
      </c>
      <c r="C3134" s="33" t="s">
        <v>60</v>
      </c>
      <c r="D3134" s="36" t="s">
        <v>714</v>
      </c>
      <c r="E3134" s="57">
        <v>46360</v>
      </c>
      <c r="F3134" s="57">
        <v>66750</v>
      </c>
      <c r="G3134" s="57">
        <v>66750</v>
      </c>
    </row>
    <row r="3135" spans="1:7">
      <c r="A3135" s="56" t="s">
        <v>907</v>
      </c>
      <c r="B3135" s="33" t="s">
        <v>54</v>
      </c>
      <c r="C3135" s="33" t="s">
        <v>60</v>
      </c>
      <c r="D3135" s="36" t="s">
        <v>714</v>
      </c>
      <c r="E3135" s="57">
        <v>46542</v>
      </c>
      <c r="F3135" s="57">
        <v>66750</v>
      </c>
      <c r="G3135" s="57">
        <v>66750</v>
      </c>
    </row>
    <row r="3136" spans="1:7">
      <c r="A3136" s="56" t="s">
        <v>907</v>
      </c>
      <c r="B3136" s="33" t="s">
        <v>54</v>
      </c>
      <c r="C3136" s="33" t="s">
        <v>60</v>
      </c>
      <c r="D3136" s="36" t="s">
        <v>714</v>
      </c>
      <c r="E3136" s="57">
        <v>46725</v>
      </c>
      <c r="F3136" s="57">
        <v>66750</v>
      </c>
      <c r="G3136" s="57">
        <v>66750</v>
      </c>
    </row>
    <row r="3137" spans="1:7">
      <c r="A3137" s="56" t="s">
        <v>907</v>
      </c>
      <c r="B3137" s="33" t="s">
        <v>54</v>
      </c>
      <c r="C3137" s="33" t="s">
        <v>60</v>
      </c>
      <c r="D3137" s="36" t="s">
        <v>714</v>
      </c>
      <c r="E3137" s="57">
        <v>46908</v>
      </c>
      <c r="F3137" s="57">
        <v>66750</v>
      </c>
      <c r="G3137" s="57">
        <v>66750</v>
      </c>
    </row>
    <row r="3138" spans="1:7">
      <c r="A3138" s="56" t="s">
        <v>907</v>
      </c>
      <c r="B3138" s="33" t="s">
        <v>54</v>
      </c>
      <c r="C3138" s="33" t="s">
        <v>60</v>
      </c>
      <c r="D3138" s="36" t="s">
        <v>714</v>
      </c>
      <c r="E3138" s="57">
        <v>47091</v>
      </c>
      <c r="F3138" s="57">
        <v>66750</v>
      </c>
      <c r="G3138" s="57">
        <v>66750</v>
      </c>
    </row>
    <row r="3139" spans="1:7">
      <c r="A3139" s="56" t="s">
        <v>907</v>
      </c>
      <c r="B3139" s="33" t="s">
        <v>54</v>
      </c>
      <c r="C3139" s="33" t="s">
        <v>60</v>
      </c>
      <c r="D3139" s="36" t="s">
        <v>714</v>
      </c>
      <c r="E3139" s="57">
        <v>47273</v>
      </c>
      <c r="F3139" s="57">
        <v>66750</v>
      </c>
      <c r="G3139" s="57">
        <v>66750</v>
      </c>
    </row>
    <row r="3140" spans="1:7">
      <c r="A3140" s="56" t="s">
        <v>907</v>
      </c>
      <c r="B3140" s="33" t="s">
        <v>54</v>
      </c>
      <c r="C3140" s="33" t="s">
        <v>60</v>
      </c>
      <c r="D3140" s="36" t="s">
        <v>714</v>
      </c>
      <c r="E3140" s="57">
        <v>47456</v>
      </c>
      <c r="F3140" s="57">
        <v>66750</v>
      </c>
      <c r="G3140" s="57">
        <v>66750</v>
      </c>
    </row>
    <row r="3141" spans="1:7">
      <c r="A3141" s="56" t="s">
        <v>907</v>
      </c>
      <c r="B3141" s="33" t="s">
        <v>54</v>
      </c>
      <c r="C3141" s="33" t="s">
        <v>60</v>
      </c>
      <c r="D3141" s="36" t="s">
        <v>714</v>
      </c>
      <c r="E3141" s="57">
        <v>47638</v>
      </c>
      <c r="F3141" s="57">
        <v>66750</v>
      </c>
      <c r="G3141" s="57">
        <v>66750</v>
      </c>
    </row>
    <row r="3142" spans="1:7">
      <c r="A3142" s="56" t="s">
        <v>907</v>
      </c>
      <c r="B3142" s="33" t="s">
        <v>54</v>
      </c>
      <c r="C3142" s="33" t="s">
        <v>60</v>
      </c>
      <c r="D3142" s="36" t="s">
        <v>714</v>
      </c>
      <c r="E3142" s="57">
        <v>47821</v>
      </c>
      <c r="F3142" s="57">
        <v>66750</v>
      </c>
      <c r="G3142" s="57">
        <v>66750</v>
      </c>
    </row>
    <row r="3143" spans="1:7">
      <c r="A3143" s="56" t="s">
        <v>907</v>
      </c>
      <c r="B3143" s="33" t="s">
        <v>54</v>
      </c>
      <c r="C3143" s="33" t="s">
        <v>60</v>
      </c>
      <c r="D3143" s="36" t="s">
        <v>714</v>
      </c>
      <c r="E3143" s="57">
        <v>48003</v>
      </c>
      <c r="F3143" s="57">
        <v>66750</v>
      </c>
      <c r="G3143" s="57">
        <v>66750</v>
      </c>
    </row>
    <row r="3144" spans="1:7">
      <c r="A3144" s="56" t="s">
        <v>907</v>
      </c>
      <c r="B3144" s="33" t="s">
        <v>54</v>
      </c>
      <c r="C3144" s="33" t="s">
        <v>60</v>
      </c>
      <c r="D3144" s="36" t="s">
        <v>714</v>
      </c>
      <c r="E3144" s="57">
        <v>48186</v>
      </c>
      <c r="F3144" s="57">
        <v>66750</v>
      </c>
      <c r="G3144" s="57">
        <v>66750</v>
      </c>
    </row>
    <row r="3145" spans="1:7">
      <c r="A3145" s="56" t="s">
        <v>907</v>
      </c>
      <c r="B3145" s="33" t="s">
        <v>54</v>
      </c>
      <c r="C3145" s="33" t="s">
        <v>60</v>
      </c>
      <c r="D3145" s="36" t="s">
        <v>714</v>
      </c>
      <c r="E3145" s="57">
        <v>48369</v>
      </c>
      <c r="F3145" s="57">
        <v>66750</v>
      </c>
      <c r="G3145" s="57">
        <v>66750</v>
      </c>
    </row>
    <row r="3146" spans="1:7">
      <c r="A3146" s="56" t="s">
        <v>907</v>
      </c>
      <c r="B3146" s="33" t="s">
        <v>54</v>
      </c>
      <c r="C3146" s="33" t="s">
        <v>60</v>
      </c>
      <c r="D3146" s="36" t="s">
        <v>714</v>
      </c>
      <c r="E3146" s="57">
        <v>48552</v>
      </c>
      <c r="F3146" s="57">
        <v>66750</v>
      </c>
      <c r="G3146" s="57">
        <v>3066750</v>
      </c>
    </row>
    <row r="3147" spans="1:7">
      <c r="A3147" s="107" t="s">
        <v>908</v>
      </c>
      <c r="B3147" s="117" t="s">
        <v>77</v>
      </c>
      <c r="C3147" s="117" t="s">
        <v>60</v>
      </c>
      <c r="D3147" s="109" t="s">
        <v>338</v>
      </c>
      <c r="E3147" s="57">
        <v>46249</v>
      </c>
      <c r="F3147" s="57">
        <v>43940.625</v>
      </c>
      <c r="G3147" s="57">
        <v>43940.625</v>
      </c>
    </row>
    <row r="3148" spans="1:7">
      <c r="A3148" s="17" t="s">
        <v>726</v>
      </c>
      <c r="B3148" s="17" t="s">
        <v>77</v>
      </c>
      <c r="C3148" s="17" t="s">
        <v>60</v>
      </c>
      <c r="D3148" s="18" t="s">
        <v>338</v>
      </c>
      <c r="E3148" s="57">
        <v>46434</v>
      </c>
      <c r="F3148" s="57">
        <v>43940.625</v>
      </c>
      <c r="G3148" s="57">
        <v>43940.625</v>
      </c>
    </row>
    <row r="3149" spans="1:7">
      <c r="A3149" s="17" t="s">
        <v>909</v>
      </c>
      <c r="B3149" s="17" t="s">
        <v>77</v>
      </c>
      <c r="C3149" s="17" t="s">
        <v>60</v>
      </c>
      <c r="D3149" s="18" t="s">
        <v>338</v>
      </c>
      <c r="E3149" s="57">
        <v>46614</v>
      </c>
      <c r="F3149" s="57">
        <v>43940.625</v>
      </c>
      <c r="G3149" s="57">
        <v>43940.625</v>
      </c>
    </row>
    <row r="3150" spans="1:7">
      <c r="A3150" s="17" t="s">
        <v>909</v>
      </c>
      <c r="B3150" s="17" t="s">
        <v>77</v>
      </c>
      <c r="C3150" s="17" t="s">
        <v>60</v>
      </c>
      <c r="D3150" s="18" t="s">
        <v>338</v>
      </c>
      <c r="E3150" s="57">
        <v>46799</v>
      </c>
      <c r="F3150" s="57">
        <v>43940.625</v>
      </c>
      <c r="G3150" s="57">
        <v>43940.625</v>
      </c>
    </row>
    <row r="3151" spans="1:7">
      <c r="A3151" s="17" t="s">
        <v>909</v>
      </c>
      <c r="B3151" s="17" t="s">
        <v>77</v>
      </c>
      <c r="C3151" s="17" t="s">
        <v>60</v>
      </c>
      <c r="D3151" s="18" t="s">
        <v>338</v>
      </c>
      <c r="E3151" s="57">
        <v>46980</v>
      </c>
      <c r="F3151" s="57">
        <v>43940.625</v>
      </c>
      <c r="G3151" s="57">
        <v>43940.625</v>
      </c>
    </row>
    <row r="3152" spans="1:7">
      <c r="A3152" s="17" t="s">
        <v>909</v>
      </c>
      <c r="B3152" s="17" t="s">
        <v>77</v>
      </c>
      <c r="C3152" s="17" t="s">
        <v>60</v>
      </c>
      <c r="D3152" s="18" t="s">
        <v>338</v>
      </c>
      <c r="E3152" s="57">
        <v>47165</v>
      </c>
      <c r="F3152" s="57">
        <v>43940.625</v>
      </c>
      <c r="G3152" s="57">
        <v>43940.625</v>
      </c>
    </row>
    <row r="3153" spans="1:7">
      <c r="A3153" s="17" t="s">
        <v>909</v>
      </c>
      <c r="B3153" s="17" t="s">
        <v>77</v>
      </c>
      <c r="C3153" s="17" t="s">
        <v>60</v>
      </c>
      <c r="D3153" s="18" t="s">
        <v>338</v>
      </c>
      <c r="E3153" s="57">
        <v>47345</v>
      </c>
      <c r="F3153" s="57">
        <v>43940.625</v>
      </c>
      <c r="G3153" s="57">
        <v>43940.625</v>
      </c>
    </row>
    <row r="3154" spans="1:7">
      <c r="A3154" s="17" t="s">
        <v>909</v>
      </c>
      <c r="B3154" s="17" t="s">
        <v>77</v>
      </c>
      <c r="C3154" s="17" t="s">
        <v>60</v>
      </c>
      <c r="D3154" s="18" t="s">
        <v>338</v>
      </c>
      <c r="E3154" s="57">
        <v>47530</v>
      </c>
      <c r="F3154" s="57">
        <v>43940.625</v>
      </c>
      <c r="G3154" s="57">
        <v>43940.625</v>
      </c>
    </row>
    <row r="3155" spans="1:7">
      <c r="A3155" s="17" t="s">
        <v>909</v>
      </c>
      <c r="B3155" s="17" t="s">
        <v>77</v>
      </c>
      <c r="C3155" s="17" t="s">
        <v>60</v>
      </c>
      <c r="D3155" s="18" t="s">
        <v>338</v>
      </c>
      <c r="E3155" s="57">
        <v>47710</v>
      </c>
      <c r="F3155" s="57">
        <v>43940.625</v>
      </c>
      <c r="G3155" s="57">
        <v>43940.625</v>
      </c>
    </row>
    <row r="3156" spans="1:7">
      <c r="A3156" s="17" t="s">
        <v>909</v>
      </c>
      <c r="B3156" s="17" t="s">
        <v>77</v>
      </c>
      <c r="C3156" s="17" t="s">
        <v>60</v>
      </c>
      <c r="D3156" s="18" t="s">
        <v>338</v>
      </c>
      <c r="E3156" s="57">
        <v>47895</v>
      </c>
      <c r="F3156" s="57">
        <v>43940.625</v>
      </c>
      <c r="G3156" s="57">
        <v>43940.625</v>
      </c>
    </row>
    <row r="3157" spans="1:7">
      <c r="A3157" s="17" t="s">
        <v>909</v>
      </c>
      <c r="B3157" s="17" t="s">
        <v>77</v>
      </c>
      <c r="C3157" s="17" t="s">
        <v>60</v>
      </c>
      <c r="D3157" s="18" t="s">
        <v>338</v>
      </c>
      <c r="E3157" s="57">
        <v>48075</v>
      </c>
      <c r="F3157" s="57">
        <v>43940.625</v>
      </c>
      <c r="G3157" s="57">
        <v>43940.625</v>
      </c>
    </row>
    <row r="3158" spans="1:7">
      <c r="A3158" s="17" t="s">
        <v>909</v>
      </c>
      <c r="B3158" s="17" t="s">
        <v>77</v>
      </c>
      <c r="C3158" s="17" t="s">
        <v>60</v>
      </c>
      <c r="D3158" s="18" t="s">
        <v>338</v>
      </c>
      <c r="E3158" s="57">
        <v>48260</v>
      </c>
      <c r="F3158" s="57">
        <v>43940.625</v>
      </c>
      <c r="G3158" s="57">
        <v>43940.625</v>
      </c>
    </row>
    <row r="3159" spans="1:7">
      <c r="A3159" s="17" t="s">
        <v>909</v>
      </c>
      <c r="B3159" s="17" t="s">
        <v>77</v>
      </c>
      <c r="C3159" s="17" t="s">
        <v>60</v>
      </c>
      <c r="D3159" s="18" t="s">
        <v>338</v>
      </c>
      <c r="E3159" s="57">
        <v>48441</v>
      </c>
      <c r="F3159" s="57">
        <v>43940.625</v>
      </c>
      <c r="G3159" s="57">
        <v>43940.625</v>
      </c>
    </row>
    <row r="3160" spans="1:7">
      <c r="A3160" s="17" t="s">
        <v>909</v>
      </c>
      <c r="B3160" s="17" t="s">
        <v>77</v>
      </c>
      <c r="C3160" s="17" t="s">
        <v>60</v>
      </c>
      <c r="D3160" s="18" t="s">
        <v>338</v>
      </c>
      <c r="E3160" s="57">
        <v>48625</v>
      </c>
      <c r="F3160" s="57">
        <v>43940.625</v>
      </c>
      <c r="G3160" s="57">
        <v>1678940.625</v>
      </c>
    </row>
    <row r="3161" spans="1:7">
      <c r="A3161" s="107" t="s">
        <v>504</v>
      </c>
      <c r="B3161" s="117" t="s">
        <v>77</v>
      </c>
      <c r="C3161" s="117" t="s">
        <v>35</v>
      </c>
      <c r="D3161" s="109" t="s">
        <v>61</v>
      </c>
      <c r="E3161" s="57">
        <v>45856</v>
      </c>
      <c r="F3161" s="57">
        <v>140250</v>
      </c>
      <c r="G3161" s="57">
        <v>140250</v>
      </c>
    </row>
    <row r="3162" spans="1:7">
      <c r="A3162" s="56" t="s">
        <v>504</v>
      </c>
      <c r="B3162" s="33" t="s">
        <v>77</v>
      </c>
      <c r="C3162" s="33" t="s">
        <v>35</v>
      </c>
      <c r="D3162" s="36" t="s">
        <v>61</v>
      </c>
      <c r="E3162" s="57">
        <v>46040</v>
      </c>
      <c r="F3162" s="57">
        <v>140250</v>
      </c>
      <c r="G3162" s="57">
        <v>140250</v>
      </c>
    </row>
    <row r="3163" spans="1:7">
      <c r="A3163" s="56" t="s">
        <v>504</v>
      </c>
      <c r="B3163" s="33" t="s">
        <v>77</v>
      </c>
      <c r="C3163" s="33" t="s">
        <v>35</v>
      </c>
      <c r="D3163" s="36" t="s">
        <v>61</v>
      </c>
      <c r="E3163" s="57">
        <v>46221</v>
      </c>
      <c r="F3163" s="57">
        <v>140250</v>
      </c>
      <c r="G3163" s="57">
        <v>140250</v>
      </c>
    </row>
    <row r="3164" spans="1:7">
      <c r="A3164" s="56" t="s">
        <v>504</v>
      </c>
      <c r="B3164" s="33" t="s">
        <v>77</v>
      </c>
      <c r="C3164" s="33" t="s">
        <v>35</v>
      </c>
      <c r="D3164" s="36" t="s">
        <v>61</v>
      </c>
      <c r="E3164" s="57">
        <v>46405</v>
      </c>
      <c r="F3164" s="57">
        <v>140250</v>
      </c>
      <c r="G3164" s="57">
        <v>140250</v>
      </c>
    </row>
    <row r="3165" spans="1:7">
      <c r="A3165" s="56" t="s">
        <v>504</v>
      </c>
      <c r="B3165" s="33" t="s">
        <v>77</v>
      </c>
      <c r="C3165" s="33" t="s">
        <v>35</v>
      </c>
      <c r="D3165" s="36" t="s">
        <v>61</v>
      </c>
      <c r="E3165" s="57">
        <v>46586</v>
      </c>
      <c r="F3165" s="57">
        <v>140250</v>
      </c>
      <c r="G3165" s="57">
        <v>140250</v>
      </c>
    </row>
    <row r="3166" spans="1:7">
      <c r="A3166" s="56" t="s">
        <v>504</v>
      </c>
      <c r="B3166" s="33" t="s">
        <v>77</v>
      </c>
      <c r="C3166" s="33" t="s">
        <v>35</v>
      </c>
      <c r="D3166" s="36" t="s">
        <v>61</v>
      </c>
      <c r="E3166" s="57">
        <v>46770</v>
      </c>
      <c r="F3166" s="57">
        <v>140250</v>
      </c>
      <c r="G3166" s="57">
        <v>140250</v>
      </c>
    </row>
    <row r="3167" spans="1:7">
      <c r="A3167" s="56" t="s">
        <v>504</v>
      </c>
      <c r="B3167" s="33" t="s">
        <v>77</v>
      </c>
      <c r="C3167" s="33" t="s">
        <v>35</v>
      </c>
      <c r="D3167" s="36" t="s">
        <v>61</v>
      </c>
      <c r="E3167" s="57">
        <v>46952</v>
      </c>
      <c r="F3167" s="57">
        <v>140250</v>
      </c>
      <c r="G3167" s="57">
        <v>140250</v>
      </c>
    </row>
    <row r="3168" spans="1:7">
      <c r="A3168" s="56" t="s">
        <v>504</v>
      </c>
      <c r="B3168" s="33" t="s">
        <v>77</v>
      </c>
      <c r="C3168" s="33" t="s">
        <v>35</v>
      </c>
      <c r="D3168" s="36" t="s">
        <v>61</v>
      </c>
      <c r="E3168" s="57">
        <v>47136</v>
      </c>
      <c r="F3168" s="57">
        <v>140250</v>
      </c>
      <c r="G3168" s="57">
        <v>140250</v>
      </c>
    </row>
    <row r="3169" spans="1:7">
      <c r="A3169" s="56" t="s">
        <v>504</v>
      </c>
      <c r="B3169" s="33" t="s">
        <v>77</v>
      </c>
      <c r="C3169" s="33" t="s">
        <v>35</v>
      </c>
      <c r="D3169" s="36" t="s">
        <v>61</v>
      </c>
      <c r="E3169" s="57">
        <v>47317</v>
      </c>
      <c r="F3169" s="57">
        <v>140250</v>
      </c>
      <c r="G3169" s="57">
        <v>140250</v>
      </c>
    </row>
    <row r="3170" spans="1:7">
      <c r="A3170" s="56" t="s">
        <v>504</v>
      </c>
      <c r="B3170" s="33" t="s">
        <v>77</v>
      </c>
      <c r="C3170" s="33" t="s">
        <v>35</v>
      </c>
      <c r="D3170" s="36" t="s">
        <v>61</v>
      </c>
      <c r="E3170" s="57">
        <v>47501</v>
      </c>
      <c r="F3170" s="57">
        <v>140250</v>
      </c>
      <c r="G3170" s="57">
        <v>140250</v>
      </c>
    </row>
    <row r="3171" spans="1:7">
      <c r="A3171" s="56" t="s">
        <v>504</v>
      </c>
      <c r="B3171" s="33" t="s">
        <v>77</v>
      </c>
      <c r="C3171" s="33" t="s">
        <v>35</v>
      </c>
      <c r="D3171" s="36" t="s">
        <v>61</v>
      </c>
      <c r="E3171" s="57">
        <v>47682</v>
      </c>
      <c r="F3171" s="57">
        <v>140250</v>
      </c>
      <c r="G3171" s="57">
        <v>140250</v>
      </c>
    </row>
    <row r="3172" spans="1:7">
      <c r="A3172" s="56" t="s">
        <v>504</v>
      </c>
      <c r="B3172" s="33" t="s">
        <v>77</v>
      </c>
      <c r="C3172" s="33" t="s">
        <v>35</v>
      </c>
      <c r="D3172" s="36" t="s">
        <v>61</v>
      </c>
      <c r="E3172" s="57">
        <v>47866</v>
      </c>
      <c r="F3172" s="57">
        <v>140250</v>
      </c>
      <c r="G3172" s="57">
        <v>3440250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Database_Bonds</vt:lpstr>
      <vt:lpstr>Database_Payback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黃建樺</dc:creator>
  <cp:lastModifiedBy>黃建樺</cp:lastModifiedBy>
  <dcterms:created xsi:type="dcterms:W3CDTF">2026-04-07T13:53:58Z</dcterms:created>
  <dcterms:modified xsi:type="dcterms:W3CDTF">2026-04-07T15:47:06Z</dcterms:modified>
</cp:coreProperties>
</file>