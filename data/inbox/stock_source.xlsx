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Copy_Learning\AI_OepnClaw_Codex_Project\Dashboard Dev\"/>
    </mc:Choice>
  </mc:AlternateContent>
  <xr:revisionPtr revIDLastSave="0" documentId="13_ncr:1_{D0D7F1FD-CF37-4FB7-813F-8A852007F239}" xr6:coauthVersionLast="47" xr6:coauthVersionMax="47" xr10:uidLastSave="{00000000-0000-0000-0000-000000000000}"/>
  <bookViews>
    <workbookView xWindow="-98" yWindow="-98" windowWidth="21795" windowHeight="12975" xr2:uid="{4A30CDCF-F2A1-4923-A89F-ECB27604A58C}"/>
  </bookViews>
  <sheets>
    <sheet name="Database_Stock" sheetId="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K16" i="2" s="1"/>
  <c r="L16" i="2" s="1"/>
  <c r="H16" i="2"/>
  <c r="I16" i="2" s="1"/>
  <c r="B16" i="2"/>
  <c r="J15" i="2"/>
  <c r="M15" i="2" s="1"/>
  <c r="I15" i="2"/>
  <c r="B15" i="2"/>
  <c r="J14" i="2"/>
  <c r="K14" i="2" s="1"/>
  <c r="L14" i="2" s="1"/>
  <c r="H14" i="2"/>
  <c r="G14" i="2"/>
  <c r="F14" i="2"/>
  <c r="E14" i="2"/>
  <c r="J13" i="2"/>
  <c r="K13" i="2" s="1"/>
  <c r="L13" i="2" s="1"/>
  <c r="H13" i="2"/>
  <c r="G13" i="2"/>
  <c r="F13" i="2"/>
  <c r="E13" i="2"/>
  <c r="I13" i="2" s="1"/>
  <c r="J12" i="2"/>
  <c r="K12" i="2" s="1"/>
  <c r="F12" i="2"/>
  <c r="H12" i="2" s="1"/>
  <c r="E12" i="2"/>
  <c r="J11" i="2"/>
  <c r="M11" i="2" s="1"/>
  <c r="I11" i="2"/>
  <c r="B11" i="2"/>
  <c r="J10" i="2"/>
  <c r="M10" i="2" s="1"/>
  <c r="I10" i="2"/>
  <c r="B10" i="2"/>
  <c r="J9" i="2"/>
  <c r="H9" i="2"/>
  <c r="G9" i="2"/>
  <c r="F9" i="2"/>
  <c r="E9" i="2"/>
  <c r="I9" i="2" s="1"/>
  <c r="M9" i="2" s="1"/>
  <c r="J8" i="2"/>
  <c r="K8" i="2" s="1"/>
  <c r="L8" i="2" s="1"/>
  <c r="H8" i="2"/>
  <c r="G8" i="2"/>
  <c r="F8" i="2"/>
  <c r="E8" i="2"/>
  <c r="J7" i="2"/>
  <c r="K7" i="2" s="1"/>
  <c r="L7" i="2" s="1"/>
  <c r="H7" i="2"/>
  <c r="I7" i="2" s="1"/>
  <c r="G7" i="2"/>
  <c r="F7" i="2"/>
  <c r="E7" i="2"/>
  <c r="J6" i="2"/>
  <c r="M6" i="2" s="1"/>
  <c r="I6" i="2"/>
  <c r="B6" i="2"/>
  <c r="J5" i="2"/>
  <c r="M5" i="2" s="1"/>
  <c r="I5" i="2"/>
  <c r="B5" i="2"/>
  <c r="J4" i="2"/>
  <c r="K4" i="2" s="1"/>
  <c r="L4" i="2" s="1"/>
  <c r="I4" i="2"/>
  <c r="B4" i="2"/>
  <c r="J3" i="2"/>
  <c r="K3" i="2" s="1"/>
  <c r="L3" i="2" s="1"/>
  <c r="H3" i="2"/>
  <c r="G3" i="2"/>
  <c r="F3" i="2"/>
  <c r="E3" i="2"/>
  <c r="B3" i="2"/>
  <c r="J2" i="2"/>
  <c r="E2" i="2"/>
  <c r="I2" i="2" s="1"/>
  <c r="M2" i="2" s="1"/>
  <c r="B2" i="2"/>
  <c r="K2" i="2" l="1"/>
  <c r="L2" i="2" s="1"/>
  <c r="M4" i="2"/>
  <c r="K6" i="2"/>
  <c r="L6" i="2" s="1"/>
  <c r="I8" i="2"/>
  <c r="M8" i="2" s="1"/>
  <c r="K11" i="2"/>
  <c r="L11" i="2" s="1"/>
  <c r="K9" i="2"/>
  <c r="L9" i="2" s="1"/>
  <c r="I14" i="2"/>
  <c r="M14" i="2" s="1"/>
  <c r="I12" i="2"/>
  <c r="M12" i="2" s="1"/>
  <c r="M16" i="2"/>
  <c r="M7" i="2"/>
  <c r="M13" i="2"/>
  <c r="L12" i="2"/>
  <c r="K5" i="2"/>
  <c r="L5" i="2" s="1"/>
  <c r="K10" i="2"/>
  <c r="L10" i="2" s="1"/>
  <c r="K15" i="2"/>
  <c r="L15" i="2" s="1"/>
  <c r="I3" i="2"/>
  <c r="M3" i="2" s="1"/>
</calcChain>
</file>

<file path=xl/sharedStrings.xml><?xml version="1.0" encoding="utf-8"?>
<sst xmlns="http://schemas.openxmlformats.org/spreadsheetml/2006/main" count="64" uniqueCount="37">
  <si>
    <t>股票代碼</t>
    <phoneticPr fontId="2" type="noConversion"/>
  </si>
  <si>
    <t>股票名稱</t>
    <phoneticPr fontId="2" type="noConversion"/>
  </si>
  <si>
    <t>股票中文名稱</t>
    <phoneticPr fontId="2" type="noConversion"/>
  </si>
  <si>
    <t>公司名</t>
    <phoneticPr fontId="2" type="noConversion"/>
  </si>
  <si>
    <t>成交股數</t>
    <phoneticPr fontId="6" type="noConversion"/>
  </si>
  <si>
    <t>成交金額</t>
    <phoneticPr fontId="6" type="noConversion"/>
  </si>
  <si>
    <t>手續費</t>
    <phoneticPr fontId="6" type="noConversion"/>
  </si>
  <si>
    <t>實際總成本</t>
    <phoneticPr fontId="6" type="noConversion"/>
  </si>
  <si>
    <t>平均持股單價</t>
    <phoneticPr fontId="6" type="noConversion"/>
  </si>
  <si>
    <t>股價</t>
    <phoneticPr fontId="6" type="noConversion"/>
  </si>
  <si>
    <t>市值估算</t>
    <phoneticPr fontId="6" type="noConversion"/>
  </si>
  <si>
    <t>未實現損益估算</t>
    <phoneticPr fontId="6" type="noConversion"/>
  </si>
  <si>
    <t>2146.JP</t>
    <phoneticPr fontId="2" type="noConversion"/>
  </si>
  <si>
    <t>UT集團</t>
  </si>
  <si>
    <t>GBM</t>
    <phoneticPr fontId="2" type="noConversion"/>
  </si>
  <si>
    <t>2503.JP</t>
    <phoneticPr fontId="2" type="noConversion"/>
  </si>
  <si>
    <t>麒麟</t>
  </si>
  <si>
    <t>HSB</t>
    <phoneticPr fontId="2" type="noConversion"/>
  </si>
  <si>
    <t>WTC</t>
    <phoneticPr fontId="2" type="noConversion"/>
  </si>
  <si>
    <t>2914.JP</t>
    <phoneticPr fontId="2" type="noConversion"/>
  </si>
  <si>
    <t>日本菸草</t>
  </si>
  <si>
    <t>6417.JP</t>
    <phoneticPr fontId="2" type="noConversion"/>
  </si>
  <si>
    <t>SNAKYO</t>
    <phoneticPr fontId="2" type="noConversion"/>
  </si>
  <si>
    <t xml:space="preserve"> 三共柏青哥</t>
    <phoneticPr fontId="2" type="noConversion"/>
  </si>
  <si>
    <t>8031.JP</t>
    <phoneticPr fontId="8" type="noConversion"/>
  </si>
  <si>
    <t>三井物產</t>
    <phoneticPr fontId="8" type="noConversion"/>
  </si>
  <si>
    <t>WTC</t>
    <phoneticPr fontId="8" type="noConversion"/>
  </si>
  <si>
    <t>GBM</t>
    <phoneticPr fontId="8" type="noConversion"/>
  </si>
  <si>
    <t>8601.JP</t>
    <phoneticPr fontId="2" type="noConversion"/>
  </si>
  <si>
    <t>Daiwa Securities Group</t>
    <phoneticPr fontId="2" type="noConversion"/>
  </si>
  <si>
    <t>大和證券</t>
    <phoneticPr fontId="2" type="noConversion"/>
  </si>
  <si>
    <t>8750.JP</t>
    <phoneticPr fontId="2" type="noConversion"/>
  </si>
  <si>
    <t xml:space="preserve">Daiichi Seimei Hoken Kabushiki Gaisha </t>
    <phoneticPr fontId="2" type="noConversion"/>
  </si>
  <si>
    <t>第一生命</t>
    <phoneticPr fontId="2" type="noConversion"/>
  </si>
  <si>
    <t>9432.JP</t>
    <phoneticPr fontId="2" type="noConversion"/>
  </si>
  <si>
    <t>日本電報電話</t>
    <phoneticPr fontId="2" type="noConversion"/>
  </si>
  <si>
    <t>損益(%)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</si>
</sst>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0.0%"/>
    <numFmt numFmtId="178" formatCode="#,##0.0;[Red]\-#,##0.0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color rgb="FFFF0000"/>
      <name val="微軟正黑體"/>
      <family val="2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177" fontId="4" fillId="0" borderId="0" xfId="1" applyNumberFormat="1" applyFont="1" applyFill="1">
      <alignment vertical="center"/>
    </xf>
    <xf numFmtId="9" fontId="5" fillId="0" borderId="0" xfId="1" applyFont="1" applyFill="1">
      <alignment vertical="center"/>
    </xf>
    <xf numFmtId="0" fontId="5" fillId="0" borderId="0" xfId="0" applyFont="1">
      <alignment vertical="center"/>
    </xf>
    <xf numFmtId="176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right" vertical="center"/>
    </xf>
    <xf numFmtId="38" fontId="7" fillId="0" borderId="1" xfId="0" applyNumberFormat="1" applyFont="1" applyBorder="1" applyAlignment="1">
      <alignment horizontal="right" vertical="center"/>
    </xf>
    <xf numFmtId="177" fontId="7" fillId="0" borderId="0" xfId="1" applyNumberFormat="1" applyFont="1" applyFill="1">
      <alignment vertical="center"/>
    </xf>
    <xf numFmtId="178" fontId="5" fillId="0" borderId="1" xfId="0" applyNumberFormat="1" applyFont="1" applyBorder="1" applyAlignment="1">
      <alignment horizontal="right" vertical="center"/>
    </xf>
    <xf numFmtId="9" fontId="3" fillId="0" borderId="0" xfId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S57\Streamlit\data\data_equity_pur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5237;&#36039;&#35215;&#21123;&#33287;&#31649;&#29702;\&#25237;&#36039;&#31649;&#29702;&#20998;&#26512;\12.&#26032;&#21152;&#22369;_&#26085;&#26412;&#25237;&#36039;&#20998;&#26512;\PSA&#25237;&#36039;&#37096;&#20301;\PSA&#28023;&#22806;&#36039;&#37329;&#25237;&#36039;&#31649;&#29702;_&#26085;&#26412;_20260408.xlsx" TargetMode="External"/><Relationship Id="rId1" Type="http://schemas.openxmlformats.org/officeDocument/2006/relationships/externalLinkPath" Target="file:///E:\&#25237;&#36039;&#35215;&#21123;&#33287;&#31649;&#29702;\&#25237;&#36039;&#31649;&#29702;&#20998;&#26512;\12.&#26032;&#21152;&#22369;_&#26085;&#26412;&#25237;&#36039;&#20998;&#26512;\PSA&#25237;&#36039;&#37096;&#20301;\PSA&#28023;&#22806;&#36039;&#37329;&#25237;&#36039;&#31649;&#29702;_&#26085;&#26412;_2026040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5237;&#36039;&#35215;&#21123;&#33287;&#31649;&#29702;\&#25237;&#36039;&#31649;&#29702;&#20998;&#26512;\12.&#26032;&#21152;&#22369;_&#26085;&#26412;&#25237;&#36039;&#20998;&#26512;\PSA&#25237;&#36039;&#37096;&#20301;\PSA&#28023;&#22806;&#36039;&#37329;&#25237;&#36039;&#31649;&#29702;_&#26085;&#26412;_20251226.xlsx" TargetMode="External"/><Relationship Id="rId1" Type="http://schemas.openxmlformats.org/officeDocument/2006/relationships/externalLinkPath" Target="file:///E:\&#25237;&#36039;&#35215;&#21123;&#33287;&#31649;&#29702;\&#25237;&#36039;&#31649;&#29702;&#20998;&#26512;\12.&#26032;&#21152;&#22369;_&#26085;&#26412;&#25237;&#36039;&#20998;&#26512;\PSA&#25237;&#36039;&#37096;&#20301;\PSA&#28023;&#22806;&#36039;&#37329;&#25237;&#36039;&#31649;&#29702;_&#26085;&#26412;_20251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_Price"/>
      <sheetName val="Database_Stock"/>
      <sheetName val="Database_Dividen"/>
      <sheetName val="Database_Fund"/>
    </sheetNames>
    <sheetDataSet>
      <sheetData sheetId="0" refreshError="1">
        <row r="1">
          <cell r="A1" t="str">
            <v>Stock Code</v>
          </cell>
          <cell r="B1" t="str">
            <v>Stock Name</v>
          </cell>
        </row>
        <row r="2">
          <cell r="A2" t="str">
            <v>2146.JP</v>
          </cell>
          <cell r="B2" t="str">
            <v>UT Group Co Ltd</v>
          </cell>
        </row>
        <row r="3">
          <cell r="A3" t="str">
            <v>2503.JP</v>
          </cell>
          <cell r="B3" t="str">
            <v>Kirin Holdings Co Ltd</v>
          </cell>
        </row>
        <row r="4">
          <cell r="A4" t="str">
            <v>2914.JP</v>
          </cell>
          <cell r="B4" t="str">
            <v>Japan Tobacco Inc</v>
          </cell>
        </row>
        <row r="5">
          <cell r="A5" t="str">
            <v>4503.JP</v>
          </cell>
          <cell r="B5" t="str">
            <v>Astellas Pharma Inc</v>
          </cell>
        </row>
        <row r="6">
          <cell r="A6" t="str">
            <v>4544.JP</v>
          </cell>
          <cell r="B6" t="str">
            <v>H.U. Group Holdings Inc</v>
          </cell>
        </row>
        <row r="7">
          <cell r="A7" t="str">
            <v>5105.JP</v>
          </cell>
          <cell r="B7" t="str">
            <v>Toyo Tire Corp</v>
          </cell>
        </row>
        <row r="8">
          <cell r="A8" t="str">
            <v>5401.JP</v>
          </cell>
          <cell r="B8" t="str">
            <v>Nippon Steel Corp</v>
          </cell>
        </row>
        <row r="9">
          <cell r="A9" t="str">
            <v>6301.JP</v>
          </cell>
          <cell r="B9" t="str">
            <v>Komatsu Ltd</v>
          </cell>
        </row>
        <row r="10">
          <cell r="A10" t="str">
            <v>7267.JP</v>
          </cell>
          <cell r="B10" t="str">
            <v>Honda Motor Co Ltd</v>
          </cell>
        </row>
        <row r="11">
          <cell r="A11" t="str">
            <v>7733.JP</v>
          </cell>
          <cell r="B11" t="str">
            <v>Olympus Corp</v>
          </cell>
        </row>
        <row r="12">
          <cell r="A12" t="str">
            <v>8002.JP</v>
          </cell>
          <cell r="B12" t="str">
            <v>Marubeni Corp</v>
          </cell>
        </row>
        <row r="13">
          <cell r="A13" t="str">
            <v>8031.JP</v>
          </cell>
          <cell r="B13" t="str">
            <v>Mitsui &amp; Co Ltd</v>
          </cell>
        </row>
        <row r="14">
          <cell r="A14" t="str">
            <v>8053.JP</v>
          </cell>
          <cell r="B14" t="str">
            <v>Sumitomo Corp</v>
          </cell>
        </row>
        <row r="15">
          <cell r="A15" t="str">
            <v>8252.JP</v>
          </cell>
          <cell r="B15" t="str">
            <v>Marui Group Co Ltd</v>
          </cell>
        </row>
        <row r="16">
          <cell r="A16" t="str">
            <v>8316.JP</v>
          </cell>
          <cell r="B16" t="str">
            <v>Sumitomo Mitsui Financial Grou</v>
          </cell>
        </row>
        <row r="17">
          <cell r="A17" t="str">
            <v>8584.JP</v>
          </cell>
          <cell r="B17" t="str">
            <v>Jaccs Co Ltd</v>
          </cell>
        </row>
        <row r="18">
          <cell r="A18" t="str">
            <v>8750.JP</v>
          </cell>
          <cell r="B18" t="str">
            <v>Dai-ichi Life Holdings Inc</v>
          </cell>
        </row>
        <row r="19">
          <cell r="A19" t="str">
            <v>8802.JP</v>
          </cell>
          <cell r="B19" t="str">
            <v>Mitsubishi Estate Co Ltd</v>
          </cell>
        </row>
        <row r="20">
          <cell r="A20" t="str">
            <v>9432.JP</v>
          </cell>
          <cell r="B20" t="str">
            <v>Nippon Telegraph &amp; Telephone C</v>
          </cell>
        </row>
        <row r="21">
          <cell r="A21" t="str">
            <v>9433.JP</v>
          </cell>
          <cell r="B21" t="str">
            <v>KDDI Corp</v>
          </cell>
        </row>
        <row r="22">
          <cell r="A22" t="str">
            <v>9706.JP</v>
          </cell>
          <cell r="B22" t="str">
            <v>Japan Airport Terminal Co., Ltd.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 of Dividen"/>
      <sheetName val="Database_FCN"/>
      <sheetName val="Database_Stock"/>
      <sheetName val="PSA日本持股股價"/>
      <sheetName val="FCN_2026"/>
      <sheetName val="FCN標的_20260309"/>
      <sheetName val="PSA日本持股下單記錄及損益"/>
      <sheetName val="Profit_Trend"/>
      <sheetName val="Profit_Trend_2026"/>
      <sheetName val="個股損益分析1"/>
      <sheetName val="個股損益分析2"/>
      <sheetName val="個股投入分析"/>
      <sheetName val="FCN_2025"/>
      <sheetName val="Chairman_FCN"/>
      <sheetName val="太陽誘電"/>
      <sheetName val="朝日"/>
      <sheetName val="村田"/>
      <sheetName val="FCN"/>
    </sheetNames>
    <sheetDataSet>
      <sheetData sheetId="0"/>
      <sheetData sheetId="1"/>
      <sheetData sheetId="2"/>
      <sheetData sheetId="3">
        <row r="1">
          <cell r="A1" t="str">
            <v>股票代碼</v>
          </cell>
          <cell r="B1" t="str">
            <v>股票名稱</v>
          </cell>
          <cell r="C1" t="str">
            <v>股票中文名稱</v>
          </cell>
          <cell r="D1">
            <v>46120</v>
          </cell>
          <cell r="E1">
            <v>46119</v>
          </cell>
          <cell r="F1">
            <v>46118</v>
          </cell>
          <cell r="G1">
            <v>46115</v>
          </cell>
          <cell r="H1">
            <v>46114</v>
          </cell>
          <cell r="I1">
            <v>46113</v>
          </cell>
          <cell r="J1">
            <v>46112</v>
          </cell>
          <cell r="K1">
            <v>46111</v>
          </cell>
          <cell r="L1">
            <v>46108</v>
          </cell>
          <cell r="M1">
            <v>46107</v>
          </cell>
          <cell r="N1">
            <v>46106</v>
          </cell>
          <cell r="O1">
            <v>46105</v>
          </cell>
          <cell r="P1">
            <v>46104</v>
          </cell>
          <cell r="Q1">
            <v>46100</v>
          </cell>
          <cell r="R1">
            <v>46099</v>
          </cell>
          <cell r="S1">
            <v>46098</v>
          </cell>
          <cell r="T1">
            <v>46097</v>
          </cell>
          <cell r="U1">
            <v>46094</v>
          </cell>
          <cell r="V1">
            <v>46093</v>
          </cell>
          <cell r="W1">
            <v>46092</v>
          </cell>
          <cell r="X1">
            <v>46091</v>
          </cell>
          <cell r="Y1">
            <v>46090</v>
          </cell>
          <cell r="Z1">
            <v>46087</v>
          </cell>
          <cell r="AA1">
            <v>46086</v>
          </cell>
          <cell r="AB1">
            <v>46085</v>
          </cell>
          <cell r="AC1">
            <v>46084</v>
          </cell>
          <cell r="AD1">
            <v>46083</v>
          </cell>
          <cell r="AE1">
            <v>46080</v>
          </cell>
          <cell r="AF1">
            <v>46079</v>
          </cell>
          <cell r="AG1">
            <v>46078</v>
          </cell>
          <cell r="AH1">
            <v>46077</v>
          </cell>
          <cell r="AI1">
            <v>46073</v>
          </cell>
          <cell r="AJ1">
            <v>46072</v>
          </cell>
          <cell r="AK1">
            <v>46071</v>
          </cell>
          <cell r="AL1">
            <v>46065</v>
          </cell>
          <cell r="AM1">
            <v>46063</v>
          </cell>
          <cell r="AN1">
            <v>46062</v>
          </cell>
          <cell r="AO1">
            <v>46059</v>
          </cell>
          <cell r="AP1">
            <v>46058</v>
          </cell>
          <cell r="AQ1">
            <v>46057</v>
          </cell>
          <cell r="AR1">
            <v>46056</v>
          </cell>
          <cell r="AS1">
            <v>46055</v>
          </cell>
          <cell r="AT1">
            <v>46052</v>
          </cell>
          <cell r="AU1">
            <v>46051</v>
          </cell>
          <cell r="AV1">
            <v>46050</v>
          </cell>
          <cell r="AW1">
            <v>46049</v>
          </cell>
          <cell r="AX1">
            <v>46048</v>
          </cell>
          <cell r="AY1">
            <v>46045</v>
          </cell>
          <cell r="AZ1">
            <v>46044</v>
          </cell>
          <cell r="BA1">
            <v>46043</v>
          </cell>
          <cell r="BB1">
            <v>46041</v>
          </cell>
          <cell r="BC1">
            <v>46038</v>
          </cell>
          <cell r="BD1">
            <v>46037</v>
          </cell>
          <cell r="BE1">
            <v>46036</v>
          </cell>
          <cell r="BF1">
            <v>46035</v>
          </cell>
          <cell r="BG1">
            <v>46031</v>
          </cell>
          <cell r="BH1">
            <v>46030</v>
          </cell>
          <cell r="BI1">
            <v>46029</v>
          </cell>
          <cell r="BJ1">
            <v>46028</v>
          </cell>
          <cell r="BK1">
            <v>46027</v>
          </cell>
          <cell r="BL1">
            <v>46021</v>
          </cell>
          <cell r="BM1">
            <v>46020</v>
          </cell>
          <cell r="BN1">
            <v>46017</v>
          </cell>
          <cell r="BO1">
            <v>46016</v>
          </cell>
          <cell r="BP1">
            <v>46015</v>
          </cell>
          <cell r="BQ1">
            <v>46014</v>
          </cell>
          <cell r="BR1">
            <v>46013</v>
          </cell>
          <cell r="BS1">
            <v>46010</v>
          </cell>
          <cell r="BT1">
            <v>46009</v>
          </cell>
          <cell r="BU1">
            <v>46008</v>
          </cell>
          <cell r="BV1">
            <v>46007</v>
          </cell>
          <cell r="BW1">
            <v>46006</v>
          </cell>
          <cell r="BX1">
            <v>46003</v>
          </cell>
          <cell r="BY1">
            <v>46002</v>
          </cell>
          <cell r="BZ1">
            <v>46001</v>
          </cell>
          <cell r="CA1">
            <v>46000</v>
          </cell>
          <cell r="CB1">
            <v>45999</v>
          </cell>
          <cell r="CC1">
            <v>45996</v>
          </cell>
          <cell r="CD1">
            <v>45995</v>
          </cell>
          <cell r="CE1">
            <v>45994</v>
          </cell>
          <cell r="CF1">
            <v>45993</v>
          </cell>
          <cell r="CG1">
            <v>45992</v>
          </cell>
          <cell r="CH1">
            <v>45989</v>
          </cell>
          <cell r="CI1">
            <v>45988</v>
          </cell>
          <cell r="CJ1">
            <v>45987</v>
          </cell>
          <cell r="CK1">
            <v>45986</v>
          </cell>
          <cell r="CL1">
            <v>45982</v>
          </cell>
          <cell r="CM1">
            <v>45981</v>
          </cell>
          <cell r="CN1">
            <v>45980</v>
          </cell>
          <cell r="CO1">
            <v>45979</v>
          </cell>
          <cell r="CP1">
            <v>45978</v>
          </cell>
          <cell r="CQ1">
            <v>45975</v>
          </cell>
          <cell r="CR1">
            <v>45974</v>
          </cell>
          <cell r="CS1">
            <v>45973</v>
          </cell>
          <cell r="CT1">
            <v>45972</v>
          </cell>
          <cell r="CU1">
            <v>45971</v>
          </cell>
          <cell r="CV1">
            <v>45968</v>
          </cell>
          <cell r="CW1">
            <v>45967</v>
          </cell>
          <cell r="CX1">
            <v>45966</v>
          </cell>
          <cell r="CY1">
            <v>45965</v>
          </cell>
          <cell r="CZ1">
            <v>45961</v>
          </cell>
          <cell r="DA1">
            <v>45960</v>
          </cell>
          <cell r="DB1">
            <v>45959</v>
          </cell>
          <cell r="DC1">
            <v>45958</v>
          </cell>
          <cell r="DD1">
            <v>45957</v>
          </cell>
          <cell r="DE1">
            <v>45954</v>
          </cell>
          <cell r="DF1">
            <v>45953</v>
          </cell>
          <cell r="DG1">
            <v>45952</v>
          </cell>
          <cell r="DH1">
            <v>45951</v>
          </cell>
          <cell r="DI1">
            <v>45950</v>
          </cell>
          <cell r="DJ1">
            <v>45947</v>
          </cell>
          <cell r="DK1">
            <v>45946</v>
          </cell>
          <cell r="DL1">
            <v>45945</v>
          </cell>
          <cell r="DM1">
            <v>45944</v>
          </cell>
          <cell r="DN1">
            <v>45940</v>
          </cell>
          <cell r="DO1">
            <v>45939</v>
          </cell>
          <cell r="DP1">
            <v>45938</v>
          </cell>
          <cell r="DQ1">
            <v>45937</v>
          </cell>
          <cell r="DR1">
            <v>45936</v>
          </cell>
          <cell r="DS1">
            <v>45933</v>
          </cell>
          <cell r="DT1">
            <v>45932</v>
          </cell>
          <cell r="DU1">
            <v>45931</v>
          </cell>
          <cell r="DV1">
            <v>45930</v>
          </cell>
          <cell r="DW1">
            <v>45929</v>
          </cell>
          <cell r="DX1">
            <v>45926</v>
          </cell>
          <cell r="DY1">
            <v>45925</v>
          </cell>
          <cell r="DZ1">
            <v>45924</v>
          </cell>
          <cell r="EA1">
            <v>45922</v>
          </cell>
          <cell r="EB1">
            <v>45919</v>
          </cell>
          <cell r="EC1">
            <v>45918</v>
          </cell>
          <cell r="ED1">
            <v>45917</v>
          </cell>
          <cell r="EE1">
            <v>45916</v>
          </cell>
          <cell r="EF1">
            <v>45912</v>
          </cell>
          <cell r="EG1">
            <v>45911</v>
          </cell>
          <cell r="EH1">
            <v>45910</v>
          </cell>
          <cell r="EI1">
            <v>45909</v>
          </cell>
          <cell r="EJ1">
            <v>45908</v>
          </cell>
          <cell r="EK1">
            <v>45905</v>
          </cell>
          <cell r="EL1">
            <v>45904</v>
          </cell>
          <cell r="EM1">
            <v>45903</v>
          </cell>
          <cell r="EN1">
            <v>45902</v>
          </cell>
          <cell r="EO1">
            <v>45901</v>
          </cell>
          <cell r="EP1">
            <v>45898</v>
          </cell>
          <cell r="EQ1">
            <v>45897</v>
          </cell>
          <cell r="ER1">
            <v>45896</v>
          </cell>
          <cell r="ES1">
            <v>45895</v>
          </cell>
          <cell r="ET1">
            <v>45894</v>
          </cell>
          <cell r="EU1">
            <v>45891</v>
          </cell>
          <cell r="EV1">
            <v>45890</v>
          </cell>
          <cell r="EW1">
            <v>45889</v>
          </cell>
          <cell r="EX1">
            <v>45888</v>
          </cell>
          <cell r="EY1">
            <v>45887</v>
          </cell>
          <cell r="EZ1">
            <v>45884</v>
          </cell>
          <cell r="FA1">
            <v>45883</v>
          </cell>
          <cell r="FB1">
            <v>45882</v>
          </cell>
          <cell r="FC1">
            <v>45881</v>
          </cell>
          <cell r="FD1">
            <v>45877</v>
          </cell>
          <cell r="FE1">
            <v>45876</v>
          </cell>
          <cell r="FF1">
            <v>45875</v>
          </cell>
          <cell r="FG1">
            <v>45874</v>
          </cell>
          <cell r="FH1">
            <v>45873</v>
          </cell>
          <cell r="FI1">
            <v>45870</v>
          </cell>
          <cell r="FJ1">
            <v>45869</v>
          </cell>
          <cell r="FK1">
            <v>45868</v>
          </cell>
          <cell r="FL1">
            <v>45867</v>
          </cell>
          <cell r="FM1">
            <v>45866</v>
          </cell>
          <cell r="FN1">
            <v>45863</v>
          </cell>
          <cell r="FO1">
            <v>45862</v>
          </cell>
          <cell r="FP1">
            <v>45861</v>
          </cell>
          <cell r="FQ1">
            <v>45860</v>
          </cell>
          <cell r="FR1">
            <v>45856</v>
          </cell>
          <cell r="FS1">
            <v>45855</v>
          </cell>
          <cell r="FT1">
            <v>45854</v>
          </cell>
          <cell r="FU1">
            <v>45853</v>
          </cell>
          <cell r="FV1">
            <v>45852</v>
          </cell>
          <cell r="FW1">
            <v>45849</v>
          </cell>
          <cell r="FX1">
            <v>45848</v>
          </cell>
          <cell r="FY1">
            <v>45847</v>
          </cell>
          <cell r="FZ1">
            <v>45846</v>
          </cell>
          <cell r="GA1">
            <v>45845</v>
          </cell>
          <cell r="GB1">
            <v>45842</v>
          </cell>
          <cell r="GC1">
            <v>45841</v>
          </cell>
          <cell r="GD1">
            <v>45840</v>
          </cell>
          <cell r="GE1">
            <v>45839</v>
          </cell>
          <cell r="GF1">
            <v>45838</v>
          </cell>
          <cell r="GG1">
            <v>45835</v>
          </cell>
          <cell r="GH1">
            <v>45834</v>
          </cell>
          <cell r="GI1">
            <v>45833</v>
          </cell>
          <cell r="GJ1">
            <v>45832</v>
          </cell>
          <cell r="GK1">
            <v>45831</v>
          </cell>
          <cell r="GL1">
            <v>45828</v>
          </cell>
          <cell r="GM1">
            <v>45827</v>
          </cell>
          <cell r="GN1">
            <v>45826</v>
          </cell>
          <cell r="GO1">
            <v>45825</v>
          </cell>
          <cell r="GP1">
            <v>45824</v>
          </cell>
          <cell r="GQ1">
            <v>45821</v>
          </cell>
          <cell r="GR1">
            <v>45820</v>
          </cell>
          <cell r="GS1">
            <v>45819</v>
          </cell>
          <cell r="GT1">
            <v>45818</v>
          </cell>
          <cell r="GU1">
            <v>45817</v>
          </cell>
          <cell r="GV1">
            <v>45814</v>
          </cell>
          <cell r="GW1">
            <v>45813</v>
          </cell>
          <cell r="GX1">
            <v>45812</v>
          </cell>
          <cell r="GY1">
            <v>45811</v>
          </cell>
          <cell r="GZ1">
            <v>45810</v>
          </cell>
          <cell r="HA1">
            <v>45807</v>
          </cell>
          <cell r="HB1">
            <v>45806</v>
          </cell>
          <cell r="HC1">
            <v>45805</v>
          </cell>
          <cell r="HD1">
            <v>45804</v>
          </cell>
          <cell r="HE1">
            <v>45803</v>
          </cell>
          <cell r="HF1">
            <v>45800</v>
          </cell>
          <cell r="HG1">
            <v>45799</v>
          </cell>
          <cell r="HH1">
            <v>45798</v>
          </cell>
          <cell r="HI1">
            <v>45797</v>
          </cell>
          <cell r="HJ1">
            <v>45796</v>
          </cell>
          <cell r="HK1">
            <v>45793</v>
          </cell>
          <cell r="HL1">
            <v>45792</v>
          </cell>
          <cell r="HM1">
            <v>45791</v>
          </cell>
          <cell r="HN1">
            <v>45790</v>
          </cell>
          <cell r="HO1">
            <v>45789</v>
          </cell>
          <cell r="HP1">
            <v>45786</v>
          </cell>
          <cell r="HQ1">
            <v>45785</v>
          </cell>
          <cell r="HR1">
            <v>45784</v>
          </cell>
          <cell r="HS1">
            <v>45779</v>
          </cell>
          <cell r="HT1">
            <v>45777</v>
          </cell>
          <cell r="HU1">
            <v>45775</v>
          </cell>
          <cell r="HV1">
            <v>45772</v>
          </cell>
          <cell r="HW1">
            <v>45771</v>
          </cell>
          <cell r="HX1">
            <v>45770</v>
          </cell>
          <cell r="HY1">
            <v>45768</v>
          </cell>
          <cell r="HZ1">
            <v>45765</v>
          </cell>
          <cell r="IA1">
            <v>45764</v>
          </cell>
          <cell r="IB1">
            <v>45763</v>
          </cell>
          <cell r="IC1">
            <v>45762</v>
          </cell>
          <cell r="ID1">
            <v>45761</v>
          </cell>
          <cell r="IE1">
            <v>45758</v>
          </cell>
          <cell r="IF1">
            <v>45757</v>
          </cell>
          <cell r="IG1">
            <v>45756</v>
          </cell>
          <cell r="IH1">
            <v>45755</v>
          </cell>
          <cell r="II1">
            <v>45754</v>
          </cell>
          <cell r="IJ1">
            <v>45751</v>
          </cell>
          <cell r="IK1">
            <v>45750</v>
          </cell>
          <cell r="IL1">
            <v>45749</v>
          </cell>
          <cell r="IM1">
            <v>45748</v>
          </cell>
          <cell r="IN1">
            <v>45747</v>
          </cell>
          <cell r="IO1">
            <v>45744</v>
          </cell>
          <cell r="IP1">
            <v>45743</v>
          </cell>
          <cell r="IQ1">
            <v>45742</v>
          </cell>
          <cell r="IR1">
            <v>45741</v>
          </cell>
        </row>
        <row r="2">
          <cell r="A2" t="str">
            <v>N225</v>
          </cell>
          <cell r="B2" t="str">
            <v>Nikkei</v>
          </cell>
          <cell r="C2" t="str">
            <v>日經225指數</v>
          </cell>
          <cell r="D2">
            <v>56308.42</v>
          </cell>
          <cell r="E2">
            <v>53429.56</v>
          </cell>
          <cell r="F2">
            <v>53413.68</v>
          </cell>
          <cell r="G2">
            <v>53123.49</v>
          </cell>
          <cell r="H2">
            <v>52463.27</v>
          </cell>
          <cell r="I2">
            <v>53739.68</v>
          </cell>
          <cell r="J2">
            <v>51063.72</v>
          </cell>
          <cell r="K2">
            <v>51885.85</v>
          </cell>
          <cell r="L2">
            <v>53373.07</v>
          </cell>
          <cell r="M2">
            <v>53603.65</v>
          </cell>
          <cell r="N2">
            <v>53749.62</v>
          </cell>
          <cell r="O2">
            <v>52252.28</v>
          </cell>
          <cell r="P2">
            <v>51515.49</v>
          </cell>
          <cell r="Q2">
            <v>53372.53</v>
          </cell>
          <cell r="R2">
            <v>55239.4</v>
          </cell>
          <cell r="S2">
            <v>53700.39</v>
          </cell>
          <cell r="T2">
            <v>53751.15</v>
          </cell>
          <cell r="U2">
            <v>53819.61</v>
          </cell>
          <cell r="V2">
            <v>54452.959999999999</v>
          </cell>
          <cell r="W2">
            <v>55025.37</v>
          </cell>
          <cell r="X2">
            <v>54248.39</v>
          </cell>
          <cell r="Y2">
            <v>52728.72</v>
          </cell>
          <cell r="Z2">
            <v>55620.84</v>
          </cell>
          <cell r="AA2">
            <v>55278.06</v>
          </cell>
          <cell r="AB2">
            <v>54245.54</v>
          </cell>
          <cell r="AC2">
            <v>56279.05</v>
          </cell>
          <cell r="AD2">
            <v>58057.24</v>
          </cell>
          <cell r="AE2">
            <v>58850.27</v>
          </cell>
          <cell r="AF2">
            <v>58753.39</v>
          </cell>
          <cell r="AG2">
            <v>58583.12</v>
          </cell>
          <cell r="AH2">
            <v>57321.09</v>
          </cell>
          <cell r="AI2">
            <v>56825.7</v>
          </cell>
          <cell r="AJ2">
            <v>57467.83</v>
          </cell>
          <cell r="AK2">
            <v>57143.839999999997</v>
          </cell>
          <cell r="AL2">
            <v>57639.839999999997</v>
          </cell>
          <cell r="AM2">
            <v>57650.54</v>
          </cell>
          <cell r="AN2">
            <v>56363.94</v>
          </cell>
          <cell r="AO2">
            <v>54253.68</v>
          </cell>
          <cell r="AP2">
            <v>53818.04</v>
          </cell>
          <cell r="AQ2">
            <v>54293.36</v>
          </cell>
          <cell r="AR2">
            <v>54720.66</v>
          </cell>
          <cell r="AS2">
            <v>52655.18</v>
          </cell>
          <cell r="AT2">
            <v>53322.85</v>
          </cell>
          <cell r="AU2">
            <v>53375.6</v>
          </cell>
          <cell r="AV2">
            <v>53358.71</v>
          </cell>
          <cell r="AW2">
            <v>53333.54</v>
          </cell>
          <cell r="AX2">
            <v>52885.25</v>
          </cell>
          <cell r="AY2">
            <v>53846.87</v>
          </cell>
          <cell r="AZ2">
            <v>53688.89</v>
          </cell>
          <cell r="BA2">
            <v>52774.64</v>
          </cell>
          <cell r="BB2">
            <v>53583.57</v>
          </cell>
          <cell r="BC2">
            <v>53936.17</v>
          </cell>
          <cell r="BD2">
            <v>54110.5</v>
          </cell>
          <cell r="BE2">
            <v>54341.23</v>
          </cell>
          <cell r="BF2">
            <v>53549.159999999996</v>
          </cell>
          <cell r="BG2">
            <v>51939.89</v>
          </cell>
          <cell r="BH2">
            <v>51117.26</v>
          </cell>
          <cell r="BI2">
            <v>51961.98</v>
          </cell>
          <cell r="BJ2">
            <v>52518.080000000002</v>
          </cell>
          <cell r="BK2">
            <v>51832.800000000003</v>
          </cell>
          <cell r="BL2">
            <v>50339.48</v>
          </cell>
          <cell r="BM2">
            <v>50526.92</v>
          </cell>
          <cell r="BN2">
            <v>50750.39</v>
          </cell>
          <cell r="BO2">
            <v>50407.79</v>
          </cell>
          <cell r="BP2">
            <v>50344.1</v>
          </cell>
          <cell r="BQ2">
            <v>50412.87</v>
          </cell>
          <cell r="BR2">
            <v>50402.39</v>
          </cell>
          <cell r="BS2">
            <v>49507.210000000006</v>
          </cell>
          <cell r="BT2">
            <v>49001.5</v>
          </cell>
          <cell r="BU2">
            <v>49512.28</v>
          </cell>
          <cell r="BV2">
            <v>49383.29</v>
          </cell>
          <cell r="BW2">
            <v>50092.1</v>
          </cell>
          <cell r="BX2">
            <v>50610.04</v>
          </cell>
          <cell r="BY2">
            <v>50148.82</v>
          </cell>
          <cell r="BZ2">
            <v>50448.28</v>
          </cell>
          <cell r="CA2">
            <v>50655.1</v>
          </cell>
          <cell r="CB2">
            <v>50581.94</v>
          </cell>
          <cell r="CC2">
            <v>50491.87</v>
          </cell>
          <cell r="CD2">
            <v>51028.42</v>
          </cell>
          <cell r="CE2">
            <v>49864.68</v>
          </cell>
          <cell r="CF2">
            <v>49303.45</v>
          </cell>
          <cell r="CG2">
            <v>49303.28</v>
          </cell>
          <cell r="CH2">
            <v>50253.91</v>
          </cell>
          <cell r="CI2">
            <v>50167.1</v>
          </cell>
          <cell r="CJ2">
            <v>49559.07</v>
          </cell>
          <cell r="CK2">
            <v>48659.519999999997</v>
          </cell>
          <cell r="CL2">
            <v>48625.88</v>
          </cell>
          <cell r="CM2">
            <v>49823.94</v>
          </cell>
          <cell r="CN2">
            <v>48537.7</v>
          </cell>
          <cell r="CO2">
            <v>48702.98</v>
          </cell>
          <cell r="CP2">
            <v>50323.91</v>
          </cell>
          <cell r="CQ2">
            <v>50376.53</v>
          </cell>
          <cell r="CR2">
            <v>51281.83</v>
          </cell>
          <cell r="CS2">
            <v>51008.77</v>
          </cell>
          <cell r="CT2">
            <v>50842.93</v>
          </cell>
          <cell r="CU2">
            <v>50911.76</v>
          </cell>
          <cell r="CV2">
            <v>50276.37</v>
          </cell>
          <cell r="CW2">
            <v>50883.68</v>
          </cell>
          <cell r="CX2">
            <v>50212.27</v>
          </cell>
          <cell r="CY2">
            <v>51497.2</v>
          </cell>
          <cell r="CZ2">
            <v>52411.34</v>
          </cell>
          <cell r="DA2">
            <v>51325.609999999993</v>
          </cell>
          <cell r="DB2">
            <v>51307.65</v>
          </cell>
          <cell r="DC2">
            <v>50219.18</v>
          </cell>
          <cell r="DD2">
            <v>50512.32</v>
          </cell>
          <cell r="DE2">
            <v>49299.65</v>
          </cell>
          <cell r="DF2">
            <v>48664.74</v>
          </cell>
          <cell r="DG2">
            <v>49307.79</v>
          </cell>
          <cell r="DH2">
            <v>49316.06</v>
          </cell>
          <cell r="DI2">
            <v>49185.5</v>
          </cell>
          <cell r="DJ2">
            <v>47582.15</v>
          </cell>
          <cell r="DK2">
            <v>48278</v>
          </cell>
          <cell r="DL2">
            <v>47673</v>
          </cell>
          <cell r="DM2">
            <v>46847.32</v>
          </cell>
          <cell r="DN2">
            <v>48088.800000000003</v>
          </cell>
          <cell r="DO2">
            <v>48580.44</v>
          </cell>
          <cell r="DP2">
            <v>47734.99</v>
          </cell>
          <cell r="DQ2">
            <v>47950.879999999997</v>
          </cell>
          <cell r="DR2">
            <v>47944.76</v>
          </cell>
          <cell r="DS2">
            <v>45769.5</v>
          </cell>
          <cell r="DT2">
            <v>44936.729999999996</v>
          </cell>
          <cell r="DU2">
            <v>44550.85</v>
          </cell>
          <cell r="DV2">
            <v>44932.63</v>
          </cell>
          <cell r="DW2">
            <v>45043.75</v>
          </cell>
          <cell r="DX2">
            <v>45354.99</v>
          </cell>
          <cell r="DY2">
            <v>45754.93</v>
          </cell>
          <cell r="DZ2">
            <v>45630.31</v>
          </cell>
          <cell r="EA2">
            <v>45493.66</v>
          </cell>
          <cell r="EB2">
            <v>45045.81</v>
          </cell>
          <cell r="EC2">
            <v>45303.43</v>
          </cell>
          <cell r="ED2">
            <v>44790.38</v>
          </cell>
          <cell r="EE2">
            <v>44902.27</v>
          </cell>
          <cell r="EF2">
            <v>44768.12</v>
          </cell>
          <cell r="EG2">
            <v>44372.5</v>
          </cell>
          <cell r="EH2">
            <v>43837.67</v>
          </cell>
          <cell r="EI2">
            <v>43459.29</v>
          </cell>
          <cell r="EJ2">
            <v>43643.81</v>
          </cell>
          <cell r="EK2">
            <v>43018.75</v>
          </cell>
          <cell r="EL2">
            <v>42580.27</v>
          </cell>
          <cell r="EM2">
            <v>42429.51</v>
          </cell>
          <cell r="EN2">
            <v>42310.49</v>
          </cell>
          <cell r="EO2">
            <v>42188.79</v>
          </cell>
          <cell r="EP2">
            <v>42718.47</v>
          </cell>
          <cell r="EQ2">
            <v>42828.79</v>
          </cell>
          <cell r="ER2">
            <v>42520.27</v>
          </cell>
          <cell r="ES2">
            <v>42394.400000000001</v>
          </cell>
          <cell r="ET2">
            <v>42807.82</v>
          </cell>
          <cell r="EU2">
            <v>42633.29</v>
          </cell>
          <cell r="EV2">
            <v>42610.17</v>
          </cell>
          <cell r="EW2">
            <v>42888.55</v>
          </cell>
          <cell r="EX2">
            <v>42959.360000000001</v>
          </cell>
          <cell r="EY2">
            <v>43714.31</v>
          </cell>
          <cell r="EZ2">
            <v>43378.31</v>
          </cell>
          <cell r="FA2">
            <v>42649.26</v>
          </cell>
          <cell r="FB2">
            <v>43274.67</v>
          </cell>
          <cell r="FC2">
            <v>42718.17</v>
          </cell>
          <cell r="FD2">
            <v>41820.480000000003</v>
          </cell>
          <cell r="FE2">
            <v>41059.15</v>
          </cell>
          <cell r="FF2">
            <v>40794.86</v>
          </cell>
          <cell r="FG2">
            <v>40549.54</v>
          </cell>
          <cell r="FH2">
            <v>40290.699999999997</v>
          </cell>
          <cell r="FI2">
            <v>40799.599999999999</v>
          </cell>
          <cell r="FJ2">
            <v>41020.910000000003</v>
          </cell>
          <cell r="FK2">
            <v>40654.699999999997</v>
          </cell>
          <cell r="FL2">
            <v>40674.550000000003</v>
          </cell>
          <cell r="FM2">
            <v>40998.269999999997</v>
          </cell>
          <cell r="FN2">
            <v>41456.230000000003</v>
          </cell>
          <cell r="FO2">
            <v>41826.339999999997</v>
          </cell>
          <cell r="FP2">
            <v>41171.32</v>
          </cell>
          <cell r="FQ2">
            <v>39774.92</v>
          </cell>
          <cell r="FR2">
            <v>39819.11</v>
          </cell>
          <cell r="FS2">
            <v>39901.19</v>
          </cell>
          <cell r="FT2">
            <v>39663.4</v>
          </cell>
          <cell r="FU2">
            <v>39678.019999999997</v>
          </cell>
          <cell r="FV2">
            <v>39459.620000000003</v>
          </cell>
          <cell r="FW2">
            <v>39569.68</v>
          </cell>
          <cell r="FX2">
            <v>39646.36</v>
          </cell>
          <cell r="FY2">
            <v>39821.279999999999</v>
          </cell>
          <cell r="FZ2">
            <v>39718.9</v>
          </cell>
          <cell r="GA2">
            <v>39587.68</v>
          </cell>
          <cell r="GB2">
            <v>39810.879999999997</v>
          </cell>
          <cell r="GC2">
            <v>39785.9</v>
          </cell>
          <cell r="GD2">
            <v>39762.480000000003</v>
          </cell>
          <cell r="GE2">
            <v>39986.33</v>
          </cell>
          <cell r="GF2">
            <v>40487.39</v>
          </cell>
          <cell r="GG2">
            <v>40143.71</v>
          </cell>
          <cell r="GH2">
            <v>39584.58</v>
          </cell>
          <cell r="GI2">
            <v>38942.07</v>
          </cell>
          <cell r="GJ2">
            <v>38790.559999999998</v>
          </cell>
          <cell r="GK2">
            <v>38354.089999999997</v>
          </cell>
          <cell r="GL2">
            <v>38403.230000000003</v>
          </cell>
          <cell r="GM2">
            <v>38488.339999999997</v>
          </cell>
          <cell r="GN2">
            <v>38885.15</v>
          </cell>
          <cell r="GO2">
            <v>38536.74</v>
          </cell>
          <cell r="GP2">
            <v>38311.33</v>
          </cell>
          <cell r="GQ2">
            <v>37834.25</v>
          </cell>
          <cell r="GR2">
            <v>38173.090000000004</v>
          </cell>
          <cell r="GS2">
            <v>38421.19</v>
          </cell>
          <cell r="GT2">
            <v>38211.51</v>
          </cell>
          <cell r="GU2">
            <v>38088.57</v>
          </cell>
          <cell r="GV2">
            <v>37741.61</v>
          </cell>
          <cell r="GW2">
            <v>37554.49</v>
          </cell>
          <cell r="GX2">
            <v>37763.61</v>
          </cell>
          <cell r="GY2">
            <v>37446.81</v>
          </cell>
          <cell r="GZ2">
            <v>37470.67</v>
          </cell>
          <cell r="HA2">
            <v>37965.1</v>
          </cell>
          <cell r="HB2">
            <v>38432.980000000003</v>
          </cell>
          <cell r="HC2">
            <v>37722.400000000001</v>
          </cell>
          <cell r="HD2">
            <v>37724.11</v>
          </cell>
          <cell r="HE2">
            <v>37531.53</v>
          </cell>
          <cell r="HF2">
            <v>37160.47</v>
          </cell>
          <cell r="HG2">
            <v>36985.869999999995</v>
          </cell>
          <cell r="HH2">
            <v>37298.980000000003</v>
          </cell>
          <cell r="HI2">
            <v>37529.49</v>
          </cell>
          <cell r="HJ2">
            <v>37498.629999999997</v>
          </cell>
          <cell r="HK2">
            <v>37753.72</v>
          </cell>
          <cell r="HL2">
            <v>37755.51</v>
          </cell>
          <cell r="HM2">
            <v>38128.129999999997</v>
          </cell>
          <cell r="HN2">
            <v>38183.26</v>
          </cell>
          <cell r="HO2">
            <v>37644.26</v>
          </cell>
          <cell r="HP2">
            <v>37503.33</v>
          </cell>
          <cell r="HQ2">
            <v>36928.629999999997</v>
          </cell>
          <cell r="HR2">
            <v>36779.660000000003</v>
          </cell>
          <cell r="HS2">
            <v>36830.69</v>
          </cell>
          <cell r="HT2">
            <v>36045.379999999997</v>
          </cell>
          <cell r="HU2">
            <v>35839.99</v>
          </cell>
          <cell r="HV2">
            <v>35705.740000000005</v>
          </cell>
          <cell r="HW2">
            <v>35039.15</v>
          </cell>
          <cell r="HX2">
            <v>34868.629999999997</v>
          </cell>
          <cell r="HY2">
            <v>34279.919999999998</v>
          </cell>
          <cell r="HZ2">
            <v>34730.28</v>
          </cell>
          <cell r="IA2">
            <v>34377.599999999999</v>
          </cell>
          <cell r="IB2">
            <v>33920.400000000001</v>
          </cell>
          <cell r="IC2">
            <v>34267.54</v>
          </cell>
          <cell r="ID2">
            <v>33982.36</v>
          </cell>
          <cell r="IE2">
            <v>33585.58</v>
          </cell>
          <cell r="IF2">
            <v>34609</v>
          </cell>
          <cell r="IG2">
            <v>31714.03</v>
          </cell>
          <cell r="IH2">
            <v>33012.58</v>
          </cell>
          <cell r="II2">
            <v>31136.58</v>
          </cell>
          <cell r="IJ2">
            <v>33780.58</v>
          </cell>
          <cell r="IK2">
            <v>34735.93</v>
          </cell>
          <cell r="IL2">
            <v>35725.870000000003</v>
          </cell>
          <cell r="IM2">
            <v>35624.480000000003</v>
          </cell>
          <cell r="IN2">
            <v>35617.56</v>
          </cell>
          <cell r="IO2">
            <v>37120.33</v>
          </cell>
          <cell r="IP2">
            <v>37799.97</v>
          </cell>
          <cell r="IQ2">
            <v>38027.29</v>
          </cell>
          <cell r="IR2">
            <v>37780.54</v>
          </cell>
        </row>
        <row r="3">
          <cell r="A3" t="str">
            <v>2146.JP</v>
          </cell>
          <cell r="B3" t="str">
            <v>UT Group Co Ltd</v>
          </cell>
          <cell r="C3" t="str">
            <v>UT集團</v>
          </cell>
          <cell r="D3">
            <v>200</v>
          </cell>
          <cell r="E3">
            <v>198</v>
          </cell>
          <cell r="F3">
            <v>197</v>
          </cell>
          <cell r="G3">
            <v>197</v>
          </cell>
          <cell r="H3">
            <v>197</v>
          </cell>
          <cell r="I3">
            <v>199</v>
          </cell>
          <cell r="J3">
            <v>194</v>
          </cell>
          <cell r="K3">
            <v>194</v>
          </cell>
          <cell r="L3">
            <v>203</v>
          </cell>
          <cell r="M3">
            <v>200</v>
          </cell>
          <cell r="N3">
            <v>201</v>
          </cell>
          <cell r="O3">
            <v>200</v>
          </cell>
          <cell r="P3">
            <v>195</v>
          </cell>
          <cell r="Q3">
            <v>196</v>
          </cell>
          <cell r="R3">
            <v>200</v>
          </cell>
          <cell r="S3">
            <v>198</v>
          </cell>
          <cell r="T3">
            <v>195</v>
          </cell>
          <cell r="U3">
            <v>195</v>
          </cell>
          <cell r="V3">
            <v>197</v>
          </cell>
          <cell r="W3">
            <v>200</v>
          </cell>
          <cell r="X3">
            <v>203</v>
          </cell>
          <cell r="Y3">
            <v>201</v>
          </cell>
          <cell r="Z3">
            <v>209</v>
          </cell>
          <cell r="AA3">
            <v>205</v>
          </cell>
          <cell r="AB3">
            <v>199</v>
          </cell>
          <cell r="AC3">
            <v>202</v>
          </cell>
          <cell r="AD3">
            <v>210</v>
          </cell>
          <cell r="AE3">
            <v>215</v>
          </cell>
          <cell r="AF3">
            <v>207</v>
          </cell>
          <cell r="AG3">
            <v>208</v>
          </cell>
          <cell r="AH3">
            <v>203</v>
          </cell>
          <cell r="AI3">
            <v>202</v>
          </cell>
          <cell r="AJ3">
            <v>202</v>
          </cell>
          <cell r="AK3">
            <v>201</v>
          </cell>
          <cell r="AL3">
            <v>210</v>
          </cell>
          <cell r="AM3">
            <v>215</v>
          </cell>
          <cell r="AN3">
            <v>214</v>
          </cell>
          <cell r="AO3">
            <v>212</v>
          </cell>
          <cell r="AP3">
            <v>214</v>
          </cell>
          <cell r="AQ3">
            <v>210</v>
          </cell>
          <cell r="AR3">
            <v>212</v>
          </cell>
          <cell r="AS3">
            <v>205</v>
          </cell>
          <cell r="AT3">
            <v>206</v>
          </cell>
          <cell r="AU3">
            <v>206</v>
          </cell>
          <cell r="AV3">
            <v>207</v>
          </cell>
          <cell r="AW3">
            <v>213</v>
          </cell>
          <cell r="AX3">
            <v>213</v>
          </cell>
          <cell r="AY3">
            <v>218</v>
          </cell>
          <cell r="AZ3">
            <v>215</v>
          </cell>
          <cell r="BA3">
            <v>210</v>
          </cell>
          <cell r="BB3">
            <v>217</v>
          </cell>
          <cell r="BC3">
            <v>217</v>
          </cell>
          <cell r="BD3">
            <v>215</v>
          </cell>
          <cell r="BE3">
            <v>215</v>
          </cell>
          <cell r="BF3">
            <v>208</v>
          </cell>
          <cell r="BG3">
            <v>205</v>
          </cell>
          <cell r="BH3">
            <v>200</v>
          </cell>
          <cell r="BI3">
            <v>204</v>
          </cell>
          <cell r="BJ3">
            <v>200</v>
          </cell>
          <cell r="BK3">
            <v>196</v>
          </cell>
          <cell r="BL3">
            <v>199</v>
          </cell>
          <cell r="BM3">
            <v>204</v>
          </cell>
          <cell r="BN3">
            <v>2973</v>
          </cell>
          <cell r="BO3">
            <v>2952</v>
          </cell>
          <cell r="BP3">
            <v>2906</v>
          </cell>
          <cell r="BQ3">
            <v>2928</v>
          </cell>
          <cell r="BR3">
            <v>2893</v>
          </cell>
          <cell r="BS3">
            <v>2907</v>
          </cell>
          <cell r="BT3">
            <v>2868</v>
          </cell>
          <cell r="BU3">
            <v>2845</v>
          </cell>
          <cell r="BV3">
            <v>2879</v>
          </cell>
          <cell r="BW3">
            <v>2912</v>
          </cell>
          <cell r="BX3">
            <v>2844</v>
          </cell>
          <cell r="BY3">
            <v>2792</v>
          </cell>
          <cell r="BZ3">
            <v>2795</v>
          </cell>
          <cell r="CA3">
            <v>2769</v>
          </cell>
          <cell r="CB3">
            <v>2777</v>
          </cell>
          <cell r="CC3">
            <v>2725</v>
          </cell>
          <cell r="CD3">
            <v>2793</v>
          </cell>
          <cell r="CE3">
            <v>2735</v>
          </cell>
          <cell r="CF3">
            <v>2740</v>
          </cell>
          <cell r="CG3">
            <v>2779</v>
          </cell>
          <cell r="CH3">
            <v>2805</v>
          </cell>
          <cell r="CI3">
            <v>2753</v>
          </cell>
          <cell r="CJ3">
            <v>2744</v>
          </cell>
          <cell r="CK3">
            <v>2729</v>
          </cell>
          <cell r="CL3">
            <v>2704</v>
          </cell>
          <cell r="CM3">
            <v>2682</v>
          </cell>
          <cell r="CN3">
            <v>2631</v>
          </cell>
          <cell r="CO3">
            <v>2640</v>
          </cell>
          <cell r="CP3">
            <v>2683</v>
          </cell>
          <cell r="CQ3">
            <v>2670</v>
          </cell>
          <cell r="CR3">
            <v>2791</v>
          </cell>
          <cell r="CS3">
            <v>2845</v>
          </cell>
          <cell r="CT3">
            <v>2801</v>
          </cell>
          <cell r="CU3">
            <v>2778</v>
          </cell>
          <cell r="CV3">
            <v>2771</v>
          </cell>
          <cell r="CW3">
            <v>2745</v>
          </cell>
          <cell r="CX3">
            <v>2733</v>
          </cell>
          <cell r="CY3">
            <v>2742</v>
          </cell>
          <cell r="CZ3">
            <v>2749</v>
          </cell>
          <cell r="DA3">
            <v>2733</v>
          </cell>
          <cell r="DB3">
            <v>2706</v>
          </cell>
          <cell r="DC3">
            <v>2736</v>
          </cell>
          <cell r="DD3">
            <v>2788</v>
          </cell>
          <cell r="DE3">
            <v>2764</v>
          </cell>
          <cell r="DF3">
            <v>2792</v>
          </cell>
          <cell r="DG3">
            <v>2797</v>
          </cell>
          <cell r="DH3">
            <v>2754</v>
          </cell>
          <cell r="DI3">
            <v>2747</v>
          </cell>
          <cell r="DJ3">
            <v>2735</v>
          </cell>
          <cell r="DK3">
            <v>2744</v>
          </cell>
          <cell r="DL3">
            <v>2746</v>
          </cell>
          <cell r="DM3">
            <v>2710</v>
          </cell>
          <cell r="DN3">
            <v>2747</v>
          </cell>
          <cell r="DO3">
            <v>2773</v>
          </cell>
          <cell r="DP3">
            <v>2741</v>
          </cell>
          <cell r="DQ3">
            <v>2740</v>
          </cell>
          <cell r="DR3">
            <v>2758</v>
          </cell>
          <cell r="DS3">
            <v>2728</v>
          </cell>
          <cell r="DT3">
            <v>2714</v>
          </cell>
          <cell r="DU3">
            <v>2666</v>
          </cell>
          <cell r="DV3">
            <v>2734</v>
          </cell>
          <cell r="DW3">
            <v>2729</v>
          </cell>
          <cell r="DX3">
            <v>2792</v>
          </cell>
          <cell r="DY3">
            <v>2768</v>
          </cell>
          <cell r="DZ3">
            <v>2759</v>
          </cell>
          <cell r="EA3">
            <v>2784</v>
          </cell>
          <cell r="EB3">
            <v>2753</v>
          </cell>
          <cell r="EC3">
            <v>2759</v>
          </cell>
          <cell r="ED3">
            <v>2794</v>
          </cell>
          <cell r="EE3">
            <v>2763</v>
          </cell>
          <cell r="EF3">
            <v>2741</v>
          </cell>
          <cell r="EG3">
            <v>2729</v>
          </cell>
          <cell r="EH3">
            <v>2746</v>
          </cell>
          <cell r="EI3">
            <v>2762</v>
          </cell>
          <cell r="EJ3">
            <v>2766</v>
          </cell>
          <cell r="EK3">
            <v>2766</v>
          </cell>
          <cell r="EL3">
            <v>2767</v>
          </cell>
          <cell r="EM3">
            <v>2746</v>
          </cell>
          <cell r="EN3">
            <v>2720</v>
          </cell>
          <cell r="EO3">
            <v>2704</v>
          </cell>
          <cell r="EP3">
            <v>2720</v>
          </cell>
          <cell r="EQ3">
            <v>2725</v>
          </cell>
          <cell r="ER3">
            <v>2735</v>
          </cell>
          <cell r="ES3">
            <v>2729</v>
          </cell>
          <cell r="ET3">
            <v>2727</v>
          </cell>
          <cell r="EU3">
            <v>2720</v>
          </cell>
          <cell r="EV3">
            <v>2747</v>
          </cell>
          <cell r="EW3">
            <v>2726</v>
          </cell>
          <cell r="EX3">
            <v>2716</v>
          </cell>
          <cell r="EY3">
            <v>2695</v>
          </cell>
          <cell r="EZ3">
            <v>2646</v>
          </cell>
          <cell r="FA3">
            <v>2675</v>
          </cell>
          <cell r="FB3">
            <v>2694</v>
          </cell>
          <cell r="FC3">
            <v>2636</v>
          </cell>
          <cell r="FD3">
            <v>2623</v>
          </cell>
          <cell r="FE3">
            <v>2624</v>
          </cell>
          <cell r="FF3">
            <v>2614</v>
          </cell>
          <cell r="FG3">
            <v>2589</v>
          </cell>
          <cell r="FH3">
            <v>2571</v>
          </cell>
          <cell r="FI3">
            <v>2588</v>
          </cell>
          <cell r="FJ3">
            <v>2553</v>
          </cell>
          <cell r="FK3">
            <v>2532</v>
          </cell>
          <cell r="FL3">
            <v>2522</v>
          </cell>
          <cell r="FM3">
            <v>2538</v>
          </cell>
          <cell r="FN3">
            <v>2540</v>
          </cell>
          <cell r="FO3">
            <v>2534</v>
          </cell>
          <cell r="FP3">
            <v>2495</v>
          </cell>
          <cell r="FQ3">
            <v>2457</v>
          </cell>
          <cell r="FR3">
            <v>2430</v>
          </cell>
          <cell r="FS3">
            <v>2449</v>
          </cell>
          <cell r="FT3">
            <v>2427</v>
          </cell>
          <cell r="FU3">
            <v>2468</v>
          </cell>
          <cell r="FV3">
            <v>2468</v>
          </cell>
          <cell r="FW3">
            <v>2475</v>
          </cell>
          <cell r="FX3">
            <v>2491</v>
          </cell>
          <cell r="FY3">
            <v>2480</v>
          </cell>
          <cell r="FZ3">
            <v>2446</v>
          </cell>
          <cell r="GA3">
            <v>2426</v>
          </cell>
          <cell r="GB3">
            <v>2426</v>
          </cell>
          <cell r="GC3">
            <v>2429</v>
          </cell>
          <cell r="GD3">
            <v>2426</v>
          </cell>
          <cell r="GE3">
            <v>2417</v>
          </cell>
          <cell r="GF3">
            <v>2464</v>
          </cell>
          <cell r="GG3">
            <v>2439</v>
          </cell>
          <cell r="GH3">
            <v>2437</v>
          </cell>
          <cell r="GI3">
            <v>2431</v>
          </cell>
          <cell r="GJ3">
            <v>2416</v>
          </cell>
          <cell r="GK3">
            <v>2403</v>
          </cell>
          <cell r="GL3">
            <v>2365</v>
          </cell>
          <cell r="GM3">
            <v>2397</v>
          </cell>
          <cell r="GN3">
            <v>2400</v>
          </cell>
          <cell r="GO3">
            <v>2391</v>
          </cell>
          <cell r="GP3">
            <v>2355</v>
          </cell>
          <cell r="GQ3">
            <v>2352</v>
          </cell>
          <cell r="GR3">
            <v>2422</v>
          </cell>
          <cell r="GS3">
            <v>2463</v>
          </cell>
          <cell r="GT3">
            <v>2464</v>
          </cell>
          <cell r="GU3">
            <v>2443</v>
          </cell>
          <cell r="GV3">
            <v>2442</v>
          </cell>
          <cell r="GW3">
            <v>2475</v>
          </cell>
          <cell r="GX3">
            <v>2519</v>
          </cell>
          <cell r="GY3">
            <v>2516</v>
          </cell>
          <cell r="GZ3">
            <v>2517</v>
          </cell>
          <cell r="HA3">
            <v>2515</v>
          </cell>
          <cell r="HB3">
            <v>2523</v>
          </cell>
          <cell r="HC3">
            <v>2518</v>
          </cell>
          <cell r="HD3">
            <v>2482</v>
          </cell>
          <cell r="HE3">
            <v>2452</v>
          </cell>
          <cell r="HF3">
            <v>2394</v>
          </cell>
          <cell r="HG3">
            <v>2430</v>
          </cell>
          <cell r="HH3">
            <v>2359</v>
          </cell>
          <cell r="HI3">
            <v>2393</v>
          </cell>
          <cell r="HJ3">
            <v>2400</v>
          </cell>
          <cell r="HK3">
            <v>2425</v>
          </cell>
          <cell r="HL3">
            <v>2420</v>
          </cell>
          <cell r="HM3">
            <v>2033</v>
          </cell>
          <cell r="HN3">
            <v>2011</v>
          </cell>
          <cell r="HO3">
            <v>2002</v>
          </cell>
          <cell r="HP3">
            <v>1992</v>
          </cell>
          <cell r="HQ3">
            <v>1952</v>
          </cell>
          <cell r="HR3">
            <v>1953</v>
          </cell>
          <cell r="HS3">
            <v>1970</v>
          </cell>
          <cell r="HT3">
            <v>1986</v>
          </cell>
          <cell r="HU3">
            <v>1995</v>
          </cell>
          <cell r="HV3">
            <v>1989</v>
          </cell>
          <cell r="HW3">
            <v>1928</v>
          </cell>
          <cell r="HX3">
            <v>1944</v>
          </cell>
          <cell r="HY3">
            <v>1901</v>
          </cell>
          <cell r="HZ3">
            <v>1920</v>
          </cell>
          <cell r="IA3">
            <v>1942</v>
          </cell>
          <cell r="IB3">
            <v>1920</v>
          </cell>
          <cell r="IC3">
            <v>1987</v>
          </cell>
          <cell r="ID3">
            <v>1913</v>
          </cell>
          <cell r="IE3">
            <v>1894</v>
          </cell>
          <cell r="IF3">
            <v>1845</v>
          </cell>
          <cell r="IG3">
            <v>1659</v>
          </cell>
          <cell r="IH3">
            <v>1720</v>
          </cell>
          <cell r="II3">
            <v>1565</v>
          </cell>
          <cell r="IJ3">
            <v>1811</v>
          </cell>
          <cell r="IK3">
            <v>1965</v>
          </cell>
          <cell r="IL3">
            <v>2053</v>
          </cell>
          <cell r="IM3">
            <v>2054</v>
          </cell>
          <cell r="IN3">
            <v>2043</v>
          </cell>
          <cell r="IO3">
            <v>2157</v>
          </cell>
          <cell r="IP3">
            <v>2242</v>
          </cell>
          <cell r="IQ3">
            <v>2254</v>
          </cell>
          <cell r="IR3">
            <v>2241</v>
          </cell>
        </row>
        <row r="4">
          <cell r="A4" t="str">
            <v>2503.JP</v>
          </cell>
          <cell r="B4" t="str">
            <v>Kirin Holdings Co Ltd</v>
          </cell>
          <cell r="C4" t="str">
            <v>麒麟</v>
          </cell>
          <cell r="D4">
            <v>2648</v>
          </cell>
          <cell r="E4">
            <v>2632.5</v>
          </cell>
          <cell r="F4">
            <v>2620</v>
          </cell>
          <cell r="G4">
            <v>2540</v>
          </cell>
          <cell r="H4">
            <v>2616.5</v>
          </cell>
          <cell r="I4">
            <v>2602.5</v>
          </cell>
          <cell r="J4">
            <v>2525</v>
          </cell>
          <cell r="K4">
            <v>2501.5</v>
          </cell>
          <cell r="L4">
            <v>2508.5</v>
          </cell>
          <cell r="M4">
            <v>2471.5</v>
          </cell>
          <cell r="N4">
            <v>2468.5</v>
          </cell>
          <cell r="O4">
            <v>2443.5</v>
          </cell>
          <cell r="P4">
            <v>2390</v>
          </cell>
          <cell r="Q4">
            <v>2475</v>
          </cell>
          <cell r="R4">
            <v>2595.5</v>
          </cell>
          <cell r="S4">
            <v>2596</v>
          </cell>
          <cell r="T4">
            <v>2611.5</v>
          </cell>
          <cell r="U4">
            <v>2602</v>
          </cell>
          <cell r="V4">
            <v>2575.5</v>
          </cell>
          <cell r="W4">
            <v>2632.5</v>
          </cell>
          <cell r="X4">
            <v>2595.5</v>
          </cell>
          <cell r="Y4">
            <v>2609.5</v>
          </cell>
          <cell r="Z4">
            <v>2589</v>
          </cell>
          <cell r="AA4">
            <v>2562.5</v>
          </cell>
          <cell r="AB4">
            <v>2610</v>
          </cell>
          <cell r="AC4">
            <v>2692</v>
          </cell>
          <cell r="AD4">
            <v>2742</v>
          </cell>
          <cell r="AE4">
            <v>2707</v>
          </cell>
          <cell r="AF4">
            <v>2643.5</v>
          </cell>
          <cell r="AG4">
            <v>2665.5</v>
          </cell>
          <cell r="AH4">
            <v>2651</v>
          </cell>
          <cell r="AI4">
            <v>2638.5</v>
          </cell>
          <cell r="AJ4">
            <v>2607</v>
          </cell>
          <cell r="AK4">
            <v>2550</v>
          </cell>
          <cell r="AL4">
            <v>2534</v>
          </cell>
          <cell r="AM4">
            <v>2499.5</v>
          </cell>
          <cell r="AN4">
            <v>2437</v>
          </cell>
          <cell r="AO4">
            <v>2470.5</v>
          </cell>
          <cell r="AP4">
            <v>2427</v>
          </cell>
          <cell r="AQ4">
            <v>2387.5</v>
          </cell>
          <cell r="AR4">
            <v>2353.5</v>
          </cell>
          <cell r="AS4">
            <v>2339.5</v>
          </cell>
          <cell r="AT4">
            <v>2392</v>
          </cell>
          <cell r="AU4">
            <v>2358</v>
          </cell>
          <cell r="AV4">
            <v>2368</v>
          </cell>
          <cell r="AW4">
            <v>2466.5</v>
          </cell>
          <cell r="AX4">
            <v>2469.5</v>
          </cell>
          <cell r="AY4">
            <v>2455.5</v>
          </cell>
          <cell r="AZ4">
            <v>2479.5</v>
          </cell>
          <cell r="BA4">
            <v>2474</v>
          </cell>
          <cell r="BB4">
            <v>2430.5</v>
          </cell>
          <cell r="BC4">
            <v>2399</v>
          </cell>
          <cell r="BD4">
            <v>2401</v>
          </cell>
          <cell r="BE4">
            <v>2382</v>
          </cell>
          <cell r="BF4">
            <v>2369</v>
          </cell>
          <cell r="BG4">
            <v>2369.5</v>
          </cell>
          <cell r="BH4">
            <v>2345.5</v>
          </cell>
          <cell r="BI4">
            <v>2347.5</v>
          </cell>
          <cell r="BJ4">
            <v>2378.5</v>
          </cell>
          <cell r="BK4">
            <v>2363</v>
          </cell>
          <cell r="BL4">
            <v>2348</v>
          </cell>
          <cell r="BM4">
            <v>2354.5</v>
          </cell>
          <cell r="BN4">
            <v>2387</v>
          </cell>
          <cell r="BO4">
            <v>2381</v>
          </cell>
          <cell r="BP4">
            <v>2373.5</v>
          </cell>
          <cell r="BQ4">
            <v>2376.5</v>
          </cell>
          <cell r="BR4">
            <v>2371.5</v>
          </cell>
          <cell r="BS4">
            <v>2401</v>
          </cell>
          <cell r="BT4">
            <v>2397.5</v>
          </cell>
          <cell r="BU4">
            <v>2363.5</v>
          </cell>
          <cell r="BV4">
            <v>2385.5</v>
          </cell>
          <cell r="BW4">
            <v>2362</v>
          </cell>
          <cell r="BX4">
            <v>2325</v>
          </cell>
          <cell r="BY4">
            <v>2309.5</v>
          </cell>
          <cell r="BZ4">
            <v>2338</v>
          </cell>
          <cell r="CA4">
            <v>2341.5</v>
          </cell>
          <cell r="CB4">
            <v>2361</v>
          </cell>
          <cell r="CC4">
            <v>2340.5</v>
          </cell>
          <cell r="CD4">
            <v>2367.5</v>
          </cell>
          <cell r="CE4">
            <v>2393.5</v>
          </cell>
          <cell r="CF4">
            <v>2446</v>
          </cell>
          <cell r="CG4">
            <v>2445.5</v>
          </cell>
          <cell r="CH4">
            <v>2453.5</v>
          </cell>
          <cell r="CI4">
            <v>2453.5</v>
          </cell>
          <cell r="CJ4">
            <v>2456.5</v>
          </cell>
          <cell r="CK4">
            <v>2428</v>
          </cell>
          <cell r="CL4">
            <v>2449</v>
          </cell>
          <cell r="CM4">
            <v>2398.5</v>
          </cell>
          <cell r="CN4">
            <v>2408</v>
          </cell>
          <cell r="CO4">
            <v>2420</v>
          </cell>
          <cell r="CP4">
            <v>2418</v>
          </cell>
          <cell r="CQ4">
            <v>2392</v>
          </cell>
          <cell r="CR4">
            <v>2366</v>
          </cell>
          <cell r="CS4">
            <v>2333</v>
          </cell>
          <cell r="CT4">
            <v>2202.5</v>
          </cell>
          <cell r="CU4">
            <v>2226.5</v>
          </cell>
          <cell r="CV4">
            <v>2212</v>
          </cell>
          <cell r="CW4">
            <v>2202.5</v>
          </cell>
          <cell r="CX4">
            <v>2186</v>
          </cell>
          <cell r="CY4">
            <v>2172.5</v>
          </cell>
          <cell r="CZ4">
            <v>2164.5</v>
          </cell>
          <cell r="DA4">
            <v>2168</v>
          </cell>
          <cell r="DB4">
            <v>2162.5</v>
          </cell>
          <cell r="DC4">
            <v>2215</v>
          </cell>
          <cell r="DD4">
            <v>2224</v>
          </cell>
          <cell r="DE4">
            <v>2221.5</v>
          </cell>
          <cell r="DF4">
            <v>2223.5</v>
          </cell>
          <cell r="DG4">
            <v>2224.5</v>
          </cell>
          <cell r="DH4">
            <v>2194</v>
          </cell>
          <cell r="DI4">
            <v>2205</v>
          </cell>
          <cell r="DJ4">
            <v>2187</v>
          </cell>
          <cell r="DK4">
            <v>2161</v>
          </cell>
          <cell r="DL4">
            <v>2174</v>
          </cell>
          <cell r="DM4">
            <v>2164</v>
          </cell>
          <cell r="DN4">
            <v>2152.5</v>
          </cell>
          <cell r="DO4">
            <v>2158</v>
          </cell>
          <cell r="DP4">
            <v>2181</v>
          </cell>
          <cell r="DQ4">
            <v>2169.5</v>
          </cell>
          <cell r="DR4">
            <v>2147</v>
          </cell>
          <cell r="DS4">
            <v>2119.5</v>
          </cell>
          <cell r="DT4">
            <v>2115</v>
          </cell>
          <cell r="DU4">
            <v>2150.5</v>
          </cell>
          <cell r="DV4">
            <v>2167.5</v>
          </cell>
          <cell r="DW4">
            <v>2158.5</v>
          </cell>
          <cell r="DX4">
            <v>2225</v>
          </cell>
          <cell r="DY4">
            <v>2189</v>
          </cell>
          <cell r="DZ4">
            <v>2185</v>
          </cell>
          <cell r="EA4">
            <v>2168</v>
          </cell>
          <cell r="EB4">
            <v>2183</v>
          </cell>
          <cell r="EC4">
            <v>2201</v>
          </cell>
          <cell r="ED4">
            <v>2130</v>
          </cell>
          <cell r="EE4">
            <v>2149.5</v>
          </cell>
          <cell r="EF4">
            <v>2150.5</v>
          </cell>
          <cell r="EG4">
            <v>2192.5</v>
          </cell>
          <cell r="EH4">
            <v>2198</v>
          </cell>
          <cell r="EI4">
            <v>2226</v>
          </cell>
          <cell r="EJ4">
            <v>2252</v>
          </cell>
          <cell r="EK4">
            <v>2255.5</v>
          </cell>
          <cell r="EL4">
            <v>2242</v>
          </cell>
          <cell r="EM4">
            <v>2242.5</v>
          </cell>
          <cell r="EN4">
            <v>2280</v>
          </cell>
          <cell r="EO4">
            <v>2163.5</v>
          </cell>
          <cell r="EP4">
            <v>2135.5</v>
          </cell>
          <cell r="EQ4">
            <v>2140.5</v>
          </cell>
          <cell r="ER4">
            <v>2128</v>
          </cell>
          <cell r="ES4">
            <v>2154.5</v>
          </cell>
          <cell r="ET4">
            <v>2184.5</v>
          </cell>
          <cell r="EU4">
            <v>2221.5</v>
          </cell>
          <cell r="EV4">
            <v>2231</v>
          </cell>
          <cell r="EW4">
            <v>2236</v>
          </cell>
          <cell r="EX4">
            <v>2236</v>
          </cell>
          <cell r="EY4">
            <v>2169.5</v>
          </cell>
          <cell r="EZ4">
            <v>2151.5</v>
          </cell>
          <cell r="FA4">
            <v>2136</v>
          </cell>
          <cell r="FB4">
            <v>2114</v>
          </cell>
          <cell r="FC4">
            <v>2138</v>
          </cell>
          <cell r="FD4">
            <v>2100</v>
          </cell>
          <cell r="FE4">
            <v>2055.5</v>
          </cell>
          <cell r="FF4">
            <v>2036.5</v>
          </cell>
          <cell r="FG4">
            <v>2007</v>
          </cell>
          <cell r="FH4">
            <v>1994.5</v>
          </cell>
          <cell r="FI4">
            <v>1991</v>
          </cell>
          <cell r="FJ4">
            <v>1994.5</v>
          </cell>
          <cell r="FK4">
            <v>1988</v>
          </cell>
          <cell r="FL4">
            <v>1978.5</v>
          </cell>
          <cell r="FM4">
            <v>1998</v>
          </cell>
          <cell r="FN4">
            <v>1995.5</v>
          </cell>
          <cell r="FO4">
            <v>2008.5</v>
          </cell>
          <cell r="FP4">
            <v>1997.5</v>
          </cell>
          <cell r="FQ4">
            <v>1976</v>
          </cell>
          <cell r="FR4">
            <v>2001.5</v>
          </cell>
          <cell r="FS4">
            <v>1990</v>
          </cell>
          <cell r="FT4">
            <v>1983</v>
          </cell>
          <cell r="FU4">
            <v>1975</v>
          </cell>
          <cell r="FV4">
            <v>1989</v>
          </cell>
          <cell r="FW4">
            <v>1984.5</v>
          </cell>
          <cell r="FX4">
            <v>1975.5</v>
          </cell>
          <cell r="FY4">
            <v>1998</v>
          </cell>
          <cell r="FZ4">
            <v>1994.5</v>
          </cell>
          <cell r="GA4">
            <v>2011.5</v>
          </cell>
          <cell r="GB4">
            <v>2018</v>
          </cell>
          <cell r="GC4">
            <v>2023.5</v>
          </cell>
          <cell r="GD4">
            <v>2033.5</v>
          </cell>
          <cell r="GE4">
            <v>2019</v>
          </cell>
          <cell r="GF4">
            <v>2019.5</v>
          </cell>
          <cell r="GG4">
            <v>2006.5</v>
          </cell>
          <cell r="GH4">
            <v>2017.5</v>
          </cell>
          <cell r="GI4">
            <v>2021.5</v>
          </cell>
          <cell r="GJ4">
            <v>2050</v>
          </cell>
          <cell r="GK4">
            <v>2048.5</v>
          </cell>
          <cell r="GL4">
            <v>2037</v>
          </cell>
          <cell r="GM4">
            <v>2049</v>
          </cell>
          <cell r="GN4">
            <v>2055.5</v>
          </cell>
          <cell r="GO4">
            <v>2048</v>
          </cell>
          <cell r="GP4">
            <v>2057.5</v>
          </cell>
          <cell r="GQ4">
            <v>2051</v>
          </cell>
          <cell r="GR4">
            <v>2071</v>
          </cell>
          <cell r="GS4">
            <v>2080</v>
          </cell>
          <cell r="GT4">
            <v>2079.5</v>
          </cell>
          <cell r="GU4">
            <v>2066</v>
          </cell>
          <cell r="GV4">
            <v>2070.5</v>
          </cell>
          <cell r="GW4">
            <v>2072</v>
          </cell>
          <cell r="GX4">
            <v>2079</v>
          </cell>
          <cell r="GY4">
            <v>2070.5</v>
          </cell>
          <cell r="GZ4">
            <v>2067</v>
          </cell>
          <cell r="HA4">
            <v>2072</v>
          </cell>
          <cell r="HB4">
            <v>2063.5</v>
          </cell>
          <cell r="HC4">
            <v>2073.5</v>
          </cell>
          <cell r="HD4">
            <v>2083</v>
          </cell>
          <cell r="HE4">
            <v>2072.5</v>
          </cell>
          <cell r="HF4">
            <v>2053</v>
          </cell>
          <cell r="HG4">
            <v>2056.5</v>
          </cell>
          <cell r="HH4">
            <v>2065.5</v>
          </cell>
          <cell r="HI4">
            <v>2057.5</v>
          </cell>
          <cell r="HJ4">
            <v>2096.5</v>
          </cell>
          <cell r="HK4">
            <v>2090</v>
          </cell>
          <cell r="HL4">
            <v>2084</v>
          </cell>
          <cell r="HM4">
            <v>2076.5</v>
          </cell>
          <cell r="HN4">
            <v>2152</v>
          </cell>
          <cell r="HO4">
            <v>2166.5</v>
          </cell>
          <cell r="HP4">
            <v>2182.5</v>
          </cell>
          <cell r="HQ4">
            <v>2163</v>
          </cell>
          <cell r="HR4">
            <v>2146.5</v>
          </cell>
          <cell r="HS4">
            <v>2147</v>
          </cell>
          <cell r="HT4">
            <v>2159</v>
          </cell>
          <cell r="HU4">
            <v>2153.5</v>
          </cell>
          <cell r="HV4">
            <v>2137.5</v>
          </cell>
          <cell r="HW4">
            <v>2138.5</v>
          </cell>
          <cell r="HX4">
            <v>2178</v>
          </cell>
          <cell r="HY4">
            <v>2152</v>
          </cell>
          <cell r="HZ4">
            <v>2155.5</v>
          </cell>
          <cell r="IA4">
            <v>2153</v>
          </cell>
          <cell r="IB4">
            <v>2145</v>
          </cell>
          <cell r="IC4">
            <v>2120</v>
          </cell>
          <cell r="ID4">
            <v>2112</v>
          </cell>
          <cell r="IE4">
            <v>2077.5</v>
          </cell>
          <cell r="IF4">
            <v>2108</v>
          </cell>
          <cell r="IG4">
            <v>1999</v>
          </cell>
          <cell r="IH4">
            <v>2030.5</v>
          </cell>
          <cell r="II4">
            <v>2012.5</v>
          </cell>
          <cell r="IJ4">
            <v>2079.5</v>
          </cell>
          <cell r="IK4">
            <v>2026.5</v>
          </cell>
          <cell r="IL4">
            <v>2030.5</v>
          </cell>
          <cell r="IM4">
            <v>2073</v>
          </cell>
          <cell r="IN4">
            <v>2077.5</v>
          </cell>
          <cell r="IO4">
            <v>2108</v>
          </cell>
          <cell r="IP4">
            <v>2123.5</v>
          </cell>
          <cell r="IQ4">
            <v>2080.5</v>
          </cell>
          <cell r="IR4">
            <v>2077.5</v>
          </cell>
        </row>
        <row r="5">
          <cell r="A5" t="str">
            <v>2914.JP</v>
          </cell>
          <cell r="B5" t="str">
            <v>Japan Tobacco Inc</v>
          </cell>
          <cell r="C5" t="str">
            <v>日本菸草</v>
          </cell>
          <cell r="D5">
            <v>6081</v>
          </cell>
          <cell r="E5">
            <v>6086</v>
          </cell>
          <cell r="F5">
            <v>6098</v>
          </cell>
          <cell r="G5">
            <v>6105</v>
          </cell>
          <cell r="H5">
            <v>6005</v>
          </cell>
          <cell r="I5">
            <v>6076</v>
          </cell>
          <cell r="J5">
            <v>6020</v>
          </cell>
          <cell r="K5">
            <v>6056</v>
          </cell>
          <cell r="L5">
            <v>5978</v>
          </cell>
          <cell r="M5">
            <v>5983</v>
          </cell>
          <cell r="N5">
            <v>5950</v>
          </cell>
          <cell r="O5">
            <v>5820</v>
          </cell>
          <cell r="P5">
            <v>5693</v>
          </cell>
          <cell r="Q5">
            <v>5847</v>
          </cell>
          <cell r="R5">
            <v>5965</v>
          </cell>
          <cell r="S5">
            <v>5878</v>
          </cell>
          <cell r="T5">
            <v>5806</v>
          </cell>
          <cell r="U5">
            <v>5711</v>
          </cell>
          <cell r="V5">
            <v>5660</v>
          </cell>
          <cell r="W5">
            <v>5788</v>
          </cell>
          <cell r="X5">
            <v>5743</v>
          </cell>
          <cell r="Y5">
            <v>5660</v>
          </cell>
          <cell r="Z5">
            <v>5714</v>
          </cell>
          <cell r="AA5">
            <v>5680</v>
          </cell>
          <cell r="AB5">
            <v>5673</v>
          </cell>
          <cell r="AC5">
            <v>5806</v>
          </cell>
          <cell r="AD5">
            <v>5982</v>
          </cell>
          <cell r="AE5">
            <v>5987</v>
          </cell>
          <cell r="AF5">
            <v>6010</v>
          </cell>
          <cell r="AG5">
            <v>6077</v>
          </cell>
          <cell r="AH5">
            <v>5980</v>
          </cell>
          <cell r="AI5">
            <v>5893</v>
          </cell>
          <cell r="AJ5">
            <v>5972</v>
          </cell>
          <cell r="AK5">
            <v>5964</v>
          </cell>
          <cell r="AL5">
            <v>6140</v>
          </cell>
          <cell r="AM5">
            <v>6045</v>
          </cell>
          <cell r="AN5">
            <v>6134</v>
          </cell>
          <cell r="AO5">
            <v>6039</v>
          </cell>
          <cell r="AP5">
            <v>5934</v>
          </cell>
          <cell r="AQ5">
            <v>5887</v>
          </cell>
          <cell r="AR5">
            <v>5778</v>
          </cell>
          <cell r="AS5">
            <v>5694</v>
          </cell>
          <cell r="AT5">
            <v>5581</v>
          </cell>
          <cell r="AU5">
            <v>5559</v>
          </cell>
          <cell r="AV5">
            <v>5511</v>
          </cell>
          <cell r="AW5">
            <v>5574</v>
          </cell>
          <cell r="AX5">
            <v>5585</v>
          </cell>
          <cell r="AY5">
            <v>5648</v>
          </cell>
          <cell r="AZ5">
            <v>5681</v>
          </cell>
          <cell r="BA5">
            <v>5742</v>
          </cell>
          <cell r="BB5">
            <v>5783</v>
          </cell>
          <cell r="BC5">
            <v>5800</v>
          </cell>
          <cell r="BD5">
            <v>5830</v>
          </cell>
          <cell r="BE5">
            <v>5825</v>
          </cell>
          <cell r="BF5">
            <v>5793</v>
          </cell>
          <cell r="BG5">
            <v>5777</v>
          </cell>
          <cell r="BH5">
            <v>5730</v>
          </cell>
          <cell r="BI5">
            <v>5606</v>
          </cell>
          <cell r="BJ5">
            <v>5647</v>
          </cell>
          <cell r="BK5">
            <v>5636</v>
          </cell>
          <cell r="BL5">
            <v>5640</v>
          </cell>
          <cell r="BM5">
            <v>5667</v>
          </cell>
          <cell r="BN5">
            <v>5759</v>
          </cell>
          <cell r="BO5">
            <v>5768</v>
          </cell>
          <cell r="BP5">
            <v>5775</v>
          </cell>
          <cell r="BQ5">
            <v>5765</v>
          </cell>
          <cell r="BR5">
            <v>5749</v>
          </cell>
          <cell r="BS5">
            <v>5774</v>
          </cell>
          <cell r="BT5">
            <v>5772</v>
          </cell>
          <cell r="BU5">
            <v>5810</v>
          </cell>
          <cell r="BV5">
            <v>5819</v>
          </cell>
          <cell r="BW5">
            <v>5829</v>
          </cell>
          <cell r="BX5">
            <v>5782</v>
          </cell>
          <cell r="BY5">
            <v>5728</v>
          </cell>
          <cell r="BZ5">
            <v>5783</v>
          </cell>
          <cell r="CA5">
            <v>5790</v>
          </cell>
          <cell r="CB5">
            <v>5754</v>
          </cell>
          <cell r="CC5">
            <v>5741</v>
          </cell>
          <cell r="CD5">
            <v>5769</v>
          </cell>
          <cell r="CE5">
            <v>5814</v>
          </cell>
          <cell r="CF5">
            <v>5916</v>
          </cell>
          <cell r="CG5">
            <v>5865</v>
          </cell>
          <cell r="CH5">
            <v>5867</v>
          </cell>
          <cell r="CI5">
            <v>5883</v>
          </cell>
          <cell r="CJ5">
            <v>5847</v>
          </cell>
          <cell r="CK5">
            <v>5700</v>
          </cell>
          <cell r="CL5">
            <v>5770</v>
          </cell>
          <cell r="CM5">
            <v>5774</v>
          </cell>
          <cell r="CN5">
            <v>5687</v>
          </cell>
          <cell r="CO5">
            <v>5670</v>
          </cell>
          <cell r="CP5">
            <v>5701</v>
          </cell>
          <cell r="CQ5">
            <v>5685</v>
          </cell>
          <cell r="CR5">
            <v>5671</v>
          </cell>
          <cell r="CS5">
            <v>5712</v>
          </cell>
          <cell r="CT5">
            <v>5572</v>
          </cell>
          <cell r="CU5">
            <v>5541</v>
          </cell>
          <cell r="CV5">
            <v>5548</v>
          </cell>
          <cell r="CW5">
            <v>5470</v>
          </cell>
          <cell r="CX5">
            <v>5392</v>
          </cell>
          <cell r="CY5">
            <v>5283</v>
          </cell>
          <cell r="CZ5">
            <v>5365</v>
          </cell>
          <cell r="DA5">
            <v>4925</v>
          </cell>
          <cell r="DB5">
            <v>4908</v>
          </cell>
          <cell r="DC5">
            <v>4981</v>
          </cell>
          <cell r="DD5">
            <v>5010</v>
          </cell>
          <cell r="DE5">
            <v>4971</v>
          </cell>
          <cell r="DF5">
            <v>5000</v>
          </cell>
          <cell r="DG5">
            <v>4971</v>
          </cell>
          <cell r="DH5">
            <v>4982</v>
          </cell>
          <cell r="DI5">
            <v>5020</v>
          </cell>
          <cell r="DJ5">
            <v>5007</v>
          </cell>
          <cell r="DK5">
            <v>4953</v>
          </cell>
          <cell r="DL5">
            <v>4928</v>
          </cell>
          <cell r="DM5">
            <v>4910</v>
          </cell>
          <cell r="DN5">
            <v>4904</v>
          </cell>
          <cell r="DO5">
            <v>4869</v>
          </cell>
          <cell r="DP5">
            <v>4905</v>
          </cell>
          <cell r="DQ5">
            <v>4877</v>
          </cell>
          <cell r="DR5">
            <v>4936</v>
          </cell>
          <cell r="DS5">
            <v>4929</v>
          </cell>
          <cell r="DT5">
            <v>4757</v>
          </cell>
          <cell r="DU5">
            <v>4828</v>
          </cell>
          <cell r="DV5">
            <v>4862</v>
          </cell>
          <cell r="DW5">
            <v>4851</v>
          </cell>
          <cell r="DX5">
            <v>4922</v>
          </cell>
          <cell r="DY5">
            <v>4827</v>
          </cell>
          <cell r="DZ5">
            <v>4790</v>
          </cell>
          <cell r="EA5">
            <v>4764</v>
          </cell>
          <cell r="EB5">
            <v>4770</v>
          </cell>
          <cell r="EC5">
            <v>4753</v>
          </cell>
          <cell r="ED5">
            <v>4746</v>
          </cell>
          <cell r="EE5">
            <v>4753</v>
          </cell>
          <cell r="EF5">
            <v>4744</v>
          </cell>
          <cell r="EG5">
            <v>4752</v>
          </cell>
          <cell r="EH5">
            <v>4720</v>
          </cell>
          <cell r="EI5">
            <v>4725</v>
          </cell>
          <cell r="EJ5">
            <v>4783</v>
          </cell>
          <cell r="EK5">
            <v>4742</v>
          </cell>
          <cell r="EL5">
            <v>4713</v>
          </cell>
          <cell r="EM5">
            <v>4676</v>
          </cell>
          <cell r="EN5">
            <v>4685</v>
          </cell>
          <cell r="EO5">
            <v>4683</v>
          </cell>
          <cell r="EP5">
            <v>4688</v>
          </cell>
          <cell r="EQ5">
            <v>4724</v>
          </cell>
          <cell r="ER5">
            <v>4703</v>
          </cell>
          <cell r="ES5">
            <v>4705</v>
          </cell>
          <cell r="ET5">
            <v>4744</v>
          </cell>
          <cell r="EU5">
            <v>4830</v>
          </cell>
          <cell r="EV5">
            <v>4812</v>
          </cell>
          <cell r="EW5">
            <v>4877</v>
          </cell>
          <cell r="EX5">
            <v>4876</v>
          </cell>
          <cell r="EY5">
            <v>4710</v>
          </cell>
          <cell r="EZ5">
            <v>4744</v>
          </cell>
          <cell r="FA5">
            <v>4759</v>
          </cell>
          <cell r="FB5">
            <v>4800</v>
          </cell>
          <cell r="FC5">
            <v>4815</v>
          </cell>
          <cell r="FD5">
            <v>4777</v>
          </cell>
          <cell r="FE5">
            <v>4739</v>
          </cell>
          <cell r="FF5">
            <v>4689</v>
          </cell>
          <cell r="FG5">
            <v>4601</v>
          </cell>
          <cell r="FH5">
            <v>4578</v>
          </cell>
          <cell r="FI5">
            <v>4585</v>
          </cell>
          <cell r="FJ5">
            <v>4314</v>
          </cell>
          <cell r="FK5">
            <v>4291</v>
          </cell>
          <cell r="FL5">
            <v>4263</v>
          </cell>
          <cell r="FM5">
            <v>4269</v>
          </cell>
          <cell r="FN5">
            <v>4234</v>
          </cell>
          <cell r="FO5">
            <v>4269</v>
          </cell>
          <cell r="FP5">
            <v>4269</v>
          </cell>
          <cell r="FQ5">
            <v>4302</v>
          </cell>
          <cell r="FR5">
            <v>4301</v>
          </cell>
          <cell r="FS5">
            <v>4338</v>
          </cell>
          <cell r="FT5">
            <v>4287</v>
          </cell>
          <cell r="FU5">
            <v>4307</v>
          </cell>
          <cell r="FV5">
            <v>4272</v>
          </cell>
          <cell r="FW5">
            <v>4227</v>
          </cell>
          <cell r="FX5">
            <v>4155</v>
          </cell>
          <cell r="FY5">
            <v>4194</v>
          </cell>
          <cell r="FZ5">
            <v>4190</v>
          </cell>
          <cell r="GA5">
            <v>4208</v>
          </cell>
          <cell r="GB5">
            <v>4218</v>
          </cell>
          <cell r="GC5">
            <v>4214</v>
          </cell>
          <cell r="GD5">
            <v>4235</v>
          </cell>
          <cell r="GE5">
            <v>4252</v>
          </cell>
          <cell r="GF5">
            <v>4248</v>
          </cell>
          <cell r="GG5">
            <v>4214</v>
          </cell>
          <cell r="GH5">
            <v>4279</v>
          </cell>
          <cell r="GI5">
            <v>4312</v>
          </cell>
          <cell r="GJ5">
            <v>4350</v>
          </cell>
          <cell r="GK5">
            <v>4380</v>
          </cell>
          <cell r="GL5">
            <v>4363</v>
          </cell>
          <cell r="GM5">
            <v>4416</v>
          </cell>
          <cell r="GN5">
            <v>4400</v>
          </cell>
          <cell r="GO5">
            <v>4355</v>
          </cell>
          <cell r="GP5">
            <v>4360</v>
          </cell>
          <cell r="GQ5">
            <v>4336</v>
          </cell>
          <cell r="GR5">
            <v>4417</v>
          </cell>
          <cell r="GS5">
            <v>4362</v>
          </cell>
          <cell r="GT5">
            <v>4401</v>
          </cell>
          <cell r="GU5">
            <v>4365</v>
          </cell>
          <cell r="GV5">
            <v>4330</v>
          </cell>
          <cell r="GW5">
            <v>4287</v>
          </cell>
          <cell r="GX5">
            <v>4367</v>
          </cell>
          <cell r="GY5">
            <v>4410</v>
          </cell>
          <cell r="GZ5">
            <v>4411</v>
          </cell>
          <cell r="HA5">
            <v>4438</v>
          </cell>
          <cell r="HB5">
            <v>4434</v>
          </cell>
          <cell r="HC5">
            <v>4439</v>
          </cell>
          <cell r="HD5">
            <v>4427</v>
          </cell>
          <cell r="HE5">
            <v>4427</v>
          </cell>
          <cell r="HF5">
            <v>4448</v>
          </cell>
          <cell r="HG5">
            <v>4411</v>
          </cell>
          <cell r="HH5">
            <v>4455</v>
          </cell>
          <cell r="HI5">
            <v>4477</v>
          </cell>
          <cell r="HJ5">
            <v>4458</v>
          </cell>
          <cell r="HK5">
            <v>4433</v>
          </cell>
          <cell r="HL5">
            <v>4348</v>
          </cell>
          <cell r="HM5">
            <v>4370</v>
          </cell>
          <cell r="HN5">
            <v>4472</v>
          </cell>
          <cell r="HO5">
            <v>4506</v>
          </cell>
          <cell r="HP5">
            <v>4569</v>
          </cell>
          <cell r="HQ5">
            <v>4559</v>
          </cell>
          <cell r="HR5">
            <v>4502</v>
          </cell>
          <cell r="HS5">
            <v>4488</v>
          </cell>
          <cell r="HT5">
            <v>4407</v>
          </cell>
          <cell r="HU5">
            <v>4382</v>
          </cell>
          <cell r="HV5">
            <v>4354</v>
          </cell>
          <cell r="HW5">
            <v>4341</v>
          </cell>
          <cell r="HX5">
            <v>4416</v>
          </cell>
          <cell r="HY5">
            <v>4240</v>
          </cell>
          <cell r="HZ5">
            <v>4250</v>
          </cell>
          <cell r="IA5">
            <v>4250</v>
          </cell>
          <cell r="IB5">
            <v>4201</v>
          </cell>
          <cell r="IC5">
            <v>4209</v>
          </cell>
          <cell r="ID5">
            <v>4155</v>
          </cell>
          <cell r="IE5">
            <v>4089</v>
          </cell>
          <cell r="IF5">
            <v>4150</v>
          </cell>
          <cell r="IG5">
            <v>4005</v>
          </cell>
          <cell r="IH5">
            <v>4027</v>
          </cell>
          <cell r="II5">
            <v>3849</v>
          </cell>
          <cell r="IJ5">
            <v>4066</v>
          </cell>
          <cell r="IK5">
            <v>4048</v>
          </cell>
          <cell r="IL5">
            <v>4120</v>
          </cell>
          <cell r="IM5">
            <v>4158</v>
          </cell>
          <cell r="IN5">
            <v>4114</v>
          </cell>
          <cell r="IO5">
            <v>4199</v>
          </cell>
          <cell r="IP5">
            <v>4175</v>
          </cell>
          <cell r="IQ5">
            <v>4149</v>
          </cell>
          <cell r="IR5">
            <v>4135</v>
          </cell>
        </row>
        <row r="6">
          <cell r="A6" t="str">
            <v>6417.JP</v>
          </cell>
          <cell r="B6" t="str">
            <v>SNAKYO</v>
          </cell>
          <cell r="C6" t="str">
            <v xml:space="preserve"> 三共柏青哥</v>
          </cell>
          <cell r="D6">
            <v>1970</v>
          </cell>
          <cell r="E6">
            <v>1960</v>
          </cell>
          <cell r="F6">
            <v>1964.5</v>
          </cell>
          <cell r="G6">
            <v>1967.5</v>
          </cell>
          <cell r="H6">
            <v>1959</v>
          </cell>
          <cell r="I6">
            <v>1990.5</v>
          </cell>
          <cell r="J6">
            <v>1940</v>
          </cell>
          <cell r="K6">
            <v>1920.5</v>
          </cell>
          <cell r="L6">
            <v>2007</v>
          </cell>
          <cell r="M6">
            <v>2009.5</v>
          </cell>
          <cell r="N6">
            <v>2019</v>
          </cell>
          <cell r="O6">
            <v>2023.5</v>
          </cell>
          <cell r="P6">
            <v>2011</v>
          </cell>
          <cell r="Q6">
            <v>1994.5</v>
          </cell>
          <cell r="R6">
            <v>2058</v>
          </cell>
          <cell r="S6">
            <v>2034.5</v>
          </cell>
        </row>
        <row r="7">
          <cell r="A7" t="str">
            <v>8031.JP</v>
          </cell>
          <cell r="B7" t="str">
            <v>Mitsui &amp; Co Ltd</v>
          </cell>
          <cell r="C7" t="str">
            <v>三井物產</v>
          </cell>
          <cell r="D7">
            <v>6361</v>
          </cell>
          <cell r="E7">
            <v>6378</v>
          </cell>
          <cell r="F7">
            <v>6364</v>
          </cell>
          <cell r="G7">
            <v>6381</v>
          </cell>
          <cell r="H7">
            <v>6212</v>
          </cell>
          <cell r="I7">
            <v>6325</v>
          </cell>
          <cell r="J7">
            <v>5959</v>
          </cell>
          <cell r="K7">
            <v>6289</v>
          </cell>
          <cell r="L7">
            <v>6540</v>
          </cell>
          <cell r="M7">
            <v>6390</v>
          </cell>
          <cell r="N7">
            <v>6253</v>
          </cell>
          <cell r="O7">
            <v>6147</v>
          </cell>
          <cell r="P7">
            <v>5874</v>
          </cell>
          <cell r="Q7">
            <v>6250</v>
          </cell>
          <cell r="R7">
            <v>6659</v>
          </cell>
          <cell r="S7">
            <v>6205</v>
          </cell>
          <cell r="T7">
            <v>5974</v>
          </cell>
          <cell r="U7">
            <v>5828</v>
          </cell>
          <cell r="V7">
            <v>5792</v>
          </cell>
          <cell r="W7">
            <v>5968</v>
          </cell>
          <cell r="X7">
            <v>5892</v>
          </cell>
          <cell r="Y7">
            <v>5722</v>
          </cell>
          <cell r="Z7">
            <v>5931</v>
          </cell>
          <cell r="AA7">
            <v>5904</v>
          </cell>
          <cell r="AB7">
            <v>5564</v>
          </cell>
          <cell r="AC7">
            <v>5959</v>
          </cell>
          <cell r="AD7">
            <v>6040</v>
          </cell>
          <cell r="AE7">
            <v>5872</v>
          </cell>
          <cell r="AF7">
            <v>5708</v>
          </cell>
          <cell r="AG7">
            <v>5700</v>
          </cell>
          <cell r="AH7">
            <v>5555</v>
          </cell>
          <cell r="AI7">
            <v>5505</v>
          </cell>
          <cell r="AJ7">
            <v>5593</v>
          </cell>
          <cell r="AK7">
            <v>5448</v>
          </cell>
          <cell r="AL7">
            <v>5807</v>
          </cell>
          <cell r="AM7">
            <v>5495</v>
          </cell>
          <cell r="AN7">
            <v>5364</v>
          </cell>
          <cell r="AO7">
            <v>5176</v>
          </cell>
          <cell r="AP7">
            <v>5123</v>
          </cell>
          <cell r="AQ7">
            <v>5230</v>
          </cell>
          <cell r="AR7">
            <v>5147</v>
          </cell>
          <cell r="AS7">
            <v>4952</v>
          </cell>
          <cell r="AT7">
            <v>5035</v>
          </cell>
          <cell r="AU7">
            <v>5069</v>
          </cell>
          <cell r="AV7">
            <v>4990</v>
          </cell>
          <cell r="AW7">
            <v>5016</v>
          </cell>
          <cell r="AX7">
            <v>4970</v>
          </cell>
          <cell r="AY7">
            <v>5145</v>
          </cell>
          <cell r="AZ7">
            <v>5133</v>
          </cell>
          <cell r="BA7">
            <v>5090</v>
          </cell>
          <cell r="BB7">
            <v>5100</v>
          </cell>
          <cell r="BC7">
            <v>5156</v>
          </cell>
          <cell r="BD7">
            <v>5148</v>
          </cell>
          <cell r="BE7">
            <v>5048</v>
          </cell>
          <cell r="BF7">
            <v>5000</v>
          </cell>
          <cell r="BG7">
            <v>4799</v>
          </cell>
          <cell r="BH7">
            <v>4780</v>
          </cell>
          <cell r="BI7">
            <v>4794</v>
          </cell>
          <cell r="BJ7">
            <v>4850</v>
          </cell>
          <cell r="BK7">
            <v>4753</v>
          </cell>
          <cell r="BL7">
            <v>4643</v>
          </cell>
          <cell r="BM7">
            <v>4690</v>
          </cell>
          <cell r="BN7">
            <v>4565</v>
          </cell>
          <cell r="BO7">
            <v>4570</v>
          </cell>
          <cell r="BP7">
            <v>4540</v>
          </cell>
          <cell r="BQ7">
            <v>4598</v>
          </cell>
          <cell r="BR7">
            <v>4559</v>
          </cell>
          <cell r="BS7">
            <v>4532</v>
          </cell>
          <cell r="BT7">
            <v>4471</v>
          </cell>
          <cell r="BU7">
            <v>4477</v>
          </cell>
          <cell r="BV7">
            <v>4488</v>
          </cell>
          <cell r="BW7">
            <v>4568</v>
          </cell>
          <cell r="BX7">
            <v>4589</v>
          </cell>
          <cell r="BY7">
            <v>4543</v>
          </cell>
          <cell r="BZ7">
            <v>4320</v>
          </cell>
          <cell r="CA7">
            <v>4308</v>
          </cell>
          <cell r="CB7">
            <v>4279</v>
          </cell>
          <cell r="CC7">
            <v>4211</v>
          </cell>
          <cell r="CD7">
            <v>4281</v>
          </cell>
          <cell r="CE7">
            <v>4101</v>
          </cell>
          <cell r="CF7">
            <v>4119</v>
          </cell>
          <cell r="CG7">
            <v>4098</v>
          </cell>
          <cell r="CH7">
            <v>4147</v>
          </cell>
          <cell r="CI7">
            <v>4131</v>
          </cell>
          <cell r="CJ7">
            <v>4133</v>
          </cell>
          <cell r="CK7">
            <v>3987</v>
          </cell>
          <cell r="CL7">
            <v>3988</v>
          </cell>
          <cell r="CM7">
            <v>4026</v>
          </cell>
          <cell r="CN7">
            <v>3983</v>
          </cell>
          <cell r="CO7">
            <v>3973</v>
          </cell>
          <cell r="CP7">
            <v>4058</v>
          </cell>
          <cell r="CQ7">
            <v>4103</v>
          </cell>
          <cell r="CR7">
            <v>4100</v>
          </cell>
          <cell r="CS7">
            <v>4087</v>
          </cell>
          <cell r="CT7">
            <v>3967</v>
          </cell>
          <cell r="CU7">
            <v>4035</v>
          </cell>
          <cell r="CV7">
            <v>4030</v>
          </cell>
          <cell r="CW7">
            <v>4057</v>
          </cell>
          <cell r="CX7">
            <v>3933</v>
          </cell>
          <cell r="CY7">
            <v>3756</v>
          </cell>
          <cell r="CZ7">
            <v>3802</v>
          </cell>
          <cell r="DA7">
            <v>3779</v>
          </cell>
          <cell r="DB7">
            <v>3730</v>
          </cell>
          <cell r="DC7">
            <v>3781</v>
          </cell>
          <cell r="DD7">
            <v>3857</v>
          </cell>
          <cell r="DE7">
            <v>3782</v>
          </cell>
          <cell r="DF7">
            <v>3718</v>
          </cell>
          <cell r="DG7">
            <v>3729</v>
          </cell>
          <cell r="DH7">
            <v>3721</v>
          </cell>
          <cell r="DI7">
            <v>3719</v>
          </cell>
          <cell r="DJ7">
            <v>3651</v>
          </cell>
          <cell r="DK7">
            <v>3644</v>
          </cell>
          <cell r="DL7">
            <v>3734</v>
          </cell>
          <cell r="DM7">
            <v>3680</v>
          </cell>
          <cell r="DN7">
            <v>3714</v>
          </cell>
          <cell r="DO7">
            <v>3793</v>
          </cell>
          <cell r="DP7">
            <v>3759</v>
          </cell>
          <cell r="DQ7">
            <v>3697</v>
          </cell>
          <cell r="DR7">
            <v>3710</v>
          </cell>
          <cell r="DS7">
            <v>3657</v>
          </cell>
          <cell r="DT7">
            <v>3632</v>
          </cell>
          <cell r="DU7">
            <v>3637</v>
          </cell>
          <cell r="DV7">
            <v>3680</v>
          </cell>
          <cell r="DW7">
            <v>3706</v>
          </cell>
          <cell r="DX7">
            <v>3816</v>
          </cell>
          <cell r="DY7">
            <v>3774</v>
          </cell>
          <cell r="DZ7">
            <v>3774</v>
          </cell>
          <cell r="EA7">
            <v>3774</v>
          </cell>
          <cell r="EB7">
            <v>3724</v>
          </cell>
          <cell r="EC7">
            <v>3667</v>
          </cell>
          <cell r="ED7">
            <v>3643</v>
          </cell>
          <cell r="EE7">
            <v>3701</v>
          </cell>
          <cell r="EF7">
            <v>3644</v>
          </cell>
          <cell r="EG7">
            <v>3631</v>
          </cell>
          <cell r="EH7">
            <v>3645</v>
          </cell>
          <cell r="EI7">
            <v>3663</v>
          </cell>
          <cell r="EJ7">
            <v>3720</v>
          </cell>
          <cell r="EK7">
            <v>3715</v>
          </cell>
          <cell r="EL7">
            <v>3635</v>
          </cell>
          <cell r="EM7">
            <v>3589</v>
          </cell>
          <cell r="EN7">
            <v>3544</v>
          </cell>
          <cell r="EO7">
            <v>3407</v>
          </cell>
          <cell r="EP7">
            <v>3426</v>
          </cell>
          <cell r="EQ7">
            <v>3376</v>
          </cell>
          <cell r="ER7">
            <v>3335</v>
          </cell>
          <cell r="ES7">
            <v>3355</v>
          </cell>
          <cell r="ET7">
            <v>3403</v>
          </cell>
          <cell r="EU7">
            <v>3350</v>
          </cell>
          <cell r="EV7">
            <v>3322</v>
          </cell>
          <cell r="EW7">
            <v>3309</v>
          </cell>
          <cell r="EX7">
            <v>3307</v>
          </cell>
          <cell r="EY7">
            <v>3288</v>
          </cell>
          <cell r="EZ7">
            <v>3272</v>
          </cell>
          <cell r="FA7">
            <v>3215</v>
          </cell>
          <cell r="FB7">
            <v>3276</v>
          </cell>
          <cell r="FC7">
            <v>3306</v>
          </cell>
          <cell r="FD7">
            <v>3232</v>
          </cell>
          <cell r="FE7">
            <v>3162</v>
          </cell>
          <cell r="FF7">
            <v>3146</v>
          </cell>
          <cell r="FG7">
            <v>3120</v>
          </cell>
          <cell r="FH7">
            <v>3107</v>
          </cell>
          <cell r="FI7">
            <v>3107</v>
          </cell>
          <cell r="FJ7">
            <v>3089</v>
          </cell>
          <cell r="FK7">
            <v>3060</v>
          </cell>
          <cell r="FL7">
            <v>3038</v>
          </cell>
          <cell r="FM7">
            <v>3095</v>
          </cell>
          <cell r="FN7">
            <v>3147</v>
          </cell>
          <cell r="FO7">
            <v>3198</v>
          </cell>
          <cell r="FP7">
            <v>3142</v>
          </cell>
          <cell r="FQ7">
            <v>3030</v>
          </cell>
          <cell r="FR7">
            <v>2984.5</v>
          </cell>
          <cell r="FS7">
            <v>2983</v>
          </cell>
          <cell r="FT7">
            <v>2985</v>
          </cell>
          <cell r="FU7">
            <v>2983</v>
          </cell>
          <cell r="FV7">
            <v>3048</v>
          </cell>
          <cell r="FW7">
            <v>3046</v>
          </cell>
          <cell r="FX7">
            <v>3018</v>
          </cell>
          <cell r="FY7">
            <v>3064</v>
          </cell>
          <cell r="FZ7">
            <v>3023</v>
          </cell>
          <cell r="GA7">
            <v>2996</v>
          </cell>
          <cell r="GB7">
            <v>2997.5</v>
          </cell>
          <cell r="GC7">
            <v>3015</v>
          </cell>
          <cell r="GD7">
            <v>2957</v>
          </cell>
          <cell r="GE7">
            <v>2925</v>
          </cell>
          <cell r="GF7">
            <v>2947</v>
          </cell>
          <cell r="GG7">
            <v>2943</v>
          </cell>
          <cell r="GH7">
            <v>2873.5</v>
          </cell>
          <cell r="GI7">
            <v>2866</v>
          </cell>
          <cell r="GJ7">
            <v>2908</v>
          </cell>
          <cell r="GK7">
            <v>2898</v>
          </cell>
          <cell r="GL7">
            <v>2922.5</v>
          </cell>
          <cell r="GM7">
            <v>2946.5</v>
          </cell>
          <cell r="GN7">
            <v>2997</v>
          </cell>
          <cell r="GO7">
            <v>2974</v>
          </cell>
          <cell r="GP7">
            <v>2971.5</v>
          </cell>
          <cell r="GQ7">
            <v>2905.5</v>
          </cell>
          <cell r="GR7">
            <v>2940</v>
          </cell>
          <cell r="GS7">
            <v>2942.5</v>
          </cell>
          <cell r="GT7">
            <v>2924.5</v>
          </cell>
          <cell r="GU7">
            <v>2950</v>
          </cell>
          <cell r="GV7">
            <v>2957.5</v>
          </cell>
          <cell r="GW7">
            <v>2945</v>
          </cell>
          <cell r="GX7">
            <v>2970.5</v>
          </cell>
          <cell r="GY7">
            <v>2973</v>
          </cell>
          <cell r="GZ7">
            <v>2983</v>
          </cell>
          <cell r="HA7">
            <v>3029</v>
          </cell>
          <cell r="HB7">
            <v>3030</v>
          </cell>
          <cell r="HC7">
            <v>2975</v>
          </cell>
          <cell r="HD7">
            <v>2945</v>
          </cell>
          <cell r="HE7">
            <v>2916.5</v>
          </cell>
          <cell r="HF7">
            <v>2953.5</v>
          </cell>
          <cell r="HG7">
            <v>2937</v>
          </cell>
          <cell r="HH7">
            <v>2993</v>
          </cell>
          <cell r="HI7">
            <v>2910</v>
          </cell>
          <cell r="HJ7">
            <v>2946</v>
          </cell>
          <cell r="HK7">
            <v>2941</v>
          </cell>
          <cell r="HL7">
            <v>2918</v>
          </cell>
          <cell r="HM7">
            <v>2923.5</v>
          </cell>
          <cell r="HN7">
            <v>2932</v>
          </cell>
          <cell r="HO7">
            <v>2910.5</v>
          </cell>
          <cell r="HP7">
            <v>2892.5</v>
          </cell>
          <cell r="HQ7">
            <v>2847.5</v>
          </cell>
          <cell r="HR7">
            <v>2870</v>
          </cell>
          <cell r="HS7">
            <v>2782.5</v>
          </cell>
          <cell r="HT7">
            <v>2898</v>
          </cell>
          <cell r="HU7">
            <v>2864</v>
          </cell>
          <cell r="HV7">
            <v>2820</v>
          </cell>
          <cell r="HW7">
            <v>2790</v>
          </cell>
          <cell r="HX7">
            <v>2743</v>
          </cell>
          <cell r="HY7">
            <v>2624</v>
          </cell>
          <cell r="HZ7">
            <v>2657.5</v>
          </cell>
          <cell r="IA7">
            <v>2613</v>
          </cell>
          <cell r="IB7">
            <v>2613</v>
          </cell>
          <cell r="IC7">
            <v>2649.5</v>
          </cell>
          <cell r="ID7">
            <v>2629.5</v>
          </cell>
          <cell r="IE7">
            <v>2620</v>
          </cell>
          <cell r="IF7">
            <v>2706</v>
          </cell>
          <cell r="IG7">
            <v>2513.5</v>
          </cell>
          <cell r="IH7">
            <v>2596</v>
          </cell>
          <cell r="II7">
            <v>2470</v>
          </cell>
          <cell r="IJ7">
            <v>2652.5</v>
          </cell>
          <cell r="IK7">
            <v>2724.5</v>
          </cell>
          <cell r="IL7">
            <v>2788</v>
          </cell>
          <cell r="IM7">
            <v>2825</v>
          </cell>
          <cell r="IN7">
            <v>2799.5</v>
          </cell>
          <cell r="IO7">
            <v>2943.5</v>
          </cell>
          <cell r="IP7">
            <v>3028</v>
          </cell>
          <cell r="IQ7">
            <v>2990</v>
          </cell>
          <cell r="IR7">
            <v>2954.5</v>
          </cell>
        </row>
        <row r="8">
          <cell r="A8" t="str">
            <v>8601.JP</v>
          </cell>
          <cell r="B8" t="str">
            <v>Daiwa Securities Group Inc.</v>
          </cell>
          <cell r="C8" t="str">
            <v>大和證券</v>
          </cell>
          <cell r="D8">
            <v>1563.5</v>
          </cell>
          <cell r="E8">
            <v>1504.5</v>
          </cell>
          <cell r="F8">
            <v>1510.5</v>
          </cell>
          <cell r="G8">
            <v>1519</v>
          </cell>
          <cell r="H8">
            <v>1504</v>
          </cell>
          <cell r="I8">
            <v>1526.5</v>
          </cell>
          <cell r="J8">
            <v>1460</v>
          </cell>
          <cell r="K8">
            <v>1495</v>
          </cell>
          <cell r="L8">
            <v>1577</v>
          </cell>
          <cell r="M8">
            <v>1565.5</v>
          </cell>
          <cell r="N8">
            <v>1560.5</v>
          </cell>
          <cell r="O8">
            <v>1500</v>
          </cell>
          <cell r="P8">
            <v>1465.5</v>
          </cell>
          <cell r="Q8">
            <v>1477</v>
          </cell>
          <cell r="R8">
            <v>1509.5</v>
          </cell>
          <cell r="S8">
            <v>1462.5</v>
          </cell>
          <cell r="T8">
            <v>1438.5</v>
          </cell>
          <cell r="U8">
            <v>1436.5</v>
          </cell>
          <cell r="V8">
            <v>1450</v>
          </cell>
          <cell r="W8">
            <v>1508</v>
          </cell>
          <cell r="X8">
            <v>1488</v>
          </cell>
          <cell r="Y8">
            <v>1436.5</v>
          </cell>
          <cell r="Z8">
            <v>1525</v>
          </cell>
          <cell r="AA8">
            <v>1514</v>
          </cell>
          <cell r="AB8">
            <v>1470</v>
          </cell>
          <cell r="AC8">
            <v>1545</v>
          </cell>
          <cell r="AD8">
            <v>1588</v>
          </cell>
          <cell r="AE8">
            <v>1646</v>
          </cell>
          <cell r="AF8">
            <v>1616</v>
          </cell>
          <cell r="AG8">
            <v>1605</v>
          </cell>
          <cell r="AH8">
            <v>1588.5</v>
          </cell>
          <cell r="AI8">
            <v>1592.5</v>
          </cell>
          <cell r="AJ8">
            <v>1627.5</v>
          </cell>
          <cell r="AK8">
            <v>1599</v>
          </cell>
          <cell r="AL8">
            <v>1674</v>
          </cell>
          <cell r="AM8">
            <v>1669</v>
          </cell>
          <cell r="AN8">
            <v>1631</v>
          </cell>
          <cell r="AO8">
            <v>1586</v>
          </cell>
          <cell r="AP8">
            <v>1560</v>
          </cell>
          <cell r="AQ8">
            <v>1547</v>
          </cell>
          <cell r="AR8">
            <v>1522.5</v>
          </cell>
          <cell r="AS8">
            <v>1447.5</v>
          </cell>
          <cell r="AT8">
            <v>1503.5</v>
          </cell>
          <cell r="AU8">
            <v>1498</v>
          </cell>
          <cell r="AV8">
            <v>1490.5</v>
          </cell>
          <cell r="AW8">
            <v>1495.5</v>
          </cell>
          <cell r="AX8">
            <v>1478</v>
          </cell>
          <cell r="AY8">
            <v>1516</v>
          </cell>
          <cell r="AZ8">
            <v>1509.5</v>
          </cell>
          <cell r="BA8">
            <v>1490</v>
          </cell>
          <cell r="BB8">
            <v>1544</v>
          </cell>
          <cell r="BC8">
            <v>1560</v>
          </cell>
          <cell r="BD8">
            <v>1562.5</v>
          </cell>
          <cell r="BE8">
            <v>1542</v>
          </cell>
          <cell r="BF8">
            <v>1528.5</v>
          </cell>
          <cell r="BG8">
            <v>1473</v>
          </cell>
          <cell r="BH8">
            <v>1459</v>
          </cell>
          <cell r="BI8">
            <v>1495</v>
          </cell>
          <cell r="BJ8">
            <v>1475</v>
          </cell>
          <cell r="BK8">
            <v>1393</v>
          </cell>
          <cell r="BL8">
            <v>1370.5</v>
          </cell>
          <cell r="BM8">
            <v>1383.5</v>
          </cell>
          <cell r="BN8">
            <v>1380.5</v>
          </cell>
          <cell r="BO8">
            <v>1384</v>
          </cell>
          <cell r="BP8">
            <v>1379.5</v>
          </cell>
          <cell r="BQ8">
            <v>1381.5</v>
          </cell>
          <cell r="BR8">
            <v>1362</v>
          </cell>
          <cell r="BS8">
            <v>1348.5</v>
          </cell>
          <cell r="BT8">
            <v>1342</v>
          </cell>
          <cell r="BU8">
            <v>1334</v>
          </cell>
          <cell r="BV8">
            <v>1342.5</v>
          </cell>
          <cell r="BW8">
            <v>1376.5</v>
          </cell>
          <cell r="BX8">
            <v>1376</v>
          </cell>
          <cell r="BY8">
            <v>1355.5</v>
          </cell>
          <cell r="BZ8">
            <v>1346.5</v>
          </cell>
          <cell r="CA8">
            <v>1325</v>
          </cell>
          <cell r="CB8">
            <v>1325.5</v>
          </cell>
          <cell r="CC8">
            <v>1303.5</v>
          </cell>
          <cell r="CD8">
            <v>1342</v>
          </cell>
          <cell r="CE8">
            <v>1317.5</v>
          </cell>
          <cell r="CF8">
            <v>1318</v>
          </cell>
          <cell r="CG8">
            <v>1289.5</v>
          </cell>
          <cell r="CH8">
            <v>1294.5</v>
          </cell>
          <cell r="CI8">
            <v>1297</v>
          </cell>
          <cell r="CJ8">
            <v>1305.5</v>
          </cell>
          <cell r="CK8">
            <v>1260</v>
          </cell>
          <cell r="CL8">
            <v>1247.5</v>
          </cell>
          <cell r="CM8">
            <v>1256</v>
          </cell>
          <cell r="CN8">
            <v>1224</v>
          </cell>
          <cell r="CO8">
            <v>1232</v>
          </cell>
          <cell r="CP8">
            <v>1284</v>
          </cell>
          <cell r="CQ8">
            <v>1303</v>
          </cell>
          <cell r="CR8">
            <v>1299</v>
          </cell>
          <cell r="CS8">
            <v>1298</v>
          </cell>
          <cell r="CT8">
            <v>1264.5</v>
          </cell>
          <cell r="CU8">
            <v>1258.5</v>
          </cell>
          <cell r="CV8">
            <v>1240</v>
          </cell>
          <cell r="CW8">
            <v>1241.5</v>
          </cell>
          <cell r="CX8">
            <v>1212.5</v>
          </cell>
          <cell r="CY8">
            <v>1235</v>
          </cell>
          <cell r="CZ8">
            <v>1189.5</v>
          </cell>
          <cell r="DA8">
            <v>1187</v>
          </cell>
          <cell r="DB8">
            <v>1176.5</v>
          </cell>
          <cell r="DC8">
            <v>1183</v>
          </cell>
          <cell r="DD8">
            <v>1184</v>
          </cell>
          <cell r="DE8">
            <v>1154</v>
          </cell>
          <cell r="DF8">
            <v>1169.5</v>
          </cell>
          <cell r="DG8">
            <v>1173.5</v>
          </cell>
          <cell r="DH8">
            <v>1170</v>
          </cell>
          <cell r="DI8">
            <v>1162.5</v>
          </cell>
          <cell r="DJ8">
            <v>1134.5</v>
          </cell>
          <cell r="DK8">
            <v>1157</v>
          </cell>
          <cell r="DL8">
            <v>1143</v>
          </cell>
          <cell r="DM8">
            <v>1119.5</v>
          </cell>
          <cell r="DN8">
            <v>1167</v>
          </cell>
          <cell r="DO8">
            <v>1184</v>
          </cell>
          <cell r="DP8">
            <v>1189</v>
          </cell>
          <cell r="DQ8">
            <v>1198</v>
          </cell>
          <cell r="DR8">
            <v>1211</v>
          </cell>
          <cell r="DS8">
            <v>1179.5</v>
          </cell>
          <cell r="DT8">
            <v>1174</v>
          </cell>
          <cell r="DU8">
            <v>1175</v>
          </cell>
          <cell r="DV8">
            <v>1202.5</v>
          </cell>
          <cell r="DW8">
            <v>1192</v>
          </cell>
          <cell r="DX8">
            <v>1228.5</v>
          </cell>
          <cell r="DY8">
            <v>1215</v>
          </cell>
          <cell r="DZ8">
            <v>1205</v>
          </cell>
          <cell r="EA8">
            <v>1210</v>
          </cell>
          <cell r="EB8">
            <v>1198</v>
          </cell>
          <cell r="EC8">
            <v>1204</v>
          </cell>
          <cell r="ED8">
            <v>1202</v>
          </cell>
          <cell r="EE8">
            <v>1220</v>
          </cell>
          <cell r="EF8">
            <v>1210</v>
          </cell>
          <cell r="EG8">
            <v>1205</v>
          </cell>
          <cell r="EH8">
            <v>1212.5</v>
          </cell>
          <cell r="EI8">
            <v>1194.5</v>
          </cell>
          <cell r="EJ8">
            <v>1207</v>
          </cell>
          <cell r="EK8">
            <v>1163</v>
          </cell>
          <cell r="EL8">
            <v>1157.5</v>
          </cell>
          <cell r="EM8">
            <v>1154.5</v>
          </cell>
          <cell r="EN8">
            <v>1163.5</v>
          </cell>
          <cell r="EO8">
            <v>1138.5</v>
          </cell>
          <cell r="EP8">
            <v>1153</v>
          </cell>
          <cell r="EQ8">
            <v>1158.5</v>
          </cell>
          <cell r="ER8">
            <v>1143.5</v>
          </cell>
          <cell r="ES8">
            <v>1149</v>
          </cell>
          <cell r="ET8">
            <v>1163.5</v>
          </cell>
          <cell r="EU8">
            <v>1157.5</v>
          </cell>
          <cell r="EV8">
            <v>1139</v>
          </cell>
          <cell r="EW8">
            <v>1137</v>
          </cell>
          <cell r="EX8">
            <v>1144</v>
          </cell>
          <cell r="EY8">
            <v>1140.5</v>
          </cell>
          <cell r="EZ8">
            <v>1137.5</v>
          </cell>
          <cell r="FA8">
            <v>1116</v>
          </cell>
          <cell r="FB8">
            <v>1123.5</v>
          </cell>
          <cell r="FC8">
            <v>1121</v>
          </cell>
          <cell r="FD8">
            <v>1099</v>
          </cell>
          <cell r="FE8">
            <v>1085</v>
          </cell>
          <cell r="FF8">
            <v>1075</v>
          </cell>
          <cell r="FG8">
            <v>1065</v>
          </cell>
          <cell r="FH8">
            <v>1049.5</v>
          </cell>
          <cell r="FI8">
            <v>1068</v>
          </cell>
          <cell r="FJ8">
            <v>1051</v>
          </cell>
          <cell r="FK8">
            <v>1053.5</v>
          </cell>
          <cell r="FL8">
            <v>1044.5</v>
          </cell>
          <cell r="FM8">
            <v>1052.5</v>
          </cell>
          <cell r="FN8">
            <v>1061.5</v>
          </cell>
          <cell r="FO8">
            <v>1063</v>
          </cell>
          <cell r="FP8">
            <v>1053.5</v>
          </cell>
          <cell r="FQ8">
            <v>1023.5</v>
          </cell>
          <cell r="FR8">
            <v>1016</v>
          </cell>
          <cell r="FS8">
            <v>1019</v>
          </cell>
          <cell r="FT8">
            <v>1014</v>
          </cell>
          <cell r="FU8">
            <v>1020</v>
          </cell>
          <cell r="FV8">
            <v>1021.5</v>
          </cell>
          <cell r="FW8">
            <v>1022.5</v>
          </cell>
          <cell r="FX8">
            <v>1006.5</v>
          </cell>
          <cell r="FY8">
            <v>1008.5</v>
          </cell>
          <cell r="FZ8">
            <v>998.3</v>
          </cell>
          <cell r="GA8">
            <v>994</v>
          </cell>
          <cell r="GB8">
            <v>1015</v>
          </cell>
          <cell r="GC8">
            <v>1007.5</v>
          </cell>
          <cell r="GD8">
            <v>1005</v>
          </cell>
          <cell r="GE8">
            <v>1007.5</v>
          </cell>
          <cell r="GF8">
            <v>1024.5</v>
          </cell>
          <cell r="GG8">
            <v>1020</v>
          </cell>
          <cell r="GH8">
            <v>1003.5</v>
          </cell>
          <cell r="GI8">
            <v>992.8</v>
          </cell>
          <cell r="GJ8">
            <v>996.2</v>
          </cell>
          <cell r="GK8">
            <v>982.8</v>
          </cell>
          <cell r="GL8">
            <v>991.6</v>
          </cell>
          <cell r="GM8">
            <v>1009</v>
          </cell>
          <cell r="GN8">
            <v>1014.5</v>
          </cell>
          <cell r="GO8">
            <v>992.6</v>
          </cell>
          <cell r="GP8">
            <v>991</v>
          </cell>
          <cell r="GQ8">
            <v>982.2</v>
          </cell>
          <cell r="GR8">
            <v>988.6</v>
          </cell>
          <cell r="GS8">
            <v>981.6</v>
          </cell>
          <cell r="GT8">
            <v>983</v>
          </cell>
          <cell r="GU8">
            <v>980.8</v>
          </cell>
          <cell r="GV8">
            <v>970</v>
          </cell>
          <cell r="GW8">
            <v>965</v>
          </cell>
          <cell r="GX8">
            <v>977.5</v>
          </cell>
          <cell r="GY8">
            <v>967.2</v>
          </cell>
          <cell r="GZ8">
            <v>971.3</v>
          </cell>
          <cell r="HA8">
            <v>979.1</v>
          </cell>
          <cell r="HB8">
            <v>975.6</v>
          </cell>
          <cell r="HC8">
            <v>962.7</v>
          </cell>
          <cell r="HD8">
            <v>961.7</v>
          </cell>
          <cell r="HE8">
            <v>954</v>
          </cell>
          <cell r="HF8">
            <v>945.2</v>
          </cell>
          <cell r="HG8">
            <v>939.4</v>
          </cell>
          <cell r="HH8">
            <v>948.8</v>
          </cell>
          <cell r="HI8">
            <v>937.2</v>
          </cell>
          <cell r="HJ8">
            <v>950.9</v>
          </cell>
          <cell r="HK8">
            <v>958.2</v>
          </cell>
          <cell r="HL8">
            <v>969.69999999999993</v>
          </cell>
          <cell r="HM8">
            <v>987.4</v>
          </cell>
          <cell r="HN8">
            <v>962.8</v>
          </cell>
          <cell r="HO8">
            <v>951.3</v>
          </cell>
          <cell r="HP8">
            <v>939.7</v>
          </cell>
          <cell r="HQ8">
            <v>925.5</v>
          </cell>
          <cell r="HR8">
            <v>917.8</v>
          </cell>
          <cell r="HS8">
            <v>921.2</v>
          </cell>
          <cell r="HT8">
            <v>934.2</v>
          </cell>
          <cell r="HU8">
            <v>960</v>
          </cell>
          <cell r="HV8">
            <v>943.4</v>
          </cell>
          <cell r="HW8">
            <v>943.4</v>
          </cell>
          <cell r="HX8">
            <v>935.69999999999993</v>
          </cell>
          <cell r="HY8">
            <v>919.3</v>
          </cell>
          <cell r="HZ8">
            <v>921.8</v>
          </cell>
          <cell r="IA8">
            <v>907.1</v>
          </cell>
          <cell r="IB8">
            <v>893.2</v>
          </cell>
          <cell r="IC8">
            <v>888.1</v>
          </cell>
          <cell r="ID8">
            <v>888.8</v>
          </cell>
        </row>
        <row r="9">
          <cell r="A9" t="str">
            <v>8750.JP</v>
          </cell>
          <cell r="B9" t="str">
            <v xml:space="preserve">Daiichi Seimei Hoken Kabushiki Gaisha </v>
          </cell>
          <cell r="C9" t="str">
            <v>第一生命</v>
          </cell>
          <cell r="D9">
            <v>1533.5</v>
          </cell>
          <cell r="E9">
            <v>1474</v>
          </cell>
          <cell r="F9">
            <v>1450.5</v>
          </cell>
          <cell r="G9">
            <v>1472.5</v>
          </cell>
          <cell r="H9">
            <v>1469.5</v>
          </cell>
          <cell r="I9">
            <v>1499</v>
          </cell>
          <cell r="J9">
            <v>1421</v>
          </cell>
          <cell r="K9">
            <v>1406</v>
          </cell>
          <cell r="L9">
            <v>1447.5</v>
          </cell>
          <cell r="M9">
            <v>1438</v>
          </cell>
          <cell r="N9">
            <v>1450</v>
          </cell>
          <cell r="O9">
            <v>1386</v>
          </cell>
          <cell r="P9">
            <v>1357.5</v>
          </cell>
          <cell r="Q9">
            <v>1400</v>
          </cell>
          <cell r="R9">
            <v>1456.5</v>
          </cell>
          <cell r="S9">
            <v>1429.5</v>
          </cell>
          <cell r="T9">
            <v>1418.5</v>
          </cell>
          <cell r="U9">
            <v>1421</v>
          </cell>
          <cell r="V9">
            <v>1428</v>
          </cell>
          <cell r="W9">
            <v>1472.5</v>
          </cell>
          <cell r="X9">
            <v>1492.5</v>
          </cell>
          <cell r="Y9">
            <v>1470</v>
          </cell>
          <cell r="Z9">
            <v>1540</v>
          </cell>
          <cell r="AA9">
            <v>1523.5</v>
          </cell>
          <cell r="AB9">
            <v>1453.5</v>
          </cell>
          <cell r="AC9">
            <v>1516</v>
          </cell>
          <cell r="AD9">
            <v>1559</v>
          </cell>
          <cell r="AE9">
            <v>1611</v>
          </cell>
          <cell r="AF9">
            <v>1582</v>
          </cell>
          <cell r="AG9">
            <v>1516.5</v>
          </cell>
          <cell r="AH9">
            <v>1512</v>
          </cell>
          <cell r="AI9">
            <v>1562</v>
          </cell>
          <cell r="AJ9">
            <v>1578</v>
          </cell>
          <cell r="AK9">
            <v>1571.5</v>
          </cell>
          <cell r="AL9">
            <v>1467</v>
          </cell>
          <cell r="AM9">
            <v>1484</v>
          </cell>
          <cell r="AN9">
            <v>1455.5</v>
          </cell>
          <cell r="AO9">
            <v>1436.5</v>
          </cell>
          <cell r="AP9">
            <v>1422.5</v>
          </cell>
          <cell r="AQ9">
            <v>1418.5</v>
          </cell>
          <cell r="AR9">
            <v>1402.5</v>
          </cell>
          <cell r="AS9">
            <v>1347</v>
          </cell>
          <cell r="AT9">
            <v>1352.5</v>
          </cell>
          <cell r="AU9">
            <v>1347</v>
          </cell>
          <cell r="AV9">
            <v>1316</v>
          </cell>
          <cell r="AW9">
            <v>1329</v>
          </cell>
          <cell r="AX9">
            <v>1331</v>
          </cell>
          <cell r="AY9">
            <v>1353</v>
          </cell>
          <cell r="AZ9">
            <v>1336</v>
          </cell>
          <cell r="BA9">
            <v>1347</v>
          </cell>
          <cell r="BB9">
            <v>1407</v>
          </cell>
          <cell r="BC9">
            <v>1414</v>
          </cell>
          <cell r="BD9">
            <v>1400.5</v>
          </cell>
          <cell r="BE9">
            <v>1411</v>
          </cell>
          <cell r="BF9">
            <v>1383.5</v>
          </cell>
          <cell r="BG9">
            <v>1368</v>
          </cell>
          <cell r="BH9">
            <v>1360.5</v>
          </cell>
          <cell r="BI9">
            <v>1361</v>
          </cell>
          <cell r="BJ9">
            <v>1378.5</v>
          </cell>
          <cell r="BK9">
            <v>1334</v>
          </cell>
          <cell r="BL9">
            <v>1303.5</v>
          </cell>
          <cell r="BM9">
            <v>1316</v>
          </cell>
          <cell r="BN9">
            <v>1296</v>
          </cell>
          <cell r="BO9">
            <v>1297.5</v>
          </cell>
          <cell r="BP9">
            <v>1305</v>
          </cell>
          <cell r="BQ9">
            <v>1319.5</v>
          </cell>
          <cell r="BR9">
            <v>1298</v>
          </cell>
          <cell r="BS9">
            <v>1310</v>
          </cell>
          <cell r="BT9">
            <v>1295</v>
          </cell>
          <cell r="BU9">
            <v>1300.5</v>
          </cell>
          <cell r="BV9">
            <v>1275</v>
          </cell>
          <cell r="BW9">
            <v>1287</v>
          </cell>
          <cell r="BX9">
            <v>1264</v>
          </cell>
          <cell r="BY9">
            <v>1242</v>
          </cell>
          <cell r="BZ9">
            <v>1219</v>
          </cell>
          <cell r="CA9">
            <v>1232</v>
          </cell>
          <cell r="CB9">
            <v>1232.5</v>
          </cell>
          <cell r="CC9">
            <v>1221</v>
          </cell>
          <cell r="CD9">
            <v>1219.5</v>
          </cell>
          <cell r="CE9">
            <v>1226</v>
          </cell>
          <cell r="CF9">
            <v>1216.5</v>
          </cell>
          <cell r="CG9">
            <v>1202.5</v>
          </cell>
          <cell r="CH9">
            <v>1218.5</v>
          </cell>
          <cell r="CI9">
            <v>1227</v>
          </cell>
          <cell r="CJ9">
            <v>1222</v>
          </cell>
          <cell r="CK9">
            <v>1185.5</v>
          </cell>
          <cell r="CL9">
            <v>1236.5</v>
          </cell>
          <cell r="CM9">
            <v>1237</v>
          </cell>
          <cell r="CN9">
            <v>1214.5</v>
          </cell>
          <cell r="CO9">
            <v>1220.5</v>
          </cell>
          <cell r="CP9">
            <v>1242</v>
          </cell>
          <cell r="CQ9">
            <v>1219</v>
          </cell>
          <cell r="CR9">
            <v>1156.5</v>
          </cell>
          <cell r="CS9">
            <v>1147.5</v>
          </cell>
          <cell r="CT9">
            <v>1088.5</v>
          </cell>
          <cell r="CU9">
            <v>1091</v>
          </cell>
          <cell r="CV9">
            <v>1090</v>
          </cell>
          <cell r="CW9">
            <v>1093.5</v>
          </cell>
          <cell r="CX9">
            <v>1066.5</v>
          </cell>
          <cell r="CY9">
            <v>1087</v>
          </cell>
        </row>
        <row r="10">
          <cell r="A10" t="str">
            <v>9432.JP</v>
          </cell>
          <cell r="B10" t="str">
            <v>Nippon Telegraph &amp; Telephone</v>
          </cell>
          <cell r="C10" t="str">
            <v>日本電報電話</v>
          </cell>
          <cell r="D10">
            <v>155.30000000000001</v>
          </cell>
          <cell r="E10">
            <v>155.4</v>
          </cell>
          <cell r="F10">
            <v>157.1</v>
          </cell>
          <cell r="G10">
            <v>157.80000000000001</v>
          </cell>
          <cell r="H10">
            <v>157</v>
          </cell>
          <cell r="I10">
            <v>155.9</v>
          </cell>
          <cell r="J10">
            <v>157.19999999999999</v>
          </cell>
          <cell r="K10">
            <v>156.30000000000001</v>
          </cell>
          <cell r="L10">
            <v>159</v>
          </cell>
          <cell r="M10">
            <v>158.80000000000001</v>
          </cell>
          <cell r="N10">
            <v>157.5</v>
          </cell>
          <cell r="O10">
            <v>156.4</v>
          </cell>
          <cell r="P10">
            <v>157</v>
          </cell>
          <cell r="Q10">
            <v>158.6</v>
          </cell>
          <cell r="R10">
            <v>158</v>
          </cell>
          <cell r="S10">
            <v>157.30000000000001</v>
          </cell>
          <cell r="T10">
            <v>155.69999999999999</v>
          </cell>
          <cell r="U10">
            <v>154.69999999999999</v>
          </cell>
          <cell r="V10">
            <v>155.69999999999999</v>
          </cell>
          <cell r="W10">
            <v>155.5</v>
          </cell>
          <cell r="X10">
            <v>154.1</v>
          </cell>
          <cell r="Y10">
            <v>154</v>
          </cell>
          <cell r="Z10">
            <v>151.1</v>
          </cell>
          <cell r="AA10">
            <v>150.19999999999999</v>
          </cell>
          <cell r="AB10">
            <v>151.19999999999999</v>
          </cell>
          <cell r="AC10">
            <v>152.1</v>
          </cell>
          <cell r="AD10">
            <v>152.30000000000001</v>
          </cell>
          <cell r="AE10">
            <v>153.30000000000001</v>
          </cell>
          <cell r="AF10">
            <v>152.1</v>
          </cell>
          <cell r="AG10">
            <v>150.89999999999998</v>
          </cell>
          <cell r="AH10">
            <v>150.80000000000001</v>
          </cell>
          <cell r="AI10">
            <v>151</v>
          </cell>
          <cell r="AJ10">
            <v>152.5</v>
          </cell>
          <cell r="AK10">
            <v>153</v>
          </cell>
          <cell r="AL10">
            <v>153.4</v>
          </cell>
          <cell r="AM10">
            <v>153.80000000000001</v>
          </cell>
          <cell r="AN10">
            <v>152.5</v>
          </cell>
          <cell r="AO10">
            <v>152.5</v>
          </cell>
          <cell r="AP10">
            <v>154.5</v>
          </cell>
          <cell r="AQ10">
            <v>153.4</v>
          </cell>
          <cell r="AR10">
            <v>156.30000000000001</v>
          </cell>
          <cell r="AS10">
            <v>156.20000000000002</v>
          </cell>
          <cell r="AT10">
            <v>154.89999999999998</v>
          </cell>
          <cell r="AU10">
            <v>153.30000000000001</v>
          </cell>
          <cell r="AV10">
            <v>154.6</v>
          </cell>
          <cell r="AW10">
            <v>155.20000000000002</v>
          </cell>
          <cell r="AX10">
            <v>156.9</v>
          </cell>
          <cell r="AY10">
            <v>157.5</v>
          </cell>
          <cell r="AZ10">
            <v>156.19999999999999</v>
          </cell>
          <cell r="BA10">
            <v>157.29999999999998</v>
          </cell>
          <cell r="BB10">
            <v>158.19999999999999</v>
          </cell>
          <cell r="BC10">
            <v>157.1</v>
          </cell>
          <cell r="BD10">
            <v>159.5</v>
          </cell>
          <cell r="BE10">
            <v>159</v>
          </cell>
          <cell r="BF10">
            <v>158.6</v>
          </cell>
          <cell r="BG10">
            <v>159.1</v>
          </cell>
          <cell r="BH10">
            <v>157.79999999999998</v>
          </cell>
          <cell r="BI10">
            <v>159.19999999999999</v>
          </cell>
          <cell r="BJ10">
            <v>160.69999999999999</v>
          </cell>
          <cell r="BK10">
            <v>159.5</v>
          </cell>
          <cell r="BL10">
            <v>157.69999999999999</v>
          </cell>
          <cell r="BM10">
            <v>158.6</v>
          </cell>
          <cell r="BN10">
            <v>158.80000000000001</v>
          </cell>
          <cell r="BO10">
            <v>156.69999999999999</v>
          </cell>
          <cell r="BP10">
            <v>156.30000000000001</v>
          </cell>
          <cell r="BQ10">
            <v>156.30000000000001</v>
          </cell>
          <cell r="BR10">
            <v>154.69999999999999</v>
          </cell>
          <cell r="BS10">
            <v>157</v>
          </cell>
          <cell r="BT10">
            <v>156.69999999999999</v>
          </cell>
          <cell r="BU10">
            <v>154.9</v>
          </cell>
          <cell r="BV10">
            <v>155.1</v>
          </cell>
          <cell r="BW10">
            <v>155.4</v>
          </cell>
          <cell r="BX10">
            <v>155.19999999999999</v>
          </cell>
          <cell r="BY10">
            <v>155.1</v>
          </cell>
          <cell r="BZ10">
            <v>155.5</v>
          </cell>
          <cell r="CA10">
            <v>153.80000000000001</v>
          </cell>
          <cell r="CB10">
            <v>154.30000000000001</v>
          </cell>
          <cell r="CC10">
            <v>153.9</v>
          </cell>
          <cell r="CD10">
            <v>155.6</v>
          </cell>
          <cell r="CE10">
            <v>154.69999999999999</v>
          </cell>
          <cell r="CF10">
            <v>155.69999999999999</v>
          </cell>
          <cell r="CG10">
            <v>155.80000000000001</v>
          </cell>
          <cell r="CH10">
            <v>155.79999999999998</v>
          </cell>
          <cell r="CI10">
            <v>154.4</v>
          </cell>
          <cell r="CJ10">
            <v>155.30000000000001</v>
          </cell>
          <cell r="CK10">
            <v>152.4</v>
          </cell>
          <cell r="CL10">
            <v>154.19999999999999</v>
          </cell>
          <cell r="CM10">
            <v>152.6</v>
          </cell>
          <cell r="CN10">
            <v>152.5</v>
          </cell>
          <cell r="CO10">
            <v>152.80000000000001</v>
          </cell>
          <cell r="CP10">
            <v>153.1</v>
          </cell>
          <cell r="CQ10">
            <v>151.19999999999999</v>
          </cell>
          <cell r="CR10">
            <v>150.80000000000001</v>
          </cell>
          <cell r="CS10">
            <v>151.19999999999999</v>
          </cell>
          <cell r="CT10">
            <v>151.4</v>
          </cell>
          <cell r="CU10">
            <v>151.19999999999999</v>
          </cell>
          <cell r="CV10">
            <v>150.69999999999999</v>
          </cell>
          <cell r="CW10">
            <v>150.19999999999999</v>
          </cell>
          <cell r="CX10">
            <v>155.4</v>
          </cell>
          <cell r="CY10">
            <v>158.4</v>
          </cell>
          <cell r="CZ10">
            <v>158.10000000000002</v>
          </cell>
          <cell r="DA10">
            <v>159.1</v>
          </cell>
          <cell r="DB10">
            <v>160.4</v>
          </cell>
          <cell r="DC10">
            <v>162.5</v>
          </cell>
          <cell r="DD10">
            <v>159.80000000000001</v>
          </cell>
          <cell r="DE10">
            <v>160.5</v>
          </cell>
          <cell r="DF10">
            <v>159.80000000000001</v>
          </cell>
          <cell r="DG10">
            <v>160.1</v>
          </cell>
          <cell r="DH10">
            <v>159</v>
          </cell>
          <cell r="DI10">
            <v>158.30000000000001</v>
          </cell>
          <cell r="DJ10">
            <v>156</v>
          </cell>
          <cell r="DK10">
            <v>1535</v>
          </cell>
          <cell r="DL10">
            <v>152.19999999999999</v>
          </cell>
          <cell r="DM10">
            <v>152.80000000000001</v>
          </cell>
          <cell r="DN10">
            <v>153</v>
          </cell>
          <cell r="DO10">
            <v>153.80000000000001</v>
          </cell>
          <cell r="DP10">
            <v>155.1</v>
          </cell>
          <cell r="DQ10">
            <v>156.19999999999999</v>
          </cell>
          <cell r="DR10">
            <v>154.6</v>
          </cell>
          <cell r="DS10">
            <v>152.9</v>
          </cell>
          <cell r="DT10">
            <v>154.80000000000001</v>
          </cell>
          <cell r="DU10">
            <v>154.69999999999999</v>
          </cell>
          <cell r="DV10">
            <v>155.4</v>
          </cell>
          <cell r="DW10">
            <v>159.1</v>
          </cell>
          <cell r="DX10">
            <v>158.30000000000001</v>
          </cell>
          <cell r="DY10">
            <v>157.9</v>
          </cell>
          <cell r="DZ10">
            <v>158.19999999999999</v>
          </cell>
          <cell r="EA10">
            <v>158</v>
          </cell>
          <cell r="EB10">
            <v>159.9</v>
          </cell>
          <cell r="EC10">
            <v>161</v>
          </cell>
          <cell r="ED10">
            <v>161</v>
          </cell>
          <cell r="EE10">
            <v>161.5</v>
          </cell>
          <cell r="EF10">
            <v>161.69999999999999</v>
          </cell>
          <cell r="EG10">
            <v>161.30000000000001</v>
          </cell>
          <cell r="EH10">
            <v>158.19999999999999</v>
          </cell>
          <cell r="EI10">
            <v>158.80000000000001</v>
          </cell>
          <cell r="EJ10">
            <v>159.19999999999999</v>
          </cell>
          <cell r="EK10">
            <v>159.1</v>
          </cell>
          <cell r="EL10">
            <v>157.80000000000001</v>
          </cell>
          <cell r="EM10">
            <v>159.80000000000001</v>
          </cell>
          <cell r="EN10">
            <v>158</v>
          </cell>
          <cell r="EO10">
            <v>155.80000000000001</v>
          </cell>
          <cell r="EP10">
            <v>157.30000000000001</v>
          </cell>
          <cell r="EQ10">
            <v>157.80000000000001</v>
          </cell>
          <cell r="ER10">
            <v>156.5</v>
          </cell>
          <cell r="ES10">
            <v>159.9</v>
          </cell>
          <cell r="ET10">
            <v>162.9</v>
          </cell>
          <cell r="EU10">
            <v>163</v>
          </cell>
          <cell r="EV10">
            <v>165</v>
          </cell>
          <cell r="EW10">
            <v>165.4</v>
          </cell>
          <cell r="EX10">
            <v>164.6</v>
          </cell>
          <cell r="EY10">
            <v>163</v>
          </cell>
          <cell r="EZ10">
            <v>162.9</v>
          </cell>
          <cell r="FA10">
            <v>163</v>
          </cell>
          <cell r="FB10">
            <v>160</v>
          </cell>
          <cell r="FC10">
            <v>156.5</v>
          </cell>
          <cell r="FD10">
            <v>153.1</v>
          </cell>
          <cell r="FE10">
            <v>154.29999999999998</v>
          </cell>
          <cell r="FF10">
            <v>153.1</v>
          </cell>
          <cell r="FG10">
            <v>155.9</v>
          </cell>
          <cell r="FH10">
            <v>152.30000000000001</v>
          </cell>
          <cell r="FI10">
            <v>151.4</v>
          </cell>
          <cell r="FJ10">
            <v>151.1</v>
          </cell>
          <cell r="FK10">
            <v>151.4</v>
          </cell>
          <cell r="FL10">
            <v>152.1</v>
          </cell>
          <cell r="FM10">
            <v>152.69999999999999</v>
          </cell>
          <cell r="FN10">
            <v>151.9</v>
          </cell>
          <cell r="FO10">
            <v>150</v>
          </cell>
          <cell r="FP10">
            <v>150.9</v>
          </cell>
          <cell r="FQ10">
            <v>150.4</v>
          </cell>
          <cell r="FR10">
            <v>150.19999999999999</v>
          </cell>
          <cell r="FS10">
            <v>151</v>
          </cell>
          <cell r="FT10">
            <v>152.80000000000001</v>
          </cell>
          <cell r="FU10">
            <v>152.6</v>
          </cell>
          <cell r="FV10">
            <v>154.1</v>
          </cell>
          <cell r="FW10">
            <v>156.1</v>
          </cell>
          <cell r="FX10">
            <v>155.30000000000001</v>
          </cell>
          <cell r="FY10">
            <v>153.9</v>
          </cell>
          <cell r="FZ10">
            <v>154.30000000000001</v>
          </cell>
          <cell r="GA10">
            <v>155.5</v>
          </cell>
          <cell r="GB10">
            <v>152.9</v>
          </cell>
          <cell r="GC10">
            <v>154</v>
          </cell>
          <cell r="GD10">
            <v>151</v>
          </cell>
          <cell r="GE10">
            <v>149.30000000000001</v>
          </cell>
          <cell r="GF10">
            <v>149.9</v>
          </cell>
          <cell r="GG10">
            <v>150.9</v>
          </cell>
          <cell r="GH10">
            <v>150.30000000000001</v>
          </cell>
          <cell r="GI10">
            <v>152.30000000000001</v>
          </cell>
          <cell r="GJ10">
            <v>154.30000000000001</v>
          </cell>
          <cell r="GK10">
            <v>153.80000000000001</v>
          </cell>
          <cell r="GL10">
            <v>153.5</v>
          </cell>
          <cell r="GM10">
            <v>155</v>
          </cell>
          <cell r="GN10">
            <v>154.69999999999999</v>
          </cell>
          <cell r="GO10">
            <v>155.9</v>
          </cell>
          <cell r="GP10">
            <v>156.4</v>
          </cell>
          <cell r="GQ10">
            <v>157.1</v>
          </cell>
          <cell r="GR10">
            <v>158.4</v>
          </cell>
          <cell r="GS10">
            <v>158.5</v>
          </cell>
          <cell r="GT10">
            <v>157</v>
          </cell>
          <cell r="GU10">
            <v>158.69999999999999</v>
          </cell>
          <cell r="GV10">
            <v>158.9</v>
          </cell>
          <cell r="GW10">
            <v>157</v>
          </cell>
          <cell r="GX10">
            <v>160.4</v>
          </cell>
          <cell r="GY10">
            <v>155.9</v>
          </cell>
          <cell r="GZ10">
            <v>155</v>
          </cell>
          <cell r="HA10">
            <v>151.4</v>
          </cell>
          <cell r="HB10">
            <v>152.1</v>
          </cell>
          <cell r="HC10">
            <v>150.80000000000001</v>
          </cell>
          <cell r="HD10">
            <v>150.9</v>
          </cell>
          <cell r="HE10">
            <v>152.6</v>
          </cell>
          <cell r="HF10">
            <v>153.1</v>
          </cell>
          <cell r="HG10">
            <v>154.30000000000001</v>
          </cell>
          <cell r="HH10">
            <v>154.19999999999999</v>
          </cell>
          <cell r="HI10">
            <v>153</v>
          </cell>
          <cell r="HJ10">
            <v>153.1</v>
          </cell>
          <cell r="HK10">
            <v>152.69999999999999</v>
          </cell>
          <cell r="HL10">
            <v>156.6</v>
          </cell>
          <cell r="HM10">
            <v>153.80000000000001</v>
          </cell>
          <cell r="HN10">
            <v>152.1</v>
          </cell>
          <cell r="HO10">
            <v>151.1</v>
          </cell>
          <cell r="HP10">
            <v>149.30000000000001</v>
          </cell>
          <cell r="HQ10">
            <v>149</v>
          </cell>
          <cell r="HR10">
            <v>147.6</v>
          </cell>
          <cell r="HS10">
            <v>146.1</v>
          </cell>
          <cell r="HT10">
            <v>150.29999999999998</v>
          </cell>
          <cell r="HU10">
            <v>148.5</v>
          </cell>
          <cell r="HV10">
            <v>150.30000000000001</v>
          </cell>
          <cell r="HW10">
            <v>148</v>
          </cell>
          <cell r="HX10">
            <v>147.69999999999999</v>
          </cell>
          <cell r="HY10">
            <v>146.19999999999999</v>
          </cell>
          <cell r="HZ10">
            <v>147.1</v>
          </cell>
          <cell r="IA10">
            <v>146.30000000000001</v>
          </cell>
          <cell r="IB10">
            <v>142.6</v>
          </cell>
          <cell r="IC10">
            <v>143.69999999999999</v>
          </cell>
          <cell r="ID10">
            <v>138.9</v>
          </cell>
          <cell r="IE10">
            <v>144.1</v>
          </cell>
          <cell r="IF10">
            <v>142.5</v>
          </cell>
          <cell r="IG10">
            <v>142.70000000000002</v>
          </cell>
          <cell r="IH10">
            <v>144.5</v>
          </cell>
          <cell r="II10">
            <v>146.6</v>
          </cell>
          <cell r="IJ10">
            <v>150</v>
          </cell>
          <cell r="IK10">
            <v>148.80000000000001</v>
          </cell>
          <cell r="IL10">
            <v>147.6</v>
          </cell>
          <cell r="IM10">
            <v>149</v>
          </cell>
          <cell r="IN10">
            <v>150</v>
          </cell>
          <cell r="IO10">
            <v>149.4</v>
          </cell>
          <cell r="IP10">
            <v>147.80000000000001</v>
          </cell>
          <cell r="IQ10">
            <v>147.69999999999999</v>
          </cell>
          <cell r="IR10">
            <v>148.4</v>
          </cell>
        </row>
      </sheetData>
      <sheetData sheetId="4"/>
      <sheetData sheetId="5"/>
      <sheetData sheetId="6">
        <row r="6">
          <cell r="I6">
            <v>11200</v>
          </cell>
          <cell r="J6">
            <v>25200000</v>
          </cell>
          <cell r="K6">
            <v>50400</v>
          </cell>
        </row>
        <row r="22">
          <cell r="I22">
            <v>59400</v>
          </cell>
          <cell r="J22">
            <v>123921949.13999999</v>
          </cell>
          <cell r="K22">
            <v>247843.89827999996</v>
          </cell>
        </row>
        <row r="24">
          <cell r="I24">
            <v>48700</v>
          </cell>
          <cell r="J24">
            <v>102049725.03</v>
          </cell>
          <cell r="K24">
            <v>204099.45006</v>
          </cell>
        </row>
        <row r="26">
          <cell r="I26">
            <v>32094</v>
          </cell>
          <cell r="J26">
            <v>29996682</v>
          </cell>
        </row>
        <row r="27">
          <cell r="I27">
            <v>90390</v>
          </cell>
          <cell r="J27">
            <v>99989780</v>
          </cell>
          <cell r="K27">
            <v>0</v>
          </cell>
          <cell r="L27">
            <v>99989780</v>
          </cell>
        </row>
        <row r="29">
          <cell r="I29">
            <v>43390</v>
          </cell>
          <cell r="J29">
            <v>99977128.323528603</v>
          </cell>
          <cell r="K29">
            <v>0</v>
          </cell>
          <cell r="L29">
            <v>99977128.323528603</v>
          </cell>
        </row>
        <row r="30">
          <cell r="I30">
            <v>43390</v>
          </cell>
          <cell r="J30">
            <v>99977128.323528603</v>
          </cell>
          <cell r="K30">
            <v>0</v>
          </cell>
          <cell r="L30">
            <v>99977128.323528603</v>
          </cell>
        </row>
        <row r="31">
          <cell r="I31">
            <v>45490</v>
          </cell>
          <cell r="J31">
            <v>99979421.375419497</v>
          </cell>
          <cell r="K31">
            <v>0</v>
          </cell>
          <cell r="L31">
            <v>99979421.375419497</v>
          </cell>
        </row>
        <row r="32">
          <cell r="I32">
            <v>44100</v>
          </cell>
          <cell r="J32">
            <v>99788024.744100004</v>
          </cell>
          <cell r="K32">
            <v>0</v>
          </cell>
          <cell r="L32">
            <v>99788024.744100004</v>
          </cell>
        </row>
        <row r="33">
          <cell r="I33">
            <v>44100</v>
          </cell>
          <cell r="J33">
            <v>99788024.744100004</v>
          </cell>
          <cell r="K33">
            <v>0</v>
          </cell>
          <cell r="L33">
            <v>99788024.744100004</v>
          </cell>
        </row>
        <row r="34">
          <cell r="I34">
            <v>44300</v>
          </cell>
          <cell r="J34">
            <v>99797113.835999995</v>
          </cell>
          <cell r="K34">
            <v>0</v>
          </cell>
          <cell r="L34">
            <v>99797113.835999995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 of Dividen"/>
      <sheetName val="Database_Stock"/>
      <sheetName val="PSA日本持股股價"/>
      <sheetName val="PSA日本持股下單記錄及損益"/>
      <sheetName val="Profit_Trend"/>
      <sheetName val="Profit_Trend_2026"/>
      <sheetName val="個股損益分析2"/>
      <sheetName val="FCN_2026"/>
      <sheetName val="FCN_2025"/>
      <sheetName val="太陽誘電"/>
      <sheetName val="朝日"/>
      <sheetName val="村田"/>
      <sheetName val="個股損益分析1"/>
      <sheetName val="個股投入分析"/>
      <sheetName val="FCN"/>
    </sheetNames>
    <sheetDataSet>
      <sheetData sheetId="0"/>
      <sheetData sheetId="1"/>
      <sheetData sheetId="2"/>
      <sheetData sheetId="3">
        <row r="33">
          <cell r="I33">
            <v>90390</v>
          </cell>
          <cell r="J33">
            <v>99989780</v>
          </cell>
          <cell r="K33">
            <v>0</v>
          </cell>
          <cell r="L33">
            <v>99989780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8798-CBC3-4216-8531-3318FD67E385}">
  <dimension ref="A1:M16"/>
  <sheetViews>
    <sheetView showGridLines="0" tabSelected="1" workbookViewId="0">
      <selection activeCell="F7" sqref="F7"/>
    </sheetView>
  </sheetViews>
  <sheetFormatPr defaultColWidth="8.86328125" defaultRowHeight="15.4" x14ac:dyDescent="0.45"/>
  <cols>
    <col min="1" max="1" width="9.796875" style="1" bestFit="1" customWidth="1"/>
    <col min="2" max="2" width="40" style="1" bestFit="1" customWidth="1"/>
    <col min="3" max="3" width="14.86328125" style="1" bestFit="1" customWidth="1"/>
    <col min="4" max="4" width="7.46484375" style="1" bestFit="1" customWidth="1"/>
    <col min="5" max="5" width="10.19921875" style="1" bestFit="1" customWidth="1"/>
    <col min="6" max="6" width="12.6640625" style="1" bestFit="1" customWidth="1"/>
    <col min="7" max="7" width="8.6640625" style="1" bestFit="1" customWidth="1"/>
    <col min="8" max="8" width="12.6640625" style="1" bestFit="1" customWidth="1"/>
    <col min="9" max="9" width="13.1328125" style="1" bestFit="1" customWidth="1"/>
    <col min="10" max="10" width="6.46484375" style="1" bestFit="1" customWidth="1"/>
    <col min="11" max="11" width="12.6640625" style="1" bestFit="1" customWidth="1"/>
    <col min="12" max="12" width="15.19921875" style="1" bestFit="1" customWidth="1"/>
    <col min="13" max="13" width="9" style="11" customWidth="1"/>
    <col min="14" max="14" width="1.46484375" style="1" customWidth="1"/>
    <col min="15" max="17" width="7.19921875" style="1" customWidth="1"/>
    <col min="18" max="16384" width="8.86328125" style="1"/>
  </cols>
  <sheetData>
    <row r="1" spans="1:13" s="4" customFormat="1" ht="13.15" x14ac:dyDescent="0.45">
      <c r="A1" s="12" t="s">
        <v>0</v>
      </c>
      <c r="B1" s="13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3" t="s">
        <v>36</v>
      </c>
    </row>
    <row r="2" spans="1:13" s="4" customFormat="1" ht="16.8" customHeight="1" x14ac:dyDescent="0.45">
      <c r="A2" s="5" t="s">
        <v>12</v>
      </c>
      <c r="B2" s="5" t="str">
        <f>VLOOKUP(A2,[1]Stock_Price!$A$1:$B$22, 2, FALSE)</f>
        <v>UT Group Co Ltd</v>
      </c>
      <c r="C2" s="5" t="s">
        <v>13</v>
      </c>
      <c r="D2" s="6" t="s">
        <v>14</v>
      </c>
      <c r="E2" s="7">
        <f>17200*15</f>
        <v>258000</v>
      </c>
      <c r="F2" s="7">
        <v>49363800.480000004</v>
      </c>
      <c r="G2" s="7">
        <v>98727.600960000011</v>
      </c>
      <c r="H2" s="7">
        <v>49462528.080960006</v>
      </c>
      <c r="I2" s="7">
        <f t="shared" ref="I2:I16" si="0">H2/E2</f>
        <v>191.71522512000001</v>
      </c>
      <c r="J2" s="7">
        <f>VLOOKUP(A2,[2]PSA日本持股股價!$A$1:$IR$10, 4, FALSE)</f>
        <v>200</v>
      </c>
      <c r="K2" s="7">
        <f t="shared" ref="K2:K15" si="1">J2*E2</f>
        <v>51600000</v>
      </c>
      <c r="L2" s="7">
        <f t="shared" ref="L2:L15" si="2">K2-H2</f>
        <v>2137471.9190399945</v>
      </c>
      <c r="M2" s="2">
        <f t="shared" ref="M2:M15" si="3">J2/I2-1</f>
        <v>4.3213964226442192E-2</v>
      </c>
    </row>
    <row r="3" spans="1:13" s="4" customFormat="1" ht="17.100000000000001" customHeight="1" x14ac:dyDescent="0.45">
      <c r="A3" s="5" t="s">
        <v>15</v>
      </c>
      <c r="B3" s="5" t="str">
        <f>VLOOKUP(A3,[1]Stock_Price!$A$1:$B$22, 2, FALSE)</f>
        <v>Kirin Holdings Co Ltd</v>
      </c>
      <c r="C3" s="5" t="s">
        <v>16</v>
      </c>
      <c r="D3" s="6" t="s">
        <v>17</v>
      </c>
      <c r="E3" s="7">
        <f>[2]PSA日本持股下單記錄及損益!I6+[2]PSA日本持股下單記錄及損益!I22+[2]PSA日本持股下單記錄及損益!I24</f>
        <v>119300</v>
      </c>
      <c r="F3" s="7">
        <f>[2]PSA日本持股下單記錄及損益!J6+[2]PSA日本持股下單記錄及損益!J22+[2]PSA日本持股下單記錄及損益!J24</f>
        <v>251171674.16999999</v>
      </c>
      <c r="G3" s="7">
        <f>[2]PSA日本持股下單記錄及損益!K6+[2]PSA日本持股下單記錄及損益!K22+[2]PSA日本持股下單記錄及損益!K24</f>
        <v>502343.34833999997</v>
      </c>
      <c r="H3" s="7">
        <f>F3+G3</f>
        <v>251674017.51833999</v>
      </c>
      <c r="I3" s="7">
        <f t="shared" si="0"/>
        <v>2109.5894175887679</v>
      </c>
      <c r="J3" s="7">
        <f>VLOOKUP(A3,[2]PSA日本持股股價!$A$1:$IR$10, 4, FALSE)</f>
        <v>2648</v>
      </c>
      <c r="K3" s="7">
        <f t="shared" si="1"/>
        <v>315906400</v>
      </c>
      <c r="L3" s="7">
        <f t="shared" si="2"/>
        <v>64232382.481660008</v>
      </c>
      <c r="M3" s="2">
        <f t="shared" si="3"/>
        <v>0.25522055520482656</v>
      </c>
    </row>
    <row r="4" spans="1:13" s="4" customFormat="1" ht="17.100000000000001" customHeight="1" x14ac:dyDescent="0.45">
      <c r="A4" s="5" t="s">
        <v>15</v>
      </c>
      <c r="B4" s="5" t="str">
        <f>VLOOKUP(A4,[1]Stock_Price!$A$1:$B$22, 2, FALSE)</f>
        <v>Kirin Holdings Co Ltd</v>
      </c>
      <c r="C4" s="5" t="s">
        <v>16</v>
      </c>
      <c r="D4" s="6" t="s">
        <v>18</v>
      </c>
      <c r="E4" s="7">
        <v>185700</v>
      </c>
      <c r="F4" s="7">
        <v>410551143.36000001</v>
      </c>
      <c r="G4" s="7">
        <v>821102.28672000009</v>
      </c>
      <c r="H4" s="7">
        <v>411372245.64671999</v>
      </c>
      <c r="I4" s="7">
        <f t="shared" si="0"/>
        <v>2215.251726692084</v>
      </c>
      <c r="J4" s="7">
        <f>VLOOKUP(A4,[2]PSA日本持股股價!$A$1:$IR$10, 4, FALSE)</f>
        <v>2648</v>
      </c>
      <c r="K4" s="7">
        <f t="shared" si="1"/>
        <v>491733600</v>
      </c>
      <c r="L4" s="7">
        <f t="shared" si="2"/>
        <v>80361354.353280008</v>
      </c>
      <c r="M4" s="2">
        <f t="shared" si="3"/>
        <v>0.19534948019388998</v>
      </c>
    </row>
    <row r="5" spans="1:13" s="4" customFormat="1" ht="17.100000000000001" customHeight="1" x14ac:dyDescent="0.45">
      <c r="A5" s="5" t="s">
        <v>19</v>
      </c>
      <c r="B5" s="5" t="str">
        <f>VLOOKUP(A5,[1]Stock_Price!$A$1:$B$22, 2, FALSE)</f>
        <v>Japan Tobacco Inc</v>
      </c>
      <c r="C5" s="5" t="s">
        <v>20</v>
      </c>
      <c r="D5" s="6" t="s">
        <v>17</v>
      </c>
      <c r="E5" s="7">
        <v>52400</v>
      </c>
      <c r="F5" s="7">
        <v>232299267.65999997</v>
      </c>
      <c r="G5" s="7">
        <v>464598.53531999997</v>
      </c>
      <c r="H5" s="7">
        <v>232763866.19531998</v>
      </c>
      <c r="I5" s="7">
        <f t="shared" si="0"/>
        <v>4442.0585151778623</v>
      </c>
      <c r="J5" s="7">
        <f>VLOOKUP(A5,[2]PSA日本持股股價!$A$1:$IR$10, 4, FALSE)</f>
        <v>6081</v>
      </c>
      <c r="K5" s="7">
        <f t="shared" si="1"/>
        <v>318644400</v>
      </c>
      <c r="L5" s="7">
        <f t="shared" si="2"/>
        <v>85880533.80468002</v>
      </c>
      <c r="M5" s="2">
        <f t="shared" si="3"/>
        <v>0.36895990433762083</v>
      </c>
    </row>
    <row r="6" spans="1:13" s="4" customFormat="1" ht="17.100000000000001" customHeight="1" x14ac:dyDescent="0.45">
      <c r="A6" s="5" t="s">
        <v>19</v>
      </c>
      <c r="B6" s="5" t="str">
        <f>VLOOKUP(A6,[1]Stock_Price!$A$1:$B$22, 2, FALSE)</f>
        <v>Japan Tobacco Inc</v>
      </c>
      <c r="C6" s="5" t="s">
        <v>20</v>
      </c>
      <c r="D6" s="6" t="s">
        <v>18</v>
      </c>
      <c r="E6" s="7">
        <v>90400</v>
      </c>
      <c r="F6" s="7">
        <v>410504444.17999995</v>
      </c>
      <c r="G6" s="7">
        <v>821008.88835999987</v>
      </c>
      <c r="H6" s="7">
        <v>411325453.06835997</v>
      </c>
      <c r="I6" s="7">
        <f t="shared" si="0"/>
        <v>4550.0603215526544</v>
      </c>
      <c r="J6" s="7">
        <f>VLOOKUP(A6,[2]PSA日本持股股價!$A$1:$IR$10, 4, FALSE)</f>
        <v>6081</v>
      </c>
      <c r="K6" s="7">
        <f t="shared" si="1"/>
        <v>549722400</v>
      </c>
      <c r="L6" s="7">
        <f t="shared" si="2"/>
        <v>138396946.93164003</v>
      </c>
      <c r="M6" s="2">
        <f t="shared" si="3"/>
        <v>0.33646579830944545</v>
      </c>
    </row>
    <row r="7" spans="1:13" s="4" customFormat="1" ht="17.100000000000001" customHeight="1" x14ac:dyDescent="0.45">
      <c r="A7" s="5" t="s">
        <v>21</v>
      </c>
      <c r="B7" s="5" t="s">
        <v>22</v>
      </c>
      <c r="C7" s="5" t="s">
        <v>23</v>
      </c>
      <c r="D7" s="6" t="s">
        <v>18</v>
      </c>
      <c r="E7" s="7">
        <f>[2]PSA日本持股下單記錄及損益!I29+[2]PSA日本持股下單記錄及損益!I32</f>
        <v>87490</v>
      </c>
      <c r="F7" s="7">
        <f>[2]PSA日本持股下單記錄及損益!J29+[2]PSA日本持股下單記錄及損益!J32</f>
        <v>199765153.06762862</v>
      </c>
      <c r="G7" s="7">
        <f>[2]PSA日本持股下單記錄及損益!K29+[2]PSA日本持股下單記錄及損益!K32</f>
        <v>0</v>
      </c>
      <c r="H7" s="7">
        <f>[2]PSA日本持股下單記錄及損益!L29+[2]PSA日本持股下單記錄及損益!L32</f>
        <v>199765153.06762862</v>
      </c>
      <c r="I7" s="7">
        <f t="shared" si="0"/>
        <v>2283.2912683464237</v>
      </c>
      <c r="J7" s="7">
        <f>VLOOKUP(A7,[2]PSA日本持股股價!$A$1:$IR$10, 4, FALSE)</f>
        <v>1970</v>
      </c>
      <c r="K7" s="7">
        <f t="shared" si="1"/>
        <v>172355300</v>
      </c>
      <c r="L7" s="8">
        <f t="shared" si="2"/>
        <v>-27409853.067628622</v>
      </c>
      <c r="M7" s="9">
        <f t="shared" si="3"/>
        <v>-0.13721038252527085</v>
      </c>
    </row>
    <row r="8" spans="1:13" s="4" customFormat="1" ht="17.100000000000001" customHeight="1" x14ac:dyDescent="0.45">
      <c r="A8" s="5" t="s">
        <v>21</v>
      </c>
      <c r="B8" s="5" t="s">
        <v>22</v>
      </c>
      <c r="C8" s="5" t="s">
        <v>23</v>
      </c>
      <c r="D8" s="6" t="s">
        <v>17</v>
      </c>
      <c r="E8" s="7">
        <f>[2]PSA日本持股下單記錄及損益!I30+[2]PSA日本持股下單記錄及損益!I31+[2]PSA日本持股下單記錄及損益!I33</f>
        <v>132980</v>
      </c>
      <c r="F8" s="7">
        <f>[2]PSA日本持股下單記錄及損益!J30+[2]PSA日本持股下單記錄及損益!J31+[2]PSA日本持股下單記錄及損益!J33</f>
        <v>299744574.44304812</v>
      </c>
      <c r="G8" s="7">
        <f>[2]PSA日本持股下單記錄及損益!K30+[2]PSA日本持股下單記錄及損益!K31+[2]PSA日本持股下單記錄及損益!K33</f>
        <v>0</v>
      </c>
      <c r="H8" s="7">
        <f>[2]PSA日本持股下單記錄及損益!L30+[2]PSA日本持股下單記錄及損益!L31+[2]PSA日本持股下單記錄及損益!L33</f>
        <v>299744574.44304812</v>
      </c>
      <c r="I8" s="7">
        <f t="shared" si="0"/>
        <v>2254.0575608591375</v>
      </c>
      <c r="J8" s="7">
        <f>VLOOKUP(A8,[2]PSA日本持股股價!$A$1:$IR$10, 4, FALSE)</f>
        <v>1970</v>
      </c>
      <c r="K8" s="7">
        <f t="shared" si="1"/>
        <v>261970600</v>
      </c>
      <c r="L8" s="8">
        <f t="shared" si="2"/>
        <v>-37773974.44304812</v>
      </c>
      <c r="M8" s="9">
        <f t="shared" si="3"/>
        <v>-0.12602054436927002</v>
      </c>
    </row>
    <row r="9" spans="1:13" s="4" customFormat="1" ht="17.100000000000001" customHeight="1" x14ac:dyDescent="0.45">
      <c r="A9" s="5" t="s">
        <v>21</v>
      </c>
      <c r="B9" s="5" t="s">
        <v>22</v>
      </c>
      <c r="C9" s="5" t="s">
        <v>23</v>
      </c>
      <c r="D9" s="6" t="s">
        <v>14</v>
      </c>
      <c r="E9" s="7">
        <f>[2]PSA日本持股下單記錄及損益!I34</f>
        <v>44300</v>
      </c>
      <c r="F9" s="7">
        <f>[2]PSA日本持股下單記錄及損益!J34</f>
        <v>99797113.835999995</v>
      </c>
      <c r="G9" s="7">
        <f>[2]PSA日本持股下單記錄及損益!K34</f>
        <v>0</v>
      </c>
      <c r="H9" s="7">
        <f>[2]PSA日本持股下單記錄及損益!L34</f>
        <v>99797113.835999995</v>
      </c>
      <c r="I9" s="7">
        <f t="shared" si="0"/>
        <v>2252.7565199999999</v>
      </c>
      <c r="J9" s="7">
        <f>VLOOKUP(A9,[2]PSA日本持股股價!$A$1:$IR$10, 4, FALSE)</f>
        <v>1970</v>
      </c>
      <c r="K9" s="7">
        <f t="shared" si="1"/>
        <v>87271000</v>
      </c>
      <c r="L9" s="8">
        <f t="shared" si="2"/>
        <v>-12526113.835999995</v>
      </c>
      <c r="M9" s="9">
        <f t="shared" si="3"/>
        <v>-0.12551579253669187</v>
      </c>
    </row>
    <row r="10" spans="1:13" s="4" customFormat="1" ht="17.100000000000001" customHeight="1" x14ac:dyDescent="0.45">
      <c r="A10" s="5" t="s">
        <v>24</v>
      </c>
      <c r="B10" s="5" t="str">
        <f>VLOOKUP(A10,[1]Stock_Price!$A$1:$B$22, 2, FALSE)</f>
        <v>Mitsui &amp; Co Ltd</v>
      </c>
      <c r="C10" s="5" t="s">
        <v>25</v>
      </c>
      <c r="D10" s="6" t="s">
        <v>26</v>
      </c>
      <c r="E10" s="7">
        <v>17800</v>
      </c>
      <c r="F10" s="7">
        <v>47881400.140000001</v>
      </c>
      <c r="G10" s="7">
        <v>95762.80028000001</v>
      </c>
      <c r="H10" s="7">
        <v>47977162.940279998</v>
      </c>
      <c r="I10" s="7">
        <f t="shared" si="0"/>
        <v>2695.3462325999999</v>
      </c>
      <c r="J10" s="7">
        <f>VLOOKUP(A10,[2]PSA日本持股股價!$A$1:$IR$10, 4, FALSE)</f>
        <v>6361</v>
      </c>
      <c r="K10" s="7">
        <f t="shared" si="1"/>
        <v>113225800</v>
      </c>
      <c r="L10" s="7">
        <f t="shared" si="2"/>
        <v>65248637.059720002</v>
      </c>
      <c r="M10" s="2">
        <f t="shared" si="3"/>
        <v>1.3599936524162302</v>
      </c>
    </row>
    <row r="11" spans="1:13" s="4" customFormat="1" ht="17.100000000000001" customHeight="1" x14ac:dyDescent="0.45">
      <c r="A11" s="5" t="s">
        <v>24</v>
      </c>
      <c r="B11" s="5" t="str">
        <f>VLOOKUP(A11,[1]Stock_Price!$A$1:$B$22, 2, FALSE)</f>
        <v>Mitsui &amp; Co Ltd</v>
      </c>
      <c r="C11" s="5" t="s">
        <v>25</v>
      </c>
      <c r="D11" s="6" t="s">
        <v>27</v>
      </c>
      <c r="E11" s="7">
        <v>18400</v>
      </c>
      <c r="F11" s="7">
        <v>49922699.68</v>
      </c>
      <c r="G11" s="7">
        <v>99845.39936000001</v>
      </c>
      <c r="H11" s="7">
        <v>50022545.079360001</v>
      </c>
      <c r="I11" s="7">
        <f t="shared" si="0"/>
        <v>2718.6165804000002</v>
      </c>
      <c r="J11" s="7">
        <f>VLOOKUP(A11,[2]PSA日本持股股價!$A$1:$IR$10, 4, FALSE)</f>
        <v>6361</v>
      </c>
      <c r="K11" s="7">
        <f t="shared" si="1"/>
        <v>117042400</v>
      </c>
      <c r="L11" s="7">
        <f t="shared" si="2"/>
        <v>67019854.920639999</v>
      </c>
      <c r="M11" s="2">
        <f t="shared" si="3"/>
        <v>1.3397929836299616</v>
      </c>
    </row>
    <row r="12" spans="1:13" s="4" customFormat="1" ht="17.100000000000001" customHeight="1" x14ac:dyDescent="0.45">
      <c r="A12" s="5" t="s">
        <v>28</v>
      </c>
      <c r="B12" s="5" t="s">
        <v>29</v>
      </c>
      <c r="C12" s="5" t="s">
        <v>30</v>
      </c>
      <c r="D12" s="6" t="s">
        <v>14</v>
      </c>
      <c r="E12" s="7">
        <f>[2]PSA日本持股下單記錄及損益!I26</f>
        <v>32094</v>
      </c>
      <c r="F12" s="7">
        <f>[2]PSA日本持股下單記錄及損益!J26</f>
        <v>29996682</v>
      </c>
      <c r="G12" s="7">
        <v>0</v>
      </c>
      <c r="H12" s="7">
        <f>F12+G12</f>
        <v>29996682</v>
      </c>
      <c r="I12" s="7">
        <f t="shared" si="0"/>
        <v>934.65077584595247</v>
      </c>
      <c r="J12" s="7">
        <f>VLOOKUP(A12,[2]PSA日本持股股價!$A$1:$IR$10, 4, FALSE)</f>
        <v>1563.5</v>
      </c>
      <c r="K12" s="7">
        <f>J12*E12</f>
        <v>50178969</v>
      </c>
      <c r="L12" s="7">
        <f>K12-H12</f>
        <v>20182287</v>
      </c>
      <c r="M12" s="2">
        <f>J12/I12-1</f>
        <v>0.67281731359488361</v>
      </c>
    </row>
    <row r="13" spans="1:13" s="4" customFormat="1" ht="17.100000000000001" customHeight="1" x14ac:dyDescent="0.45">
      <c r="A13" s="5" t="s">
        <v>31</v>
      </c>
      <c r="B13" s="5" t="s">
        <v>32</v>
      </c>
      <c r="C13" s="5" t="s">
        <v>33</v>
      </c>
      <c r="D13" s="6" t="s">
        <v>18</v>
      </c>
      <c r="E13" s="7">
        <f>[2]PSA日本持股下單記錄及損益!I27</f>
        <v>90390</v>
      </c>
      <c r="F13" s="7">
        <f>[2]PSA日本持股下單記錄及損益!J27</f>
        <v>99989780</v>
      </c>
      <c r="G13" s="7">
        <f>[2]PSA日本持股下單記錄及損益!K27</f>
        <v>0</v>
      </c>
      <c r="H13" s="7">
        <f>[2]PSA日本持股下單記錄及損益!L27</f>
        <v>99989780</v>
      </c>
      <c r="I13" s="7">
        <f t="shared" si="0"/>
        <v>1106.2040048677952</v>
      </c>
      <c r="J13" s="7">
        <f>VLOOKUP(A13,[2]PSA日本持股股價!$A$1:$IR$10, 4, FALSE)</f>
        <v>1533.5</v>
      </c>
      <c r="K13" s="7">
        <f>J13*E13</f>
        <v>138613065</v>
      </c>
      <c r="L13" s="7">
        <f>K13-H13</f>
        <v>38623285</v>
      </c>
      <c r="M13" s="2">
        <f>J13/I13-1</f>
        <v>0.38627232703182246</v>
      </c>
    </row>
    <row r="14" spans="1:13" s="4" customFormat="1" ht="17.100000000000001" customHeight="1" x14ac:dyDescent="0.45">
      <c r="A14" s="5" t="s">
        <v>31</v>
      </c>
      <c r="B14" s="5" t="s">
        <v>32</v>
      </c>
      <c r="C14" s="5" t="s">
        <v>33</v>
      </c>
      <c r="D14" s="6" t="s">
        <v>17</v>
      </c>
      <c r="E14" s="7">
        <f>[3]PSA日本持股下單記錄及損益!I33</f>
        <v>90390</v>
      </c>
      <c r="F14" s="7">
        <f>[3]PSA日本持股下單記錄及損益!J33</f>
        <v>99989780</v>
      </c>
      <c r="G14" s="7">
        <f>[3]PSA日本持股下單記錄及損益!K33</f>
        <v>0</v>
      </c>
      <c r="H14" s="7">
        <f>[3]PSA日本持股下單記錄及損益!L33</f>
        <v>99989780</v>
      </c>
      <c r="I14" s="7">
        <f t="shared" si="0"/>
        <v>1106.2040048677952</v>
      </c>
      <c r="J14" s="7">
        <f>VLOOKUP(A14,[2]PSA日本持股股價!$A$1:$IR$10, 4, FALSE)</f>
        <v>1533.5</v>
      </c>
      <c r="K14" s="7">
        <f>J14*E14</f>
        <v>138613065</v>
      </c>
      <c r="L14" s="7">
        <f>K14-H14</f>
        <v>38623285</v>
      </c>
      <c r="M14" s="2">
        <f>J14/I14-1</f>
        <v>0.38627232703182246</v>
      </c>
    </row>
    <row r="15" spans="1:13" s="4" customFormat="1" ht="17.100000000000001" customHeight="1" x14ac:dyDescent="0.45">
      <c r="A15" s="5" t="s">
        <v>34</v>
      </c>
      <c r="B15" s="5" t="str">
        <f>VLOOKUP(A15,[1]Stock_Price!$A$1:$B$22, 2, FALSE)</f>
        <v>Nippon Telegraph &amp; Telephone C</v>
      </c>
      <c r="C15" s="5" t="s">
        <v>35</v>
      </c>
      <c r="D15" s="6" t="s">
        <v>17</v>
      </c>
      <c r="E15" s="7">
        <v>1582100</v>
      </c>
      <c r="F15" s="7">
        <v>249422020.25</v>
      </c>
      <c r="G15" s="7">
        <v>498844.0405</v>
      </c>
      <c r="H15" s="7">
        <v>249920864.29049999</v>
      </c>
      <c r="I15" s="10">
        <f t="shared" si="0"/>
        <v>157.967805</v>
      </c>
      <c r="J15" s="10">
        <f>VLOOKUP(A15,[2]PSA日本持股股價!$A$1:$IR$10, 4, FALSE)</f>
        <v>155.30000000000001</v>
      </c>
      <c r="K15" s="7">
        <f t="shared" si="1"/>
        <v>245700130.00000003</v>
      </c>
      <c r="L15" s="7">
        <f t="shared" si="2"/>
        <v>-4220734.2904999554</v>
      </c>
      <c r="M15" s="2">
        <f t="shared" si="3"/>
        <v>-1.6888283027038264E-2</v>
      </c>
    </row>
    <row r="16" spans="1:13" s="4" customFormat="1" ht="17.100000000000001" customHeight="1" x14ac:dyDescent="0.45">
      <c r="A16" s="5" t="s">
        <v>34</v>
      </c>
      <c r="B16" s="5" t="str">
        <f>VLOOKUP(A16,[1]Stock_Price!$A$1:$B$22, 2, FALSE)</f>
        <v>Nippon Telegraph &amp; Telephone C</v>
      </c>
      <c r="C16" s="5" t="s">
        <v>35</v>
      </c>
      <c r="D16" s="6" t="s">
        <v>14</v>
      </c>
      <c r="E16" s="7">
        <v>753900</v>
      </c>
      <c r="F16" s="7">
        <v>111968610</v>
      </c>
      <c r="G16" s="7">
        <v>373909</v>
      </c>
      <c r="H16" s="7">
        <f>F16+G16</f>
        <v>112342519</v>
      </c>
      <c r="I16" s="10">
        <f t="shared" si="0"/>
        <v>149.01514657116329</v>
      </c>
      <c r="J16" s="10">
        <f>VLOOKUP(A16,[2]PSA日本持股股價!$A$1:$IR$10, 4, FALSE)</f>
        <v>155.30000000000001</v>
      </c>
      <c r="K16" s="7">
        <f>J16*E16</f>
        <v>117080670.00000001</v>
      </c>
      <c r="L16" s="7">
        <f>K16-H16</f>
        <v>4738151.0000000149</v>
      </c>
      <c r="M16" s="2">
        <f>J16/I16-1</f>
        <v>4.2175936966483807E-2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Database_Stock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黃建樺</dc:creator>
  <cp:lastModifiedBy>黃建樺</cp:lastModifiedBy>
  <dcterms:created xsi:type="dcterms:W3CDTF">2026-04-08T09:23:59Z</dcterms:created>
  <dcterms:modified xsi:type="dcterms:W3CDTF">2026-04-09T12:46:00Z</dcterms:modified>
</cp:coreProperties>
</file>